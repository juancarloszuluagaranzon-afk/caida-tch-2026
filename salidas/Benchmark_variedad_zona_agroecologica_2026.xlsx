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r349\Documents\RIOPAILA AGRICOLA\01 Estimados y TCH\"/>
    </mc:Choice>
  </mc:AlternateContent>
  <xr:revisionPtr revIDLastSave="0" documentId="13_ncr:1_{98B4F9B6-B536-4819-82E5-AEF2BB079F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en" sheetId="1" r:id="rId1"/>
    <sheet name="Calificación 2026" sheetId="2" r:id="rId2"/>
    <sheet name="Benchmark" sheetId="3" r:id="rId3"/>
  </sheets>
  <definedNames>
    <definedName name="_xlnm._FilterDatabase" localSheetId="2" hidden="1">Benchmark!$A$4:$M$807</definedName>
    <definedName name="_xlnm._FilterDatabase" localSheetId="1" hidden="1">'Calificación 2026'!$A$4:$N$811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07" i="3" l="1"/>
  <c r="K807" i="3"/>
  <c r="L806" i="3"/>
  <c r="K806" i="3"/>
  <c r="L805" i="3"/>
  <c r="K805" i="3"/>
  <c r="L804" i="3"/>
  <c r="K804" i="3"/>
  <c r="L803" i="3"/>
  <c r="K803" i="3"/>
  <c r="L802" i="3"/>
  <c r="K802" i="3"/>
  <c r="L801" i="3"/>
  <c r="K801" i="3"/>
  <c r="L800" i="3"/>
  <c r="K800" i="3"/>
  <c r="L799" i="3"/>
  <c r="K799" i="3"/>
  <c r="L798" i="3"/>
  <c r="K798" i="3"/>
  <c r="L797" i="3"/>
  <c r="K797" i="3"/>
  <c r="L796" i="3"/>
  <c r="K796" i="3"/>
  <c r="L795" i="3"/>
  <c r="K795" i="3"/>
  <c r="L794" i="3"/>
  <c r="K794" i="3"/>
  <c r="L793" i="3"/>
  <c r="K793" i="3"/>
  <c r="L792" i="3"/>
  <c r="K792" i="3"/>
  <c r="L791" i="3"/>
  <c r="K791" i="3"/>
  <c r="L790" i="3"/>
  <c r="K790" i="3"/>
  <c r="L789" i="3"/>
  <c r="K789" i="3"/>
  <c r="L788" i="3"/>
  <c r="K788" i="3"/>
  <c r="L787" i="3"/>
  <c r="K787" i="3"/>
  <c r="L786" i="3"/>
  <c r="K786" i="3"/>
  <c r="L785" i="3"/>
  <c r="K785" i="3"/>
  <c r="L784" i="3"/>
  <c r="K784" i="3"/>
  <c r="L783" i="3"/>
  <c r="K783" i="3"/>
  <c r="L782" i="3"/>
  <c r="K782" i="3"/>
  <c r="L781" i="3"/>
  <c r="K781" i="3"/>
  <c r="L780" i="3"/>
  <c r="K780" i="3"/>
  <c r="L779" i="3"/>
  <c r="K779" i="3"/>
  <c r="L778" i="3"/>
  <c r="K778" i="3"/>
  <c r="L777" i="3"/>
  <c r="K777" i="3"/>
  <c r="L776" i="3"/>
  <c r="K776" i="3"/>
  <c r="L775" i="3"/>
  <c r="K775" i="3"/>
  <c r="L774" i="3"/>
  <c r="K774" i="3"/>
  <c r="L773" i="3"/>
  <c r="K773" i="3"/>
  <c r="L772" i="3"/>
  <c r="K772" i="3"/>
  <c r="L771" i="3"/>
  <c r="K771" i="3"/>
  <c r="L770" i="3"/>
  <c r="K770" i="3"/>
  <c r="L769" i="3"/>
  <c r="K769" i="3"/>
  <c r="L768" i="3"/>
  <c r="K768" i="3"/>
  <c r="L767" i="3"/>
  <c r="K767" i="3"/>
  <c r="L766" i="3"/>
  <c r="K766" i="3"/>
  <c r="L765" i="3"/>
  <c r="K765" i="3"/>
  <c r="L764" i="3"/>
  <c r="K764" i="3"/>
  <c r="L763" i="3"/>
  <c r="K763" i="3"/>
  <c r="L762" i="3"/>
  <c r="K762" i="3"/>
  <c r="L761" i="3"/>
  <c r="K761" i="3"/>
  <c r="L760" i="3"/>
  <c r="K760" i="3"/>
  <c r="L759" i="3"/>
  <c r="K759" i="3"/>
  <c r="L758" i="3"/>
  <c r="K758" i="3"/>
  <c r="L757" i="3"/>
  <c r="K757" i="3"/>
  <c r="L756" i="3"/>
  <c r="K756" i="3"/>
  <c r="L755" i="3"/>
  <c r="K755" i="3"/>
  <c r="L754" i="3"/>
  <c r="K754" i="3"/>
  <c r="L753" i="3"/>
  <c r="K753" i="3"/>
  <c r="L752" i="3"/>
  <c r="K752" i="3"/>
  <c r="L751" i="3"/>
  <c r="K751" i="3"/>
  <c r="L750" i="3"/>
  <c r="K750" i="3"/>
  <c r="L749" i="3"/>
  <c r="K749" i="3"/>
  <c r="L748" i="3"/>
  <c r="K748" i="3"/>
  <c r="L747" i="3"/>
  <c r="K747" i="3"/>
  <c r="L746" i="3"/>
  <c r="K746" i="3"/>
  <c r="L745" i="3"/>
  <c r="K745" i="3"/>
  <c r="L744" i="3"/>
  <c r="K744" i="3"/>
  <c r="L743" i="3"/>
  <c r="K743" i="3"/>
  <c r="L742" i="3"/>
  <c r="K742" i="3"/>
  <c r="L741" i="3"/>
  <c r="K741" i="3"/>
  <c r="L740" i="3"/>
  <c r="K740" i="3"/>
  <c r="L739" i="3"/>
  <c r="K739" i="3"/>
  <c r="L738" i="3"/>
  <c r="K738" i="3"/>
  <c r="L737" i="3"/>
  <c r="K737" i="3"/>
  <c r="L736" i="3"/>
  <c r="K736" i="3"/>
  <c r="L735" i="3"/>
  <c r="K735" i="3"/>
  <c r="L734" i="3"/>
  <c r="K734" i="3"/>
  <c r="L733" i="3"/>
  <c r="K733" i="3"/>
  <c r="L732" i="3"/>
  <c r="K732" i="3"/>
  <c r="L731" i="3"/>
  <c r="K731" i="3"/>
  <c r="L730" i="3"/>
  <c r="K730" i="3"/>
  <c r="L729" i="3"/>
  <c r="K729" i="3"/>
  <c r="L728" i="3"/>
  <c r="K728" i="3"/>
  <c r="L727" i="3"/>
  <c r="K727" i="3"/>
  <c r="L726" i="3"/>
  <c r="K726" i="3"/>
  <c r="L725" i="3"/>
  <c r="K725" i="3"/>
  <c r="L724" i="3"/>
  <c r="K724" i="3"/>
  <c r="L723" i="3"/>
  <c r="K723" i="3"/>
  <c r="L722" i="3"/>
  <c r="K722" i="3"/>
  <c r="L721" i="3"/>
  <c r="K721" i="3"/>
  <c r="L720" i="3"/>
  <c r="K720" i="3"/>
  <c r="L719" i="3"/>
  <c r="K719" i="3"/>
  <c r="L718" i="3"/>
  <c r="K718" i="3"/>
  <c r="L717" i="3"/>
  <c r="K717" i="3"/>
  <c r="L716" i="3"/>
  <c r="K716" i="3"/>
  <c r="L715" i="3"/>
  <c r="K715" i="3"/>
  <c r="L714" i="3"/>
  <c r="K714" i="3"/>
  <c r="L713" i="3"/>
  <c r="K713" i="3"/>
  <c r="L712" i="3"/>
  <c r="K712" i="3"/>
  <c r="L711" i="3"/>
  <c r="K711" i="3"/>
  <c r="L710" i="3"/>
  <c r="K710" i="3"/>
  <c r="L709" i="3"/>
  <c r="K709" i="3"/>
  <c r="L708" i="3"/>
  <c r="K708" i="3"/>
  <c r="L707" i="3"/>
  <c r="K707" i="3"/>
  <c r="L706" i="3"/>
  <c r="K706" i="3"/>
  <c r="L705" i="3"/>
  <c r="K705" i="3"/>
  <c r="L704" i="3"/>
  <c r="K704" i="3"/>
  <c r="L703" i="3"/>
  <c r="K703" i="3"/>
  <c r="L702" i="3"/>
  <c r="K702" i="3"/>
  <c r="L701" i="3"/>
  <c r="K701" i="3"/>
  <c r="L700" i="3"/>
  <c r="K700" i="3"/>
  <c r="L699" i="3"/>
  <c r="K699" i="3"/>
  <c r="L698" i="3"/>
  <c r="K698" i="3"/>
  <c r="L697" i="3"/>
  <c r="K697" i="3"/>
  <c r="L696" i="3"/>
  <c r="K696" i="3"/>
  <c r="L695" i="3"/>
  <c r="K695" i="3"/>
  <c r="L694" i="3"/>
  <c r="K694" i="3"/>
  <c r="L693" i="3"/>
  <c r="K693" i="3"/>
  <c r="L692" i="3"/>
  <c r="K692" i="3"/>
  <c r="L691" i="3"/>
  <c r="K691" i="3"/>
  <c r="L690" i="3"/>
  <c r="K690" i="3"/>
  <c r="L689" i="3"/>
  <c r="K689" i="3"/>
  <c r="L688" i="3"/>
  <c r="K688" i="3"/>
  <c r="L687" i="3"/>
  <c r="K687" i="3"/>
  <c r="L686" i="3"/>
  <c r="K686" i="3"/>
  <c r="L685" i="3"/>
  <c r="K685" i="3"/>
  <c r="L684" i="3"/>
  <c r="K684" i="3"/>
  <c r="L683" i="3"/>
  <c r="K683" i="3"/>
  <c r="L682" i="3"/>
  <c r="K682" i="3"/>
  <c r="L681" i="3"/>
  <c r="K681" i="3"/>
  <c r="L680" i="3"/>
  <c r="K680" i="3"/>
  <c r="L679" i="3"/>
  <c r="K679" i="3"/>
  <c r="L678" i="3"/>
  <c r="K678" i="3"/>
  <c r="L677" i="3"/>
  <c r="K677" i="3"/>
  <c r="L676" i="3"/>
  <c r="K676" i="3"/>
  <c r="L675" i="3"/>
  <c r="K675" i="3"/>
  <c r="L674" i="3"/>
  <c r="K674" i="3"/>
  <c r="L673" i="3"/>
  <c r="K673" i="3"/>
  <c r="L672" i="3"/>
  <c r="K672" i="3"/>
  <c r="L671" i="3"/>
  <c r="K671" i="3"/>
  <c r="L670" i="3"/>
  <c r="K670" i="3"/>
  <c r="L669" i="3"/>
  <c r="K669" i="3"/>
  <c r="L668" i="3"/>
  <c r="K668" i="3"/>
  <c r="L667" i="3"/>
  <c r="K667" i="3"/>
  <c r="L666" i="3"/>
  <c r="K666" i="3"/>
  <c r="L665" i="3"/>
  <c r="K665" i="3"/>
  <c r="L664" i="3"/>
  <c r="K664" i="3"/>
  <c r="L663" i="3"/>
  <c r="K663" i="3"/>
  <c r="L662" i="3"/>
  <c r="K662" i="3"/>
  <c r="L661" i="3"/>
  <c r="K661" i="3"/>
  <c r="L660" i="3"/>
  <c r="K660" i="3"/>
  <c r="L659" i="3"/>
  <c r="K659" i="3"/>
  <c r="L658" i="3"/>
  <c r="K658" i="3"/>
  <c r="L657" i="3"/>
  <c r="K657" i="3"/>
  <c r="L656" i="3"/>
  <c r="K656" i="3"/>
  <c r="L655" i="3"/>
  <c r="K655" i="3"/>
  <c r="L654" i="3"/>
  <c r="K654" i="3"/>
  <c r="L653" i="3"/>
  <c r="K653" i="3"/>
  <c r="L652" i="3"/>
  <c r="K652" i="3"/>
  <c r="L651" i="3"/>
  <c r="K651" i="3"/>
  <c r="L650" i="3"/>
  <c r="K650" i="3"/>
  <c r="L649" i="3"/>
  <c r="K649" i="3"/>
  <c r="L648" i="3"/>
  <c r="K648" i="3"/>
  <c r="L647" i="3"/>
  <c r="K647" i="3"/>
  <c r="L646" i="3"/>
  <c r="K646" i="3"/>
  <c r="L645" i="3"/>
  <c r="K645" i="3"/>
  <c r="L644" i="3"/>
  <c r="K644" i="3"/>
  <c r="L643" i="3"/>
  <c r="K643" i="3"/>
  <c r="L642" i="3"/>
  <c r="K642" i="3"/>
  <c r="L641" i="3"/>
  <c r="K641" i="3"/>
  <c r="L640" i="3"/>
  <c r="K640" i="3"/>
  <c r="L639" i="3"/>
  <c r="K639" i="3"/>
  <c r="L638" i="3"/>
  <c r="K638" i="3"/>
  <c r="L637" i="3"/>
  <c r="K637" i="3"/>
  <c r="L636" i="3"/>
  <c r="K636" i="3"/>
  <c r="L635" i="3"/>
  <c r="K635" i="3"/>
  <c r="L634" i="3"/>
  <c r="K634" i="3"/>
  <c r="L633" i="3"/>
  <c r="K633" i="3"/>
  <c r="L632" i="3"/>
  <c r="K632" i="3"/>
  <c r="L631" i="3"/>
  <c r="K631" i="3"/>
  <c r="L630" i="3"/>
  <c r="K630" i="3"/>
  <c r="L629" i="3"/>
  <c r="K629" i="3"/>
  <c r="L628" i="3"/>
  <c r="K628" i="3"/>
  <c r="L627" i="3"/>
  <c r="K627" i="3"/>
  <c r="L626" i="3"/>
  <c r="K626" i="3"/>
  <c r="L625" i="3"/>
  <c r="K625" i="3"/>
  <c r="L624" i="3"/>
  <c r="K624" i="3"/>
  <c r="L623" i="3"/>
  <c r="K623" i="3"/>
  <c r="L622" i="3"/>
  <c r="K622" i="3"/>
  <c r="L621" i="3"/>
  <c r="K621" i="3"/>
  <c r="L620" i="3"/>
  <c r="K620" i="3"/>
  <c r="L619" i="3"/>
  <c r="K619" i="3"/>
  <c r="L618" i="3"/>
  <c r="K618" i="3"/>
  <c r="L617" i="3"/>
  <c r="K617" i="3"/>
  <c r="L616" i="3"/>
  <c r="K616" i="3"/>
  <c r="L615" i="3"/>
  <c r="K615" i="3"/>
  <c r="L614" i="3"/>
  <c r="K614" i="3"/>
  <c r="L613" i="3"/>
  <c r="K613" i="3"/>
  <c r="L612" i="3"/>
  <c r="K612" i="3"/>
  <c r="L611" i="3"/>
  <c r="K611" i="3"/>
  <c r="L610" i="3"/>
  <c r="K610" i="3"/>
  <c r="L609" i="3"/>
  <c r="K609" i="3"/>
  <c r="L608" i="3"/>
  <c r="K608" i="3"/>
  <c r="L607" i="3"/>
  <c r="K607" i="3"/>
  <c r="L606" i="3"/>
  <c r="K606" i="3"/>
  <c r="L605" i="3"/>
  <c r="K605" i="3"/>
  <c r="L604" i="3"/>
  <c r="K604" i="3"/>
  <c r="L603" i="3"/>
  <c r="K603" i="3"/>
  <c r="L602" i="3"/>
  <c r="K602" i="3"/>
  <c r="L601" i="3"/>
  <c r="K601" i="3"/>
  <c r="L600" i="3"/>
  <c r="K600" i="3"/>
  <c r="L599" i="3"/>
  <c r="K599" i="3"/>
  <c r="L598" i="3"/>
  <c r="K598" i="3"/>
  <c r="L597" i="3"/>
  <c r="K597" i="3"/>
  <c r="L596" i="3"/>
  <c r="K596" i="3"/>
  <c r="L595" i="3"/>
  <c r="K595" i="3"/>
  <c r="L594" i="3"/>
  <c r="K594" i="3"/>
  <c r="L593" i="3"/>
  <c r="K593" i="3"/>
  <c r="L592" i="3"/>
  <c r="K592" i="3"/>
  <c r="L591" i="3"/>
  <c r="K591" i="3"/>
  <c r="L590" i="3"/>
  <c r="K590" i="3"/>
  <c r="L589" i="3"/>
  <c r="K589" i="3"/>
  <c r="L588" i="3"/>
  <c r="K588" i="3"/>
  <c r="L587" i="3"/>
  <c r="K587" i="3"/>
  <c r="L586" i="3"/>
  <c r="K586" i="3"/>
  <c r="L585" i="3"/>
  <c r="K585" i="3"/>
  <c r="L584" i="3"/>
  <c r="K584" i="3"/>
  <c r="L583" i="3"/>
  <c r="K583" i="3"/>
  <c r="L582" i="3"/>
  <c r="K582" i="3"/>
  <c r="L581" i="3"/>
  <c r="K581" i="3"/>
  <c r="L580" i="3"/>
  <c r="K580" i="3"/>
  <c r="L579" i="3"/>
  <c r="K579" i="3"/>
  <c r="L578" i="3"/>
  <c r="K578" i="3"/>
  <c r="L577" i="3"/>
  <c r="K577" i="3"/>
  <c r="L576" i="3"/>
  <c r="K576" i="3"/>
  <c r="L575" i="3"/>
  <c r="K575" i="3"/>
  <c r="L574" i="3"/>
  <c r="K574" i="3"/>
  <c r="L573" i="3"/>
  <c r="K573" i="3"/>
  <c r="L572" i="3"/>
  <c r="K572" i="3"/>
  <c r="L571" i="3"/>
  <c r="K571" i="3"/>
  <c r="L570" i="3"/>
  <c r="K570" i="3"/>
  <c r="L569" i="3"/>
  <c r="K569" i="3"/>
  <c r="L568" i="3"/>
  <c r="K568" i="3"/>
  <c r="L567" i="3"/>
  <c r="K567" i="3"/>
  <c r="L566" i="3"/>
  <c r="K566" i="3"/>
  <c r="L565" i="3"/>
  <c r="K565" i="3"/>
  <c r="L564" i="3"/>
  <c r="K564" i="3"/>
  <c r="L563" i="3"/>
  <c r="K563" i="3"/>
  <c r="L562" i="3"/>
  <c r="K562" i="3"/>
  <c r="L561" i="3"/>
  <c r="K561" i="3"/>
  <c r="L560" i="3"/>
  <c r="K560" i="3"/>
  <c r="L559" i="3"/>
  <c r="K559" i="3"/>
  <c r="L558" i="3"/>
  <c r="K558" i="3"/>
  <c r="L557" i="3"/>
  <c r="K557" i="3"/>
  <c r="L556" i="3"/>
  <c r="K556" i="3"/>
  <c r="L555" i="3"/>
  <c r="K555" i="3"/>
  <c r="L554" i="3"/>
  <c r="K554" i="3"/>
  <c r="L553" i="3"/>
  <c r="K553" i="3"/>
  <c r="L552" i="3"/>
  <c r="K552" i="3"/>
  <c r="L551" i="3"/>
  <c r="K551" i="3"/>
  <c r="L550" i="3"/>
  <c r="K550" i="3"/>
  <c r="L549" i="3"/>
  <c r="K549" i="3"/>
  <c r="L548" i="3"/>
  <c r="K548" i="3"/>
  <c r="L547" i="3"/>
  <c r="K547" i="3"/>
  <c r="L546" i="3"/>
  <c r="K546" i="3"/>
  <c r="L545" i="3"/>
  <c r="K545" i="3"/>
  <c r="L544" i="3"/>
  <c r="K544" i="3"/>
  <c r="L543" i="3"/>
  <c r="K543" i="3"/>
  <c r="L542" i="3"/>
  <c r="K542" i="3"/>
  <c r="L541" i="3"/>
  <c r="K541" i="3"/>
  <c r="L540" i="3"/>
  <c r="K540" i="3"/>
  <c r="L539" i="3"/>
  <c r="K539" i="3"/>
  <c r="L538" i="3"/>
  <c r="K538" i="3"/>
  <c r="L537" i="3"/>
  <c r="K537" i="3"/>
  <c r="L536" i="3"/>
  <c r="K536" i="3"/>
  <c r="L535" i="3"/>
  <c r="K535" i="3"/>
  <c r="L534" i="3"/>
  <c r="K534" i="3"/>
  <c r="L533" i="3"/>
  <c r="K533" i="3"/>
  <c r="L532" i="3"/>
  <c r="K532" i="3"/>
  <c r="L531" i="3"/>
  <c r="K531" i="3"/>
  <c r="L530" i="3"/>
  <c r="K530" i="3"/>
  <c r="L529" i="3"/>
  <c r="K529" i="3"/>
  <c r="L528" i="3"/>
  <c r="K528" i="3"/>
  <c r="L527" i="3"/>
  <c r="K527" i="3"/>
  <c r="L526" i="3"/>
  <c r="K526" i="3"/>
  <c r="L525" i="3"/>
  <c r="K525" i="3"/>
  <c r="L524" i="3"/>
  <c r="K524" i="3"/>
  <c r="L523" i="3"/>
  <c r="K523" i="3"/>
  <c r="L522" i="3"/>
  <c r="K522" i="3"/>
  <c r="L521" i="3"/>
  <c r="K521" i="3"/>
  <c r="L520" i="3"/>
  <c r="K520" i="3"/>
  <c r="L519" i="3"/>
  <c r="K519" i="3"/>
  <c r="L518" i="3"/>
  <c r="K518" i="3"/>
  <c r="L517" i="3"/>
  <c r="K517" i="3"/>
  <c r="L516" i="3"/>
  <c r="K516" i="3"/>
  <c r="L515" i="3"/>
  <c r="K515" i="3"/>
  <c r="L514" i="3"/>
  <c r="K514" i="3"/>
  <c r="L513" i="3"/>
  <c r="K513" i="3"/>
  <c r="L512" i="3"/>
  <c r="K512" i="3"/>
  <c r="L511" i="3"/>
  <c r="K511" i="3"/>
  <c r="L510" i="3"/>
  <c r="K510" i="3"/>
  <c r="L509" i="3"/>
  <c r="K509" i="3"/>
  <c r="L508" i="3"/>
  <c r="K508" i="3"/>
  <c r="L507" i="3"/>
  <c r="K507" i="3"/>
  <c r="L506" i="3"/>
  <c r="K506" i="3"/>
  <c r="L505" i="3"/>
  <c r="K505" i="3"/>
  <c r="L504" i="3"/>
  <c r="K504" i="3"/>
  <c r="L503" i="3"/>
  <c r="K503" i="3"/>
  <c r="L502" i="3"/>
  <c r="K502" i="3"/>
  <c r="L501" i="3"/>
  <c r="K501" i="3"/>
  <c r="L500" i="3"/>
  <c r="K500" i="3"/>
  <c r="L499" i="3"/>
  <c r="K499" i="3"/>
  <c r="L498" i="3"/>
  <c r="K498" i="3"/>
  <c r="L497" i="3"/>
  <c r="K497" i="3"/>
  <c r="L496" i="3"/>
  <c r="K496" i="3"/>
  <c r="L495" i="3"/>
  <c r="K495" i="3"/>
  <c r="L494" i="3"/>
  <c r="K494" i="3"/>
  <c r="L493" i="3"/>
  <c r="K493" i="3"/>
  <c r="L492" i="3"/>
  <c r="K492" i="3"/>
  <c r="L491" i="3"/>
  <c r="K491" i="3"/>
  <c r="L490" i="3"/>
  <c r="K490" i="3"/>
  <c r="L489" i="3"/>
  <c r="K489" i="3"/>
  <c r="L488" i="3"/>
  <c r="K488" i="3"/>
  <c r="L487" i="3"/>
  <c r="K487" i="3"/>
  <c r="L486" i="3"/>
  <c r="K486" i="3"/>
  <c r="L485" i="3"/>
  <c r="K485" i="3"/>
  <c r="L484" i="3"/>
  <c r="K484" i="3"/>
  <c r="L483" i="3"/>
  <c r="K483" i="3"/>
  <c r="L482" i="3"/>
  <c r="K482" i="3"/>
  <c r="L481" i="3"/>
  <c r="K481" i="3"/>
  <c r="L480" i="3"/>
  <c r="K480" i="3"/>
  <c r="L479" i="3"/>
  <c r="K479" i="3"/>
  <c r="L478" i="3"/>
  <c r="K478" i="3"/>
  <c r="L477" i="3"/>
  <c r="K477" i="3"/>
  <c r="L476" i="3"/>
  <c r="K476" i="3"/>
  <c r="L475" i="3"/>
  <c r="K475" i="3"/>
  <c r="L474" i="3"/>
  <c r="K474" i="3"/>
  <c r="L473" i="3"/>
  <c r="K473" i="3"/>
  <c r="L472" i="3"/>
  <c r="K472" i="3"/>
  <c r="L471" i="3"/>
  <c r="K471" i="3"/>
  <c r="L470" i="3"/>
  <c r="K470" i="3"/>
  <c r="L469" i="3"/>
  <c r="K469" i="3"/>
  <c r="L468" i="3"/>
  <c r="K468" i="3"/>
  <c r="L467" i="3"/>
  <c r="K467" i="3"/>
  <c r="L466" i="3"/>
  <c r="K466" i="3"/>
  <c r="L465" i="3"/>
  <c r="K465" i="3"/>
  <c r="L464" i="3"/>
  <c r="K464" i="3"/>
  <c r="L463" i="3"/>
  <c r="K463" i="3"/>
  <c r="L462" i="3"/>
  <c r="K462" i="3"/>
  <c r="L461" i="3"/>
  <c r="K461" i="3"/>
  <c r="L460" i="3"/>
  <c r="K460" i="3"/>
  <c r="L459" i="3"/>
  <c r="K459" i="3"/>
  <c r="L458" i="3"/>
  <c r="K458" i="3"/>
  <c r="L457" i="3"/>
  <c r="K457" i="3"/>
  <c r="L456" i="3"/>
  <c r="K456" i="3"/>
  <c r="L455" i="3"/>
  <c r="K455" i="3"/>
  <c r="L454" i="3"/>
  <c r="K454" i="3"/>
  <c r="L453" i="3"/>
  <c r="K453" i="3"/>
  <c r="L452" i="3"/>
  <c r="K452" i="3"/>
  <c r="L451" i="3"/>
  <c r="K451" i="3"/>
  <c r="L450" i="3"/>
  <c r="K450" i="3"/>
  <c r="L449" i="3"/>
  <c r="K449" i="3"/>
  <c r="L448" i="3"/>
  <c r="K448" i="3"/>
  <c r="L447" i="3"/>
  <c r="K447" i="3"/>
  <c r="L446" i="3"/>
  <c r="K446" i="3"/>
  <c r="L445" i="3"/>
  <c r="K445" i="3"/>
  <c r="L444" i="3"/>
  <c r="K444" i="3"/>
  <c r="L443" i="3"/>
  <c r="K443" i="3"/>
  <c r="L442" i="3"/>
  <c r="K442" i="3"/>
  <c r="L441" i="3"/>
  <c r="K441" i="3"/>
  <c r="L440" i="3"/>
  <c r="K440" i="3"/>
  <c r="L439" i="3"/>
  <c r="K439" i="3"/>
  <c r="L438" i="3"/>
  <c r="K438" i="3"/>
  <c r="L437" i="3"/>
  <c r="K437" i="3"/>
  <c r="L436" i="3"/>
  <c r="K436" i="3"/>
  <c r="L435" i="3"/>
  <c r="K435" i="3"/>
  <c r="L434" i="3"/>
  <c r="K434" i="3"/>
  <c r="L433" i="3"/>
  <c r="K433" i="3"/>
  <c r="L432" i="3"/>
  <c r="K432" i="3"/>
  <c r="L431" i="3"/>
  <c r="K431" i="3"/>
  <c r="L430" i="3"/>
  <c r="K430" i="3"/>
  <c r="L429" i="3"/>
  <c r="K429" i="3"/>
  <c r="L428" i="3"/>
  <c r="K428" i="3"/>
  <c r="L427" i="3"/>
  <c r="K427" i="3"/>
  <c r="L426" i="3"/>
  <c r="K426" i="3"/>
  <c r="L425" i="3"/>
  <c r="K425" i="3"/>
  <c r="L424" i="3"/>
  <c r="K424" i="3"/>
  <c r="L423" i="3"/>
  <c r="K423" i="3"/>
  <c r="L422" i="3"/>
  <c r="K422" i="3"/>
  <c r="L421" i="3"/>
  <c r="K421" i="3"/>
  <c r="L420" i="3"/>
  <c r="K420" i="3"/>
  <c r="L419" i="3"/>
  <c r="K419" i="3"/>
  <c r="L418" i="3"/>
  <c r="K418" i="3"/>
  <c r="L417" i="3"/>
  <c r="K417" i="3"/>
  <c r="L416" i="3"/>
  <c r="K416" i="3"/>
  <c r="L415" i="3"/>
  <c r="K415" i="3"/>
  <c r="L414" i="3"/>
  <c r="K414" i="3"/>
  <c r="L413" i="3"/>
  <c r="K413" i="3"/>
  <c r="L412" i="3"/>
  <c r="K412" i="3"/>
  <c r="L411" i="3"/>
  <c r="K411" i="3"/>
  <c r="L410" i="3"/>
  <c r="K410" i="3"/>
  <c r="L409" i="3"/>
  <c r="K409" i="3"/>
  <c r="L408" i="3"/>
  <c r="K408" i="3"/>
  <c r="L407" i="3"/>
  <c r="K407" i="3"/>
  <c r="L406" i="3"/>
  <c r="K406" i="3"/>
  <c r="L405" i="3"/>
  <c r="K405" i="3"/>
  <c r="L404" i="3"/>
  <c r="K404" i="3"/>
  <c r="L403" i="3"/>
  <c r="K403" i="3"/>
  <c r="L402" i="3"/>
  <c r="K402" i="3"/>
  <c r="L401" i="3"/>
  <c r="K401" i="3"/>
  <c r="L400" i="3"/>
  <c r="K400" i="3"/>
  <c r="L399" i="3"/>
  <c r="K399" i="3"/>
  <c r="L398" i="3"/>
  <c r="K398" i="3"/>
  <c r="L397" i="3"/>
  <c r="K397" i="3"/>
  <c r="L396" i="3"/>
  <c r="K396" i="3"/>
  <c r="L395" i="3"/>
  <c r="K395" i="3"/>
  <c r="L394" i="3"/>
  <c r="K394" i="3"/>
  <c r="L393" i="3"/>
  <c r="K393" i="3"/>
  <c r="L392" i="3"/>
  <c r="K392" i="3"/>
  <c r="L391" i="3"/>
  <c r="K391" i="3"/>
  <c r="L390" i="3"/>
  <c r="K390" i="3"/>
  <c r="L389" i="3"/>
  <c r="K389" i="3"/>
  <c r="L388" i="3"/>
  <c r="K388" i="3"/>
  <c r="L387" i="3"/>
  <c r="K387" i="3"/>
  <c r="L386" i="3"/>
  <c r="K386" i="3"/>
  <c r="L385" i="3"/>
  <c r="K385" i="3"/>
  <c r="L384" i="3"/>
  <c r="K384" i="3"/>
  <c r="L383" i="3"/>
  <c r="K383" i="3"/>
  <c r="L382" i="3"/>
  <c r="K382" i="3"/>
  <c r="L381" i="3"/>
  <c r="K381" i="3"/>
  <c r="L380" i="3"/>
  <c r="K380" i="3"/>
  <c r="L379" i="3"/>
  <c r="K379" i="3"/>
  <c r="L378" i="3"/>
  <c r="K378" i="3"/>
  <c r="L377" i="3"/>
  <c r="K377" i="3"/>
  <c r="L376" i="3"/>
  <c r="K376" i="3"/>
  <c r="L375" i="3"/>
  <c r="K375" i="3"/>
  <c r="L374" i="3"/>
  <c r="K374" i="3"/>
  <c r="L373" i="3"/>
  <c r="K373" i="3"/>
  <c r="L372" i="3"/>
  <c r="K372" i="3"/>
  <c r="L371" i="3"/>
  <c r="K371" i="3"/>
  <c r="L370" i="3"/>
  <c r="K370" i="3"/>
  <c r="L369" i="3"/>
  <c r="K369" i="3"/>
  <c r="L368" i="3"/>
  <c r="K368" i="3"/>
  <c r="L367" i="3"/>
  <c r="K367" i="3"/>
  <c r="L366" i="3"/>
  <c r="K366" i="3"/>
  <c r="L365" i="3"/>
  <c r="K365" i="3"/>
  <c r="L364" i="3"/>
  <c r="K364" i="3"/>
  <c r="L363" i="3"/>
  <c r="K363" i="3"/>
  <c r="L362" i="3"/>
  <c r="K362" i="3"/>
  <c r="L361" i="3"/>
  <c r="K361" i="3"/>
  <c r="L360" i="3"/>
  <c r="K360" i="3"/>
  <c r="L359" i="3"/>
  <c r="K359" i="3"/>
  <c r="L358" i="3"/>
  <c r="K358" i="3"/>
  <c r="L357" i="3"/>
  <c r="K357" i="3"/>
  <c r="L356" i="3"/>
  <c r="K356" i="3"/>
  <c r="L355" i="3"/>
  <c r="K355" i="3"/>
  <c r="L354" i="3"/>
  <c r="K354" i="3"/>
  <c r="L353" i="3"/>
  <c r="K353" i="3"/>
  <c r="L352" i="3"/>
  <c r="K352" i="3"/>
  <c r="L351" i="3"/>
  <c r="K351" i="3"/>
  <c r="L350" i="3"/>
  <c r="K350" i="3"/>
  <c r="L349" i="3"/>
  <c r="K349" i="3"/>
  <c r="L348" i="3"/>
  <c r="K348" i="3"/>
  <c r="L347" i="3"/>
  <c r="K347" i="3"/>
  <c r="L346" i="3"/>
  <c r="K346" i="3"/>
  <c r="L345" i="3"/>
  <c r="K345" i="3"/>
  <c r="L344" i="3"/>
  <c r="K344" i="3"/>
  <c r="L343" i="3"/>
  <c r="K343" i="3"/>
  <c r="L342" i="3"/>
  <c r="K342" i="3"/>
  <c r="L341" i="3"/>
  <c r="K341" i="3"/>
  <c r="L340" i="3"/>
  <c r="K340" i="3"/>
  <c r="L339" i="3"/>
  <c r="K339" i="3"/>
  <c r="L338" i="3"/>
  <c r="K338" i="3"/>
  <c r="L337" i="3"/>
  <c r="K337" i="3"/>
  <c r="L336" i="3"/>
  <c r="K336" i="3"/>
  <c r="L335" i="3"/>
  <c r="K335" i="3"/>
  <c r="L334" i="3"/>
  <c r="K334" i="3"/>
  <c r="L333" i="3"/>
  <c r="K333" i="3"/>
  <c r="L332" i="3"/>
  <c r="K332" i="3"/>
  <c r="L331" i="3"/>
  <c r="K331" i="3"/>
  <c r="L330" i="3"/>
  <c r="K330" i="3"/>
  <c r="L329" i="3"/>
  <c r="K329" i="3"/>
  <c r="L328" i="3"/>
  <c r="K328" i="3"/>
  <c r="L327" i="3"/>
  <c r="K327" i="3"/>
  <c r="L326" i="3"/>
  <c r="K326" i="3"/>
  <c r="L325" i="3"/>
  <c r="K325" i="3"/>
  <c r="L324" i="3"/>
  <c r="K324" i="3"/>
  <c r="L323" i="3"/>
  <c r="K323" i="3"/>
  <c r="L322" i="3"/>
  <c r="K322" i="3"/>
  <c r="L321" i="3"/>
  <c r="K321" i="3"/>
  <c r="L320" i="3"/>
  <c r="K320" i="3"/>
  <c r="L319" i="3"/>
  <c r="K319" i="3"/>
  <c r="L318" i="3"/>
  <c r="K318" i="3"/>
  <c r="L317" i="3"/>
  <c r="K317" i="3"/>
  <c r="L316" i="3"/>
  <c r="K316" i="3"/>
  <c r="L315" i="3"/>
  <c r="K315" i="3"/>
  <c r="L314" i="3"/>
  <c r="K314" i="3"/>
  <c r="L313" i="3"/>
  <c r="K313" i="3"/>
  <c r="L312" i="3"/>
  <c r="K312" i="3"/>
  <c r="L311" i="3"/>
  <c r="K311" i="3"/>
  <c r="L310" i="3"/>
  <c r="K310" i="3"/>
  <c r="L309" i="3"/>
  <c r="K309" i="3"/>
  <c r="L308" i="3"/>
  <c r="K308" i="3"/>
  <c r="L307" i="3"/>
  <c r="K307" i="3"/>
  <c r="L306" i="3"/>
  <c r="K306" i="3"/>
  <c r="L305" i="3"/>
  <c r="K305" i="3"/>
  <c r="L304" i="3"/>
  <c r="K304" i="3"/>
  <c r="L303" i="3"/>
  <c r="K303" i="3"/>
  <c r="L302" i="3"/>
  <c r="K302" i="3"/>
  <c r="L301" i="3"/>
  <c r="K301" i="3"/>
  <c r="L300" i="3"/>
  <c r="K300" i="3"/>
  <c r="L299" i="3"/>
  <c r="K299" i="3"/>
  <c r="L298" i="3"/>
  <c r="K298" i="3"/>
  <c r="L297" i="3"/>
  <c r="K297" i="3"/>
  <c r="L296" i="3"/>
  <c r="K296" i="3"/>
  <c r="L295" i="3"/>
  <c r="K295" i="3"/>
  <c r="L294" i="3"/>
  <c r="K294" i="3"/>
  <c r="L293" i="3"/>
  <c r="K293" i="3"/>
  <c r="L292" i="3"/>
  <c r="K292" i="3"/>
  <c r="L291" i="3"/>
  <c r="K291" i="3"/>
  <c r="L290" i="3"/>
  <c r="K290" i="3"/>
  <c r="L289" i="3"/>
  <c r="K289" i="3"/>
  <c r="L288" i="3"/>
  <c r="K288" i="3"/>
  <c r="L287" i="3"/>
  <c r="K287" i="3"/>
  <c r="L286" i="3"/>
  <c r="K286" i="3"/>
  <c r="L285" i="3"/>
  <c r="K285" i="3"/>
  <c r="L284" i="3"/>
  <c r="K284" i="3"/>
  <c r="L283" i="3"/>
  <c r="K283" i="3"/>
  <c r="L282" i="3"/>
  <c r="K282" i="3"/>
  <c r="L281" i="3"/>
  <c r="K281" i="3"/>
  <c r="L280" i="3"/>
  <c r="K280" i="3"/>
  <c r="L279" i="3"/>
  <c r="K279" i="3"/>
  <c r="L278" i="3"/>
  <c r="K278" i="3"/>
  <c r="L277" i="3"/>
  <c r="K277" i="3"/>
  <c r="L276" i="3"/>
  <c r="K276" i="3"/>
  <c r="L275" i="3"/>
  <c r="K275" i="3"/>
  <c r="L274" i="3"/>
  <c r="K274" i="3"/>
  <c r="L273" i="3"/>
  <c r="K273" i="3"/>
  <c r="L272" i="3"/>
  <c r="K272" i="3"/>
  <c r="L271" i="3"/>
  <c r="K271" i="3"/>
  <c r="L270" i="3"/>
  <c r="K270" i="3"/>
  <c r="L269" i="3"/>
  <c r="K269" i="3"/>
  <c r="L268" i="3"/>
  <c r="K268" i="3"/>
  <c r="L267" i="3"/>
  <c r="K267" i="3"/>
  <c r="L266" i="3"/>
  <c r="K266" i="3"/>
  <c r="L265" i="3"/>
  <c r="K265" i="3"/>
  <c r="L264" i="3"/>
  <c r="K264" i="3"/>
  <c r="L263" i="3"/>
  <c r="K263" i="3"/>
  <c r="L262" i="3"/>
  <c r="K262" i="3"/>
  <c r="L261" i="3"/>
  <c r="K261" i="3"/>
  <c r="L260" i="3"/>
  <c r="K260" i="3"/>
  <c r="L259" i="3"/>
  <c r="K259" i="3"/>
  <c r="L258" i="3"/>
  <c r="K258" i="3"/>
  <c r="L257" i="3"/>
  <c r="K257" i="3"/>
  <c r="L256" i="3"/>
  <c r="K256" i="3"/>
  <c r="L255" i="3"/>
  <c r="K255" i="3"/>
  <c r="L254" i="3"/>
  <c r="K254" i="3"/>
  <c r="L253" i="3"/>
  <c r="K253" i="3"/>
  <c r="L252" i="3"/>
  <c r="K252" i="3"/>
  <c r="L251" i="3"/>
  <c r="K251" i="3"/>
  <c r="L250" i="3"/>
  <c r="K250" i="3"/>
  <c r="L249" i="3"/>
  <c r="K249" i="3"/>
  <c r="L248" i="3"/>
  <c r="K248" i="3"/>
  <c r="L247" i="3"/>
  <c r="K247" i="3"/>
  <c r="L246" i="3"/>
  <c r="K246" i="3"/>
  <c r="L245" i="3"/>
  <c r="K245" i="3"/>
  <c r="L244" i="3"/>
  <c r="K244" i="3"/>
  <c r="L243" i="3"/>
  <c r="K243" i="3"/>
  <c r="L242" i="3"/>
  <c r="K242" i="3"/>
  <c r="L241" i="3"/>
  <c r="K241" i="3"/>
  <c r="L240" i="3"/>
  <c r="K240" i="3"/>
  <c r="L239" i="3"/>
  <c r="K239" i="3"/>
  <c r="L238" i="3"/>
  <c r="K238" i="3"/>
  <c r="L237" i="3"/>
  <c r="K237" i="3"/>
  <c r="L236" i="3"/>
  <c r="K236" i="3"/>
  <c r="L235" i="3"/>
  <c r="K235" i="3"/>
  <c r="L234" i="3"/>
  <c r="K234" i="3"/>
  <c r="L233" i="3"/>
  <c r="K233" i="3"/>
  <c r="L232" i="3"/>
  <c r="K232" i="3"/>
  <c r="L231" i="3"/>
  <c r="K231" i="3"/>
  <c r="L230" i="3"/>
  <c r="K230" i="3"/>
  <c r="L229" i="3"/>
  <c r="K229" i="3"/>
  <c r="L228" i="3"/>
  <c r="K228" i="3"/>
  <c r="L227" i="3"/>
  <c r="K227" i="3"/>
  <c r="L226" i="3"/>
  <c r="K226" i="3"/>
  <c r="L225" i="3"/>
  <c r="K225" i="3"/>
  <c r="L224" i="3"/>
  <c r="K224" i="3"/>
  <c r="L223" i="3"/>
  <c r="K223" i="3"/>
  <c r="L222" i="3"/>
  <c r="K222" i="3"/>
  <c r="L221" i="3"/>
  <c r="K221" i="3"/>
  <c r="L220" i="3"/>
  <c r="K220" i="3"/>
  <c r="L219" i="3"/>
  <c r="K219" i="3"/>
  <c r="L218" i="3"/>
  <c r="K218" i="3"/>
  <c r="L217" i="3"/>
  <c r="K217" i="3"/>
  <c r="L216" i="3"/>
  <c r="K216" i="3"/>
  <c r="L215" i="3"/>
  <c r="K215" i="3"/>
  <c r="L214" i="3"/>
  <c r="K214" i="3"/>
  <c r="L213" i="3"/>
  <c r="K213" i="3"/>
  <c r="L212" i="3"/>
  <c r="K212" i="3"/>
  <c r="L211" i="3"/>
  <c r="K211" i="3"/>
  <c r="L210" i="3"/>
  <c r="K210" i="3"/>
  <c r="L209" i="3"/>
  <c r="K209" i="3"/>
  <c r="L208" i="3"/>
  <c r="K208" i="3"/>
  <c r="L207" i="3"/>
  <c r="K207" i="3"/>
  <c r="L206" i="3"/>
  <c r="K206" i="3"/>
  <c r="L205" i="3"/>
  <c r="K205" i="3"/>
  <c r="L204" i="3"/>
  <c r="K204" i="3"/>
  <c r="L203" i="3"/>
  <c r="K203" i="3"/>
  <c r="L202" i="3"/>
  <c r="K202" i="3"/>
  <c r="L201" i="3"/>
  <c r="K201" i="3"/>
  <c r="L200" i="3"/>
  <c r="K200" i="3"/>
  <c r="L199" i="3"/>
  <c r="K199" i="3"/>
  <c r="L198" i="3"/>
  <c r="K198" i="3"/>
  <c r="L197" i="3"/>
  <c r="K197" i="3"/>
  <c r="L196" i="3"/>
  <c r="K196" i="3"/>
  <c r="L195" i="3"/>
  <c r="K195" i="3"/>
  <c r="L194" i="3"/>
  <c r="K194" i="3"/>
  <c r="L193" i="3"/>
  <c r="K193" i="3"/>
  <c r="L192" i="3"/>
  <c r="K192" i="3"/>
  <c r="L191" i="3"/>
  <c r="K191" i="3"/>
  <c r="L190" i="3"/>
  <c r="K190" i="3"/>
  <c r="L189" i="3"/>
  <c r="K189" i="3"/>
  <c r="L188" i="3"/>
  <c r="K188" i="3"/>
  <c r="L187" i="3"/>
  <c r="K187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4" i="3"/>
  <c r="K164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L135" i="3"/>
  <c r="K135" i="3"/>
  <c r="L134" i="3"/>
  <c r="K134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K125" i="3"/>
  <c r="L124" i="3"/>
  <c r="K124" i="3"/>
  <c r="L123" i="3"/>
  <c r="K123" i="3"/>
  <c r="L122" i="3"/>
  <c r="K122" i="3"/>
  <c r="L121" i="3"/>
  <c r="K121" i="3"/>
  <c r="L120" i="3"/>
  <c r="K120" i="3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3" i="3"/>
  <c r="K93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K811" i="2"/>
  <c r="L811" i="2" s="1"/>
  <c r="M811" i="2" s="1"/>
  <c r="K810" i="2"/>
  <c r="L810" i="2" s="1"/>
  <c r="M810" i="2" s="1"/>
  <c r="K809" i="2"/>
  <c r="L809" i="2" s="1"/>
  <c r="M809" i="2" s="1"/>
  <c r="K808" i="2"/>
  <c r="L808" i="2" s="1"/>
  <c r="M808" i="2" s="1"/>
  <c r="K807" i="2"/>
  <c r="L807" i="2" s="1"/>
  <c r="M807" i="2" s="1"/>
  <c r="K806" i="2"/>
  <c r="L806" i="2" s="1"/>
  <c r="M806" i="2" s="1"/>
  <c r="K805" i="2"/>
  <c r="L805" i="2" s="1"/>
  <c r="M805" i="2" s="1"/>
  <c r="K804" i="2"/>
  <c r="L804" i="2" s="1"/>
  <c r="M804" i="2" s="1"/>
  <c r="K803" i="2"/>
  <c r="L803" i="2" s="1"/>
  <c r="M803" i="2" s="1"/>
  <c r="K802" i="2"/>
  <c r="L802" i="2" s="1"/>
  <c r="M802" i="2" s="1"/>
  <c r="K801" i="2"/>
  <c r="L801" i="2" s="1"/>
  <c r="M801" i="2" s="1"/>
  <c r="K800" i="2"/>
  <c r="L800" i="2" s="1"/>
  <c r="M800" i="2" s="1"/>
  <c r="K799" i="2"/>
  <c r="L799" i="2" s="1"/>
  <c r="M799" i="2" s="1"/>
  <c r="K798" i="2"/>
  <c r="L798" i="2" s="1"/>
  <c r="M798" i="2" s="1"/>
  <c r="K797" i="2"/>
  <c r="L797" i="2" s="1"/>
  <c r="M797" i="2" s="1"/>
  <c r="K796" i="2"/>
  <c r="L796" i="2" s="1"/>
  <c r="M796" i="2" s="1"/>
  <c r="K795" i="2"/>
  <c r="L795" i="2" s="1"/>
  <c r="M795" i="2" s="1"/>
  <c r="K794" i="2"/>
  <c r="L794" i="2" s="1"/>
  <c r="M794" i="2" s="1"/>
  <c r="K793" i="2"/>
  <c r="L793" i="2" s="1"/>
  <c r="M793" i="2" s="1"/>
  <c r="K792" i="2"/>
  <c r="L792" i="2" s="1"/>
  <c r="M792" i="2" s="1"/>
  <c r="K791" i="2"/>
  <c r="L791" i="2" s="1"/>
  <c r="M791" i="2" s="1"/>
  <c r="K790" i="2"/>
  <c r="L790" i="2" s="1"/>
  <c r="M790" i="2" s="1"/>
  <c r="K789" i="2"/>
  <c r="L789" i="2" s="1"/>
  <c r="M789" i="2" s="1"/>
  <c r="K788" i="2"/>
  <c r="L788" i="2" s="1"/>
  <c r="M788" i="2" s="1"/>
  <c r="K787" i="2"/>
  <c r="L787" i="2" s="1"/>
  <c r="M787" i="2" s="1"/>
  <c r="K786" i="2"/>
  <c r="L786" i="2" s="1"/>
  <c r="M786" i="2" s="1"/>
  <c r="K785" i="2"/>
  <c r="L785" i="2" s="1"/>
  <c r="M785" i="2" s="1"/>
  <c r="K784" i="2"/>
  <c r="L784" i="2" s="1"/>
  <c r="M784" i="2" s="1"/>
  <c r="K783" i="2"/>
  <c r="L783" i="2" s="1"/>
  <c r="M783" i="2" s="1"/>
  <c r="K782" i="2"/>
  <c r="L782" i="2" s="1"/>
  <c r="M782" i="2" s="1"/>
  <c r="K781" i="2"/>
  <c r="L781" i="2" s="1"/>
  <c r="M781" i="2" s="1"/>
  <c r="K780" i="2"/>
  <c r="L780" i="2" s="1"/>
  <c r="M780" i="2" s="1"/>
  <c r="K779" i="2"/>
  <c r="L779" i="2" s="1"/>
  <c r="M779" i="2" s="1"/>
  <c r="K778" i="2"/>
  <c r="L778" i="2" s="1"/>
  <c r="M778" i="2" s="1"/>
  <c r="K777" i="2"/>
  <c r="L777" i="2" s="1"/>
  <c r="M777" i="2" s="1"/>
  <c r="K776" i="2"/>
  <c r="L776" i="2" s="1"/>
  <c r="M776" i="2" s="1"/>
  <c r="K775" i="2"/>
  <c r="L775" i="2" s="1"/>
  <c r="M775" i="2" s="1"/>
  <c r="K774" i="2"/>
  <c r="L774" i="2" s="1"/>
  <c r="M774" i="2" s="1"/>
  <c r="K773" i="2"/>
  <c r="L773" i="2" s="1"/>
  <c r="M773" i="2" s="1"/>
  <c r="K772" i="2"/>
  <c r="L772" i="2" s="1"/>
  <c r="M772" i="2" s="1"/>
  <c r="K771" i="2"/>
  <c r="L771" i="2" s="1"/>
  <c r="M771" i="2" s="1"/>
  <c r="K770" i="2"/>
  <c r="L770" i="2" s="1"/>
  <c r="M770" i="2" s="1"/>
  <c r="K769" i="2"/>
  <c r="L769" i="2" s="1"/>
  <c r="M769" i="2" s="1"/>
  <c r="K768" i="2"/>
  <c r="L768" i="2" s="1"/>
  <c r="M768" i="2" s="1"/>
  <c r="K767" i="2"/>
  <c r="L767" i="2" s="1"/>
  <c r="M767" i="2" s="1"/>
  <c r="K766" i="2"/>
  <c r="L766" i="2" s="1"/>
  <c r="M766" i="2" s="1"/>
  <c r="K765" i="2"/>
  <c r="L765" i="2" s="1"/>
  <c r="M765" i="2" s="1"/>
  <c r="K764" i="2"/>
  <c r="L764" i="2" s="1"/>
  <c r="M764" i="2" s="1"/>
  <c r="K763" i="2"/>
  <c r="L763" i="2" s="1"/>
  <c r="M763" i="2" s="1"/>
  <c r="K762" i="2"/>
  <c r="L762" i="2" s="1"/>
  <c r="M762" i="2" s="1"/>
  <c r="K761" i="2"/>
  <c r="L761" i="2" s="1"/>
  <c r="M761" i="2" s="1"/>
  <c r="K760" i="2"/>
  <c r="L760" i="2" s="1"/>
  <c r="M760" i="2" s="1"/>
  <c r="K759" i="2"/>
  <c r="L759" i="2" s="1"/>
  <c r="M759" i="2" s="1"/>
  <c r="K758" i="2"/>
  <c r="L758" i="2" s="1"/>
  <c r="M758" i="2" s="1"/>
  <c r="K757" i="2"/>
  <c r="L757" i="2" s="1"/>
  <c r="M757" i="2" s="1"/>
  <c r="K756" i="2"/>
  <c r="L756" i="2" s="1"/>
  <c r="M756" i="2" s="1"/>
  <c r="K755" i="2"/>
  <c r="L755" i="2" s="1"/>
  <c r="M755" i="2" s="1"/>
  <c r="K754" i="2"/>
  <c r="L754" i="2" s="1"/>
  <c r="M754" i="2" s="1"/>
  <c r="K753" i="2"/>
  <c r="L753" i="2" s="1"/>
  <c r="M753" i="2" s="1"/>
  <c r="K752" i="2"/>
  <c r="L752" i="2" s="1"/>
  <c r="M752" i="2" s="1"/>
  <c r="K751" i="2"/>
  <c r="L751" i="2" s="1"/>
  <c r="M751" i="2" s="1"/>
  <c r="K750" i="2"/>
  <c r="L750" i="2" s="1"/>
  <c r="M750" i="2" s="1"/>
  <c r="K749" i="2"/>
  <c r="L749" i="2" s="1"/>
  <c r="M749" i="2" s="1"/>
  <c r="K748" i="2"/>
  <c r="L748" i="2" s="1"/>
  <c r="M748" i="2" s="1"/>
  <c r="K747" i="2"/>
  <c r="L747" i="2" s="1"/>
  <c r="M747" i="2" s="1"/>
  <c r="K746" i="2"/>
  <c r="L746" i="2" s="1"/>
  <c r="M746" i="2" s="1"/>
  <c r="K745" i="2"/>
  <c r="L745" i="2" s="1"/>
  <c r="M745" i="2" s="1"/>
  <c r="K744" i="2"/>
  <c r="L744" i="2" s="1"/>
  <c r="M744" i="2" s="1"/>
  <c r="K743" i="2"/>
  <c r="L743" i="2" s="1"/>
  <c r="M743" i="2" s="1"/>
  <c r="K742" i="2"/>
  <c r="L742" i="2" s="1"/>
  <c r="M742" i="2" s="1"/>
  <c r="K741" i="2"/>
  <c r="L741" i="2" s="1"/>
  <c r="M741" i="2" s="1"/>
  <c r="K740" i="2"/>
  <c r="L740" i="2" s="1"/>
  <c r="M740" i="2" s="1"/>
  <c r="K739" i="2"/>
  <c r="L739" i="2" s="1"/>
  <c r="M739" i="2" s="1"/>
  <c r="K738" i="2"/>
  <c r="L738" i="2" s="1"/>
  <c r="M738" i="2" s="1"/>
  <c r="K737" i="2"/>
  <c r="L737" i="2" s="1"/>
  <c r="M737" i="2" s="1"/>
  <c r="K736" i="2"/>
  <c r="L736" i="2" s="1"/>
  <c r="M736" i="2" s="1"/>
  <c r="K735" i="2"/>
  <c r="L735" i="2" s="1"/>
  <c r="M735" i="2" s="1"/>
  <c r="K734" i="2"/>
  <c r="L734" i="2" s="1"/>
  <c r="M734" i="2" s="1"/>
  <c r="K733" i="2"/>
  <c r="L733" i="2" s="1"/>
  <c r="M733" i="2" s="1"/>
  <c r="K732" i="2"/>
  <c r="L732" i="2" s="1"/>
  <c r="M732" i="2" s="1"/>
  <c r="K731" i="2"/>
  <c r="L731" i="2" s="1"/>
  <c r="M731" i="2" s="1"/>
  <c r="K730" i="2"/>
  <c r="L730" i="2" s="1"/>
  <c r="M730" i="2" s="1"/>
  <c r="K729" i="2"/>
  <c r="L729" i="2" s="1"/>
  <c r="M729" i="2" s="1"/>
  <c r="K728" i="2"/>
  <c r="L728" i="2" s="1"/>
  <c r="M728" i="2" s="1"/>
  <c r="K727" i="2"/>
  <c r="L727" i="2" s="1"/>
  <c r="M727" i="2" s="1"/>
  <c r="K726" i="2"/>
  <c r="L726" i="2" s="1"/>
  <c r="M726" i="2" s="1"/>
  <c r="K725" i="2"/>
  <c r="L725" i="2" s="1"/>
  <c r="M725" i="2" s="1"/>
  <c r="K724" i="2"/>
  <c r="L724" i="2" s="1"/>
  <c r="M724" i="2" s="1"/>
  <c r="K723" i="2"/>
  <c r="L723" i="2" s="1"/>
  <c r="M723" i="2" s="1"/>
  <c r="K722" i="2"/>
  <c r="L722" i="2" s="1"/>
  <c r="M722" i="2" s="1"/>
  <c r="K721" i="2"/>
  <c r="L721" i="2" s="1"/>
  <c r="M721" i="2" s="1"/>
  <c r="K720" i="2"/>
  <c r="L720" i="2" s="1"/>
  <c r="M720" i="2" s="1"/>
  <c r="K719" i="2"/>
  <c r="L719" i="2" s="1"/>
  <c r="M719" i="2" s="1"/>
  <c r="K718" i="2"/>
  <c r="L718" i="2" s="1"/>
  <c r="M718" i="2" s="1"/>
  <c r="K717" i="2"/>
  <c r="L717" i="2" s="1"/>
  <c r="M717" i="2" s="1"/>
  <c r="K716" i="2"/>
  <c r="L716" i="2" s="1"/>
  <c r="M716" i="2" s="1"/>
  <c r="K715" i="2"/>
  <c r="L715" i="2" s="1"/>
  <c r="M715" i="2" s="1"/>
  <c r="K714" i="2"/>
  <c r="L714" i="2" s="1"/>
  <c r="M714" i="2" s="1"/>
  <c r="K713" i="2"/>
  <c r="L713" i="2" s="1"/>
  <c r="M713" i="2" s="1"/>
  <c r="K712" i="2"/>
  <c r="L712" i="2" s="1"/>
  <c r="M712" i="2" s="1"/>
  <c r="K711" i="2"/>
  <c r="L711" i="2" s="1"/>
  <c r="M711" i="2" s="1"/>
  <c r="K710" i="2"/>
  <c r="L710" i="2" s="1"/>
  <c r="M710" i="2" s="1"/>
  <c r="K709" i="2"/>
  <c r="L709" i="2" s="1"/>
  <c r="M709" i="2" s="1"/>
  <c r="K708" i="2"/>
  <c r="L708" i="2" s="1"/>
  <c r="M708" i="2" s="1"/>
  <c r="K707" i="2"/>
  <c r="L707" i="2" s="1"/>
  <c r="M707" i="2" s="1"/>
  <c r="K706" i="2"/>
  <c r="L706" i="2" s="1"/>
  <c r="M706" i="2" s="1"/>
  <c r="K705" i="2"/>
  <c r="L705" i="2" s="1"/>
  <c r="M705" i="2" s="1"/>
  <c r="K704" i="2"/>
  <c r="L704" i="2" s="1"/>
  <c r="M704" i="2" s="1"/>
  <c r="K703" i="2"/>
  <c r="L703" i="2" s="1"/>
  <c r="M703" i="2" s="1"/>
  <c r="K702" i="2"/>
  <c r="L702" i="2" s="1"/>
  <c r="M702" i="2" s="1"/>
  <c r="K701" i="2"/>
  <c r="L701" i="2" s="1"/>
  <c r="M701" i="2" s="1"/>
  <c r="K700" i="2"/>
  <c r="L700" i="2" s="1"/>
  <c r="M700" i="2" s="1"/>
  <c r="K699" i="2"/>
  <c r="L699" i="2" s="1"/>
  <c r="M699" i="2" s="1"/>
  <c r="K698" i="2"/>
  <c r="L698" i="2" s="1"/>
  <c r="M698" i="2" s="1"/>
  <c r="K697" i="2"/>
  <c r="L697" i="2" s="1"/>
  <c r="M697" i="2" s="1"/>
  <c r="K696" i="2"/>
  <c r="L696" i="2" s="1"/>
  <c r="M696" i="2" s="1"/>
  <c r="K695" i="2"/>
  <c r="L695" i="2" s="1"/>
  <c r="M695" i="2" s="1"/>
  <c r="K694" i="2"/>
  <c r="L694" i="2" s="1"/>
  <c r="M694" i="2" s="1"/>
  <c r="K693" i="2"/>
  <c r="L693" i="2" s="1"/>
  <c r="M693" i="2" s="1"/>
  <c r="K692" i="2"/>
  <c r="L692" i="2" s="1"/>
  <c r="M692" i="2" s="1"/>
  <c r="K691" i="2"/>
  <c r="L691" i="2" s="1"/>
  <c r="M691" i="2" s="1"/>
  <c r="K690" i="2"/>
  <c r="L690" i="2" s="1"/>
  <c r="M690" i="2" s="1"/>
  <c r="K689" i="2"/>
  <c r="L689" i="2" s="1"/>
  <c r="M689" i="2" s="1"/>
  <c r="K688" i="2"/>
  <c r="L688" i="2" s="1"/>
  <c r="M688" i="2" s="1"/>
  <c r="K687" i="2"/>
  <c r="L687" i="2" s="1"/>
  <c r="M687" i="2" s="1"/>
  <c r="K686" i="2"/>
  <c r="L686" i="2" s="1"/>
  <c r="M686" i="2" s="1"/>
  <c r="K685" i="2"/>
  <c r="L685" i="2" s="1"/>
  <c r="M685" i="2" s="1"/>
  <c r="K684" i="2"/>
  <c r="L684" i="2" s="1"/>
  <c r="M684" i="2" s="1"/>
  <c r="K683" i="2"/>
  <c r="L683" i="2" s="1"/>
  <c r="M683" i="2" s="1"/>
  <c r="K682" i="2"/>
  <c r="L682" i="2" s="1"/>
  <c r="M682" i="2" s="1"/>
  <c r="K681" i="2"/>
  <c r="L681" i="2" s="1"/>
  <c r="M681" i="2" s="1"/>
  <c r="K680" i="2"/>
  <c r="L680" i="2" s="1"/>
  <c r="M680" i="2" s="1"/>
  <c r="K679" i="2"/>
  <c r="L679" i="2" s="1"/>
  <c r="M679" i="2" s="1"/>
  <c r="K678" i="2"/>
  <c r="L678" i="2" s="1"/>
  <c r="M678" i="2" s="1"/>
  <c r="K677" i="2"/>
  <c r="L677" i="2" s="1"/>
  <c r="M677" i="2" s="1"/>
  <c r="K676" i="2"/>
  <c r="L676" i="2" s="1"/>
  <c r="M676" i="2" s="1"/>
  <c r="K675" i="2"/>
  <c r="L675" i="2" s="1"/>
  <c r="M675" i="2" s="1"/>
  <c r="K674" i="2"/>
  <c r="L674" i="2" s="1"/>
  <c r="M674" i="2" s="1"/>
  <c r="K673" i="2"/>
  <c r="L673" i="2" s="1"/>
  <c r="M673" i="2" s="1"/>
  <c r="K672" i="2"/>
  <c r="L672" i="2" s="1"/>
  <c r="M672" i="2" s="1"/>
  <c r="K671" i="2"/>
  <c r="L671" i="2" s="1"/>
  <c r="M671" i="2" s="1"/>
  <c r="K670" i="2"/>
  <c r="L670" i="2" s="1"/>
  <c r="M670" i="2" s="1"/>
  <c r="K669" i="2"/>
  <c r="L669" i="2" s="1"/>
  <c r="M669" i="2" s="1"/>
  <c r="K668" i="2"/>
  <c r="L668" i="2" s="1"/>
  <c r="M668" i="2" s="1"/>
  <c r="K667" i="2"/>
  <c r="L667" i="2" s="1"/>
  <c r="M667" i="2" s="1"/>
  <c r="K666" i="2"/>
  <c r="L666" i="2" s="1"/>
  <c r="M666" i="2" s="1"/>
  <c r="K665" i="2"/>
  <c r="L665" i="2" s="1"/>
  <c r="M665" i="2" s="1"/>
  <c r="K664" i="2"/>
  <c r="L664" i="2" s="1"/>
  <c r="M664" i="2" s="1"/>
  <c r="K663" i="2"/>
  <c r="L663" i="2" s="1"/>
  <c r="M663" i="2" s="1"/>
  <c r="K662" i="2"/>
  <c r="L662" i="2" s="1"/>
  <c r="M662" i="2" s="1"/>
  <c r="K661" i="2"/>
  <c r="L661" i="2" s="1"/>
  <c r="M661" i="2" s="1"/>
  <c r="K660" i="2"/>
  <c r="L660" i="2" s="1"/>
  <c r="M660" i="2" s="1"/>
  <c r="K659" i="2"/>
  <c r="L659" i="2" s="1"/>
  <c r="M659" i="2" s="1"/>
  <c r="K658" i="2"/>
  <c r="L658" i="2" s="1"/>
  <c r="M658" i="2" s="1"/>
  <c r="K657" i="2"/>
  <c r="L657" i="2" s="1"/>
  <c r="M657" i="2" s="1"/>
  <c r="K656" i="2"/>
  <c r="L656" i="2" s="1"/>
  <c r="M656" i="2" s="1"/>
  <c r="K655" i="2"/>
  <c r="L655" i="2" s="1"/>
  <c r="M655" i="2" s="1"/>
  <c r="K654" i="2"/>
  <c r="L654" i="2" s="1"/>
  <c r="M654" i="2" s="1"/>
  <c r="K653" i="2"/>
  <c r="L653" i="2" s="1"/>
  <c r="M653" i="2" s="1"/>
  <c r="K652" i="2"/>
  <c r="L652" i="2" s="1"/>
  <c r="M652" i="2" s="1"/>
  <c r="K651" i="2"/>
  <c r="L651" i="2" s="1"/>
  <c r="M651" i="2" s="1"/>
  <c r="K650" i="2"/>
  <c r="L650" i="2" s="1"/>
  <c r="M650" i="2" s="1"/>
  <c r="K649" i="2"/>
  <c r="L649" i="2" s="1"/>
  <c r="M649" i="2" s="1"/>
  <c r="K648" i="2"/>
  <c r="L648" i="2" s="1"/>
  <c r="M648" i="2" s="1"/>
  <c r="K647" i="2"/>
  <c r="L647" i="2" s="1"/>
  <c r="M647" i="2" s="1"/>
  <c r="K646" i="2"/>
  <c r="L646" i="2" s="1"/>
  <c r="M646" i="2" s="1"/>
  <c r="K645" i="2"/>
  <c r="L645" i="2" s="1"/>
  <c r="M645" i="2" s="1"/>
  <c r="K644" i="2"/>
  <c r="L644" i="2" s="1"/>
  <c r="M644" i="2" s="1"/>
  <c r="K643" i="2"/>
  <c r="L643" i="2" s="1"/>
  <c r="M643" i="2" s="1"/>
  <c r="K642" i="2"/>
  <c r="L642" i="2" s="1"/>
  <c r="M642" i="2" s="1"/>
  <c r="K641" i="2"/>
  <c r="L641" i="2" s="1"/>
  <c r="M641" i="2" s="1"/>
  <c r="K640" i="2"/>
  <c r="L640" i="2" s="1"/>
  <c r="M640" i="2" s="1"/>
  <c r="K639" i="2"/>
  <c r="L639" i="2" s="1"/>
  <c r="M639" i="2" s="1"/>
  <c r="K638" i="2"/>
  <c r="L638" i="2" s="1"/>
  <c r="M638" i="2" s="1"/>
  <c r="K637" i="2"/>
  <c r="L637" i="2" s="1"/>
  <c r="M637" i="2" s="1"/>
  <c r="K636" i="2"/>
  <c r="L636" i="2" s="1"/>
  <c r="M636" i="2" s="1"/>
  <c r="K635" i="2"/>
  <c r="L635" i="2" s="1"/>
  <c r="M635" i="2" s="1"/>
  <c r="K634" i="2"/>
  <c r="L634" i="2" s="1"/>
  <c r="M634" i="2" s="1"/>
  <c r="K633" i="2"/>
  <c r="L633" i="2" s="1"/>
  <c r="M633" i="2" s="1"/>
  <c r="K632" i="2"/>
  <c r="L632" i="2" s="1"/>
  <c r="M632" i="2" s="1"/>
  <c r="K631" i="2"/>
  <c r="L631" i="2" s="1"/>
  <c r="M631" i="2" s="1"/>
  <c r="K630" i="2"/>
  <c r="L630" i="2" s="1"/>
  <c r="M630" i="2" s="1"/>
  <c r="K629" i="2"/>
  <c r="L629" i="2" s="1"/>
  <c r="M629" i="2" s="1"/>
  <c r="K628" i="2"/>
  <c r="L628" i="2" s="1"/>
  <c r="M628" i="2" s="1"/>
  <c r="K627" i="2"/>
  <c r="L627" i="2" s="1"/>
  <c r="M627" i="2" s="1"/>
  <c r="K626" i="2"/>
  <c r="L626" i="2" s="1"/>
  <c r="M626" i="2" s="1"/>
  <c r="K625" i="2"/>
  <c r="L625" i="2" s="1"/>
  <c r="M625" i="2" s="1"/>
  <c r="K624" i="2"/>
  <c r="L624" i="2" s="1"/>
  <c r="M624" i="2" s="1"/>
  <c r="K623" i="2"/>
  <c r="L623" i="2" s="1"/>
  <c r="M623" i="2" s="1"/>
  <c r="K622" i="2"/>
  <c r="L622" i="2" s="1"/>
  <c r="M622" i="2" s="1"/>
  <c r="K621" i="2"/>
  <c r="L621" i="2" s="1"/>
  <c r="M621" i="2" s="1"/>
  <c r="K620" i="2"/>
  <c r="L620" i="2" s="1"/>
  <c r="M620" i="2" s="1"/>
  <c r="K619" i="2"/>
  <c r="L619" i="2" s="1"/>
  <c r="M619" i="2" s="1"/>
  <c r="K618" i="2"/>
  <c r="L618" i="2" s="1"/>
  <c r="M618" i="2" s="1"/>
  <c r="K617" i="2"/>
  <c r="L617" i="2" s="1"/>
  <c r="M617" i="2" s="1"/>
  <c r="K616" i="2"/>
  <c r="L616" i="2" s="1"/>
  <c r="M616" i="2" s="1"/>
  <c r="K615" i="2"/>
  <c r="L615" i="2" s="1"/>
  <c r="M615" i="2" s="1"/>
  <c r="K614" i="2"/>
  <c r="L614" i="2" s="1"/>
  <c r="M614" i="2" s="1"/>
  <c r="K613" i="2"/>
  <c r="L613" i="2" s="1"/>
  <c r="M613" i="2" s="1"/>
  <c r="K612" i="2"/>
  <c r="L612" i="2" s="1"/>
  <c r="M612" i="2" s="1"/>
  <c r="K611" i="2"/>
  <c r="L611" i="2" s="1"/>
  <c r="M611" i="2" s="1"/>
  <c r="K610" i="2"/>
  <c r="L610" i="2" s="1"/>
  <c r="M610" i="2" s="1"/>
  <c r="K609" i="2"/>
  <c r="L609" i="2" s="1"/>
  <c r="M609" i="2" s="1"/>
  <c r="K608" i="2"/>
  <c r="L608" i="2" s="1"/>
  <c r="M608" i="2" s="1"/>
  <c r="K607" i="2"/>
  <c r="L607" i="2" s="1"/>
  <c r="M607" i="2" s="1"/>
  <c r="K606" i="2"/>
  <c r="L606" i="2" s="1"/>
  <c r="M606" i="2" s="1"/>
  <c r="K605" i="2"/>
  <c r="L605" i="2" s="1"/>
  <c r="M605" i="2" s="1"/>
  <c r="K604" i="2"/>
  <c r="L604" i="2" s="1"/>
  <c r="M604" i="2" s="1"/>
  <c r="K603" i="2"/>
  <c r="L603" i="2" s="1"/>
  <c r="M603" i="2" s="1"/>
  <c r="K602" i="2"/>
  <c r="L602" i="2" s="1"/>
  <c r="M602" i="2" s="1"/>
  <c r="K601" i="2"/>
  <c r="L601" i="2" s="1"/>
  <c r="M601" i="2" s="1"/>
  <c r="K600" i="2"/>
  <c r="L600" i="2" s="1"/>
  <c r="M600" i="2" s="1"/>
  <c r="K599" i="2"/>
  <c r="L599" i="2" s="1"/>
  <c r="M599" i="2" s="1"/>
  <c r="K598" i="2"/>
  <c r="L598" i="2" s="1"/>
  <c r="M598" i="2" s="1"/>
  <c r="K597" i="2"/>
  <c r="L597" i="2" s="1"/>
  <c r="M597" i="2" s="1"/>
  <c r="K596" i="2"/>
  <c r="L596" i="2" s="1"/>
  <c r="M596" i="2" s="1"/>
  <c r="K595" i="2"/>
  <c r="L595" i="2" s="1"/>
  <c r="M595" i="2" s="1"/>
  <c r="K594" i="2"/>
  <c r="L594" i="2" s="1"/>
  <c r="M594" i="2" s="1"/>
  <c r="K593" i="2"/>
  <c r="L593" i="2" s="1"/>
  <c r="M593" i="2" s="1"/>
  <c r="K592" i="2"/>
  <c r="L592" i="2" s="1"/>
  <c r="M592" i="2" s="1"/>
  <c r="K591" i="2"/>
  <c r="L591" i="2" s="1"/>
  <c r="M591" i="2" s="1"/>
  <c r="K590" i="2"/>
  <c r="L590" i="2" s="1"/>
  <c r="M590" i="2" s="1"/>
  <c r="K589" i="2"/>
  <c r="L589" i="2" s="1"/>
  <c r="M589" i="2" s="1"/>
  <c r="K588" i="2"/>
  <c r="L588" i="2" s="1"/>
  <c r="M588" i="2" s="1"/>
  <c r="K587" i="2"/>
  <c r="L587" i="2" s="1"/>
  <c r="M587" i="2" s="1"/>
  <c r="K586" i="2"/>
  <c r="L586" i="2" s="1"/>
  <c r="M586" i="2" s="1"/>
  <c r="K585" i="2"/>
  <c r="L585" i="2" s="1"/>
  <c r="M585" i="2" s="1"/>
  <c r="K584" i="2"/>
  <c r="L584" i="2" s="1"/>
  <c r="M584" i="2" s="1"/>
  <c r="K583" i="2"/>
  <c r="L583" i="2" s="1"/>
  <c r="M583" i="2" s="1"/>
  <c r="K582" i="2"/>
  <c r="L582" i="2" s="1"/>
  <c r="M582" i="2" s="1"/>
  <c r="K581" i="2"/>
  <c r="L581" i="2" s="1"/>
  <c r="M581" i="2" s="1"/>
  <c r="K580" i="2"/>
  <c r="L580" i="2" s="1"/>
  <c r="M580" i="2" s="1"/>
  <c r="K579" i="2"/>
  <c r="L579" i="2" s="1"/>
  <c r="M579" i="2" s="1"/>
  <c r="K578" i="2"/>
  <c r="L578" i="2" s="1"/>
  <c r="M578" i="2" s="1"/>
  <c r="K577" i="2"/>
  <c r="L577" i="2" s="1"/>
  <c r="M577" i="2" s="1"/>
  <c r="K576" i="2"/>
  <c r="L576" i="2" s="1"/>
  <c r="M576" i="2" s="1"/>
  <c r="K575" i="2"/>
  <c r="L575" i="2" s="1"/>
  <c r="M575" i="2" s="1"/>
  <c r="K574" i="2"/>
  <c r="L574" i="2" s="1"/>
  <c r="M574" i="2" s="1"/>
  <c r="K573" i="2"/>
  <c r="L573" i="2" s="1"/>
  <c r="M573" i="2" s="1"/>
  <c r="K572" i="2"/>
  <c r="L572" i="2" s="1"/>
  <c r="M572" i="2" s="1"/>
  <c r="K571" i="2"/>
  <c r="L571" i="2" s="1"/>
  <c r="M571" i="2" s="1"/>
  <c r="K570" i="2"/>
  <c r="L570" i="2" s="1"/>
  <c r="M570" i="2" s="1"/>
  <c r="K569" i="2"/>
  <c r="L569" i="2" s="1"/>
  <c r="M569" i="2" s="1"/>
  <c r="K568" i="2"/>
  <c r="L568" i="2" s="1"/>
  <c r="M568" i="2" s="1"/>
  <c r="K567" i="2"/>
  <c r="L567" i="2" s="1"/>
  <c r="M567" i="2" s="1"/>
  <c r="K566" i="2"/>
  <c r="L566" i="2" s="1"/>
  <c r="M566" i="2" s="1"/>
  <c r="K565" i="2"/>
  <c r="L565" i="2" s="1"/>
  <c r="M565" i="2" s="1"/>
  <c r="K564" i="2"/>
  <c r="L564" i="2" s="1"/>
  <c r="M564" i="2" s="1"/>
  <c r="K563" i="2"/>
  <c r="L563" i="2" s="1"/>
  <c r="M563" i="2" s="1"/>
  <c r="K562" i="2"/>
  <c r="L562" i="2" s="1"/>
  <c r="M562" i="2" s="1"/>
  <c r="K561" i="2"/>
  <c r="L561" i="2" s="1"/>
  <c r="M561" i="2" s="1"/>
  <c r="K560" i="2"/>
  <c r="L560" i="2" s="1"/>
  <c r="M560" i="2" s="1"/>
  <c r="K559" i="2"/>
  <c r="L559" i="2" s="1"/>
  <c r="M559" i="2" s="1"/>
  <c r="K558" i="2"/>
  <c r="L558" i="2" s="1"/>
  <c r="M558" i="2" s="1"/>
  <c r="K557" i="2"/>
  <c r="L557" i="2" s="1"/>
  <c r="M557" i="2" s="1"/>
  <c r="K556" i="2"/>
  <c r="L556" i="2" s="1"/>
  <c r="M556" i="2" s="1"/>
  <c r="K555" i="2"/>
  <c r="L555" i="2" s="1"/>
  <c r="M555" i="2" s="1"/>
  <c r="K554" i="2"/>
  <c r="L554" i="2" s="1"/>
  <c r="M554" i="2" s="1"/>
  <c r="K553" i="2"/>
  <c r="L553" i="2" s="1"/>
  <c r="M553" i="2" s="1"/>
  <c r="K552" i="2"/>
  <c r="L552" i="2" s="1"/>
  <c r="M552" i="2" s="1"/>
  <c r="K551" i="2"/>
  <c r="L551" i="2" s="1"/>
  <c r="M551" i="2" s="1"/>
  <c r="K550" i="2"/>
  <c r="L550" i="2" s="1"/>
  <c r="M550" i="2" s="1"/>
  <c r="K549" i="2"/>
  <c r="L549" i="2" s="1"/>
  <c r="M549" i="2" s="1"/>
  <c r="K548" i="2"/>
  <c r="L548" i="2" s="1"/>
  <c r="M548" i="2" s="1"/>
  <c r="K547" i="2"/>
  <c r="L547" i="2" s="1"/>
  <c r="M547" i="2" s="1"/>
  <c r="K546" i="2"/>
  <c r="L546" i="2" s="1"/>
  <c r="M546" i="2" s="1"/>
  <c r="K545" i="2"/>
  <c r="L545" i="2" s="1"/>
  <c r="M545" i="2" s="1"/>
  <c r="K544" i="2"/>
  <c r="L544" i="2" s="1"/>
  <c r="M544" i="2" s="1"/>
  <c r="K543" i="2"/>
  <c r="L543" i="2" s="1"/>
  <c r="M543" i="2" s="1"/>
  <c r="K542" i="2"/>
  <c r="L542" i="2" s="1"/>
  <c r="M542" i="2" s="1"/>
  <c r="K541" i="2"/>
  <c r="L541" i="2" s="1"/>
  <c r="M541" i="2" s="1"/>
  <c r="K540" i="2"/>
  <c r="L540" i="2" s="1"/>
  <c r="M540" i="2" s="1"/>
  <c r="K539" i="2"/>
  <c r="L539" i="2" s="1"/>
  <c r="M539" i="2" s="1"/>
  <c r="K538" i="2"/>
  <c r="L538" i="2" s="1"/>
  <c r="M538" i="2" s="1"/>
  <c r="K537" i="2"/>
  <c r="L537" i="2" s="1"/>
  <c r="M537" i="2" s="1"/>
  <c r="K536" i="2"/>
  <c r="L536" i="2" s="1"/>
  <c r="M536" i="2" s="1"/>
  <c r="K535" i="2"/>
  <c r="L535" i="2" s="1"/>
  <c r="M535" i="2" s="1"/>
  <c r="K534" i="2"/>
  <c r="L534" i="2" s="1"/>
  <c r="M534" i="2" s="1"/>
  <c r="K533" i="2"/>
  <c r="L533" i="2" s="1"/>
  <c r="M533" i="2" s="1"/>
  <c r="K532" i="2"/>
  <c r="L532" i="2" s="1"/>
  <c r="M532" i="2" s="1"/>
  <c r="K531" i="2"/>
  <c r="L531" i="2" s="1"/>
  <c r="M531" i="2" s="1"/>
  <c r="K530" i="2"/>
  <c r="L530" i="2" s="1"/>
  <c r="M530" i="2" s="1"/>
  <c r="K529" i="2"/>
  <c r="L529" i="2" s="1"/>
  <c r="M529" i="2" s="1"/>
  <c r="K528" i="2"/>
  <c r="L528" i="2" s="1"/>
  <c r="M528" i="2" s="1"/>
  <c r="K527" i="2"/>
  <c r="L527" i="2" s="1"/>
  <c r="M527" i="2" s="1"/>
  <c r="K526" i="2"/>
  <c r="L526" i="2" s="1"/>
  <c r="M526" i="2" s="1"/>
  <c r="K525" i="2"/>
  <c r="L525" i="2" s="1"/>
  <c r="M525" i="2" s="1"/>
  <c r="K524" i="2"/>
  <c r="L524" i="2" s="1"/>
  <c r="M524" i="2" s="1"/>
  <c r="K523" i="2"/>
  <c r="L523" i="2" s="1"/>
  <c r="M523" i="2" s="1"/>
  <c r="K522" i="2"/>
  <c r="L522" i="2" s="1"/>
  <c r="M522" i="2" s="1"/>
  <c r="K521" i="2"/>
  <c r="L521" i="2" s="1"/>
  <c r="M521" i="2" s="1"/>
  <c r="K520" i="2"/>
  <c r="L520" i="2" s="1"/>
  <c r="M520" i="2" s="1"/>
  <c r="K519" i="2"/>
  <c r="L519" i="2" s="1"/>
  <c r="M519" i="2" s="1"/>
  <c r="K518" i="2"/>
  <c r="L518" i="2" s="1"/>
  <c r="M518" i="2" s="1"/>
  <c r="K517" i="2"/>
  <c r="L517" i="2" s="1"/>
  <c r="M517" i="2" s="1"/>
  <c r="K516" i="2"/>
  <c r="L516" i="2" s="1"/>
  <c r="M516" i="2" s="1"/>
  <c r="K515" i="2"/>
  <c r="L515" i="2" s="1"/>
  <c r="M515" i="2" s="1"/>
  <c r="K514" i="2"/>
  <c r="L514" i="2" s="1"/>
  <c r="M514" i="2" s="1"/>
  <c r="K513" i="2"/>
  <c r="L513" i="2" s="1"/>
  <c r="M513" i="2" s="1"/>
  <c r="K512" i="2"/>
  <c r="L512" i="2" s="1"/>
  <c r="M512" i="2" s="1"/>
  <c r="K511" i="2"/>
  <c r="L511" i="2" s="1"/>
  <c r="M511" i="2" s="1"/>
  <c r="K510" i="2"/>
  <c r="L510" i="2" s="1"/>
  <c r="M510" i="2" s="1"/>
  <c r="K509" i="2"/>
  <c r="L509" i="2" s="1"/>
  <c r="M509" i="2" s="1"/>
  <c r="K508" i="2"/>
  <c r="L508" i="2" s="1"/>
  <c r="M508" i="2" s="1"/>
  <c r="K507" i="2"/>
  <c r="L507" i="2" s="1"/>
  <c r="M507" i="2" s="1"/>
  <c r="K506" i="2"/>
  <c r="L506" i="2" s="1"/>
  <c r="M506" i="2" s="1"/>
  <c r="K505" i="2"/>
  <c r="L505" i="2" s="1"/>
  <c r="M505" i="2" s="1"/>
  <c r="K504" i="2"/>
  <c r="L504" i="2" s="1"/>
  <c r="M504" i="2" s="1"/>
  <c r="K503" i="2"/>
  <c r="L503" i="2" s="1"/>
  <c r="M503" i="2" s="1"/>
  <c r="K502" i="2"/>
  <c r="L502" i="2" s="1"/>
  <c r="M502" i="2" s="1"/>
  <c r="K501" i="2"/>
  <c r="L501" i="2" s="1"/>
  <c r="M501" i="2" s="1"/>
  <c r="K500" i="2"/>
  <c r="L500" i="2" s="1"/>
  <c r="M500" i="2" s="1"/>
  <c r="K499" i="2"/>
  <c r="L499" i="2" s="1"/>
  <c r="M499" i="2" s="1"/>
  <c r="K498" i="2"/>
  <c r="L498" i="2" s="1"/>
  <c r="M498" i="2" s="1"/>
  <c r="K497" i="2"/>
  <c r="L497" i="2" s="1"/>
  <c r="M497" i="2" s="1"/>
  <c r="K496" i="2"/>
  <c r="L496" i="2" s="1"/>
  <c r="M496" i="2" s="1"/>
  <c r="K495" i="2"/>
  <c r="L495" i="2" s="1"/>
  <c r="M495" i="2" s="1"/>
  <c r="K494" i="2"/>
  <c r="L494" i="2" s="1"/>
  <c r="M494" i="2" s="1"/>
  <c r="K493" i="2"/>
  <c r="L493" i="2" s="1"/>
  <c r="M493" i="2" s="1"/>
  <c r="K492" i="2"/>
  <c r="L492" i="2" s="1"/>
  <c r="M492" i="2" s="1"/>
  <c r="K491" i="2"/>
  <c r="L491" i="2" s="1"/>
  <c r="M491" i="2" s="1"/>
  <c r="K490" i="2"/>
  <c r="L490" i="2" s="1"/>
  <c r="M490" i="2" s="1"/>
  <c r="K489" i="2"/>
  <c r="L489" i="2" s="1"/>
  <c r="M489" i="2" s="1"/>
  <c r="K488" i="2"/>
  <c r="L488" i="2" s="1"/>
  <c r="M488" i="2" s="1"/>
  <c r="K487" i="2"/>
  <c r="L487" i="2" s="1"/>
  <c r="M487" i="2" s="1"/>
  <c r="K486" i="2"/>
  <c r="L486" i="2" s="1"/>
  <c r="M486" i="2" s="1"/>
  <c r="K485" i="2"/>
  <c r="L485" i="2" s="1"/>
  <c r="M485" i="2" s="1"/>
  <c r="K484" i="2"/>
  <c r="L484" i="2" s="1"/>
  <c r="M484" i="2" s="1"/>
  <c r="K483" i="2"/>
  <c r="L483" i="2" s="1"/>
  <c r="M483" i="2" s="1"/>
  <c r="K482" i="2"/>
  <c r="L482" i="2" s="1"/>
  <c r="M482" i="2" s="1"/>
  <c r="K481" i="2"/>
  <c r="L481" i="2" s="1"/>
  <c r="M481" i="2" s="1"/>
  <c r="K480" i="2"/>
  <c r="L480" i="2" s="1"/>
  <c r="M480" i="2" s="1"/>
  <c r="K479" i="2"/>
  <c r="L479" i="2" s="1"/>
  <c r="M479" i="2" s="1"/>
  <c r="K478" i="2"/>
  <c r="L478" i="2" s="1"/>
  <c r="M478" i="2" s="1"/>
  <c r="K477" i="2"/>
  <c r="L477" i="2" s="1"/>
  <c r="M477" i="2" s="1"/>
  <c r="K476" i="2"/>
  <c r="L476" i="2" s="1"/>
  <c r="M476" i="2" s="1"/>
  <c r="K475" i="2"/>
  <c r="L475" i="2" s="1"/>
  <c r="M475" i="2" s="1"/>
  <c r="K474" i="2"/>
  <c r="L474" i="2" s="1"/>
  <c r="M474" i="2" s="1"/>
  <c r="K473" i="2"/>
  <c r="L473" i="2" s="1"/>
  <c r="M473" i="2" s="1"/>
  <c r="K472" i="2"/>
  <c r="L472" i="2" s="1"/>
  <c r="M472" i="2" s="1"/>
  <c r="K471" i="2"/>
  <c r="L471" i="2" s="1"/>
  <c r="M471" i="2" s="1"/>
  <c r="K470" i="2"/>
  <c r="L470" i="2" s="1"/>
  <c r="M470" i="2" s="1"/>
  <c r="K469" i="2"/>
  <c r="L469" i="2" s="1"/>
  <c r="M469" i="2" s="1"/>
  <c r="K468" i="2"/>
  <c r="L468" i="2" s="1"/>
  <c r="M468" i="2" s="1"/>
  <c r="K467" i="2"/>
  <c r="L467" i="2" s="1"/>
  <c r="M467" i="2" s="1"/>
  <c r="K466" i="2"/>
  <c r="L466" i="2" s="1"/>
  <c r="M466" i="2" s="1"/>
  <c r="K465" i="2"/>
  <c r="L465" i="2" s="1"/>
  <c r="M465" i="2" s="1"/>
  <c r="K464" i="2"/>
  <c r="L464" i="2" s="1"/>
  <c r="M464" i="2" s="1"/>
  <c r="K463" i="2"/>
  <c r="L463" i="2" s="1"/>
  <c r="M463" i="2" s="1"/>
  <c r="K462" i="2"/>
  <c r="L462" i="2" s="1"/>
  <c r="M462" i="2" s="1"/>
  <c r="K461" i="2"/>
  <c r="L461" i="2" s="1"/>
  <c r="M461" i="2" s="1"/>
  <c r="K460" i="2"/>
  <c r="L460" i="2" s="1"/>
  <c r="M460" i="2" s="1"/>
  <c r="K459" i="2"/>
  <c r="L459" i="2" s="1"/>
  <c r="M459" i="2" s="1"/>
  <c r="K458" i="2"/>
  <c r="L458" i="2" s="1"/>
  <c r="M458" i="2" s="1"/>
  <c r="K457" i="2"/>
  <c r="L457" i="2" s="1"/>
  <c r="M457" i="2" s="1"/>
  <c r="K456" i="2"/>
  <c r="L456" i="2" s="1"/>
  <c r="M456" i="2" s="1"/>
  <c r="K455" i="2"/>
  <c r="L455" i="2" s="1"/>
  <c r="M455" i="2" s="1"/>
  <c r="K454" i="2"/>
  <c r="L454" i="2" s="1"/>
  <c r="M454" i="2" s="1"/>
  <c r="K453" i="2"/>
  <c r="L453" i="2" s="1"/>
  <c r="M453" i="2" s="1"/>
  <c r="K452" i="2"/>
  <c r="L452" i="2" s="1"/>
  <c r="M452" i="2" s="1"/>
  <c r="K451" i="2"/>
  <c r="L451" i="2" s="1"/>
  <c r="M451" i="2" s="1"/>
  <c r="K450" i="2"/>
  <c r="L450" i="2" s="1"/>
  <c r="M450" i="2" s="1"/>
  <c r="K449" i="2"/>
  <c r="L449" i="2" s="1"/>
  <c r="M449" i="2" s="1"/>
  <c r="K448" i="2"/>
  <c r="L448" i="2" s="1"/>
  <c r="M448" i="2" s="1"/>
  <c r="K447" i="2"/>
  <c r="L447" i="2" s="1"/>
  <c r="M447" i="2" s="1"/>
  <c r="K446" i="2"/>
  <c r="L446" i="2" s="1"/>
  <c r="M446" i="2" s="1"/>
  <c r="K445" i="2"/>
  <c r="L445" i="2" s="1"/>
  <c r="M445" i="2" s="1"/>
  <c r="K444" i="2"/>
  <c r="L444" i="2" s="1"/>
  <c r="M444" i="2" s="1"/>
  <c r="K443" i="2"/>
  <c r="L443" i="2" s="1"/>
  <c r="M443" i="2" s="1"/>
  <c r="K442" i="2"/>
  <c r="L442" i="2" s="1"/>
  <c r="M442" i="2" s="1"/>
  <c r="K441" i="2"/>
  <c r="L441" i="2" s="1"/>
  <c r="M441" i="2" s="1"/>
  <c r="K440" i="2"/>
  <c r="L440" i="2" s="1"/>
  <c r="M440" i="2" s="1"/>
  <c r="K439" i="2"/>
  <c r="L439" i="2" s="1"/>
  <c r="M439" i="2" s="1"/>
  <c r="K438" i="2"/>
  <c r="L438" i="2" s="1"/>
  <c r="M438" i="2" s="1"/>
  <c r="K437" i="2"/>
  <c r="L437" i="2" s="1"/>
  <c r="M437" i="2" s="1"/>
  <c r="K436" i="2"/>
  <c r="L436" i="2" s="1"/>
  <c r="M436" i="2" s="1"/>
  <c r="K435" i="2"/>
  <c r="L435" i="2" s="1"/>
  <c r="M435" i="2" s="1"/>
  <c r="K434" i="2"/>
  <c r="L434" i="2" s="1"/>
  <c r="M434" i="2" s="1"/>
  <c r="K433" i="2"/>
  <c r="L433" i="2" s="1"/>
  <c r="M433" i="2" s="1"/>
  <c r="K432" i="2"/>
  <c r="L432" i="2" s="1"/>
  <c r="M432" i="2" s="1"/>
  <c r="K431" i="2"/>
  <c r="L431" i="2" s="1"/>
  <c r="M431" i="2" s="1"/>
  <c r="K430" i="2"/>
  <c r="L430" i="2" s="1"/>
  <c r="M430" i="2" s="1"/>
  <c r="K429" i="2"/>
  <c r="L429" i="2" s="1"/>
  <c r="M429" i="2" s="1"/>
  <c r="K428" i="2"/>
  <c r="L428" i="2" s="1"/>
  <c r="M428" i="2" s="1"/>
  <c r="K427" i="2"/>
  <c r="L427" i="2" s="1"/>
  <c r="M427" i="2" s="1"/>
  <c r="K426" i="2"/>
  <c r="L426" i="2" s="1"/>
  <c r="M426" i="2" s="1"/>
  <c r="K425" i="2"/>
  <c r="L425" i="2" s="1"/>
  <c r="M425" i="2" s="1"/>
  <c r="K424" i="2"/>
  <c r="L424" i="2" s="1"/>
  <c r="M424" i="2" s="1"/>
  <c r="K423" i="2"/>
  <c r="L423" i="2" s="1"/>
  <c r="M423" i="2" s="1"/>
  <c r="K422" i="2"/>
  <c r="L422" i="2" s="1"/>
  <c r="M422" i="2" s="1"/>
  <c r="K421" i="2"/>
  <c r="L421" i="2" s="1"/>
  <c r="M421" i="2" s="1"/>
  <c r="K420" i="2"/>
  <c r="L420" i="2" s="1"/>
  <c r="M420" i="2" s="1"/>
  <c r="K419" i="2"/>
  <c r="L419" i="2" s="1"/>
  <c r="M419" i="2" s="1"/>
  <c r="K418" i="2"/>
  <c r="L418" i="2" s="1"/>
  <c r="M418" i="2" s="1"/>
  <c r="K417" i="2"/>
  <c r="L417" i="2" s="1"/>
  <c r="M417" i="2" s="1"/>
  <c r="K416" i="2"/>
  <c r="L416" i="2" s="1"/>
  <c r="M416" i="2" s="1"/>
  <c r="K415" i="2"/>
  <c r="L415" i="2" s="1"/>
  <c r="M415" i="2" s="1"/>
  <c r="K414" i="2"/>
  <c r="L414" i="2" s="1"/>
  <c r="M414" i="2" s="1"/>
  <c r="K413" i="2"/>
  <c r="L413" i="2" s="1"/>
  <c r="M413" i="2" s="1"/>
  <c r="K412" i="2"/>
  <c r="L412" i="2" s="1"/>
  <c r="M412" i="2" s="1"/>
  <c r="K411" i="2"/>
  <c r="L411" i="2" s="1"/>
  <c r="M411" i="2" s="1"/>
  <c r="K410" i="2"/>
  <c r="L410" i="2" s="1"/>
  <c r="M410" i="2" s="1"/>
  <c r="K409" i="2"/>
  <c r="L409" i="2" s="1"/>
  <c r="M409" i="2" s="1"/>
  <c r="K408" i="2"/>
  <c r="L408" i="2" s="1"/>
  <c r="M408" i="2" s="1"/>
  <c r="K407" i="2"/>
  <c r="L407" i="2" s="1"/>
  <c r="M407" i="2" s="1"/>
  <c r="K406" i="2"/>
  <c r="L406" i="2" s="1"/>
  <c r="M406" i="2" s="1"/>
  <c r="K405" i="2"/>
  <c r="L405" i="2" s="1"/>
  <c r="M405" i="2" s="1"/>
  <c r="K404" i="2"/>
  <c r="L404" i="2" s="1"/>
  <c r="M404" i="2" s="1"/>
  <c r="K403" i="2"/>
  <c r="L403" i="2" s="1"/>
  <c r="M403" i="2" s="1"/>
  <c r="K402" i="2"/>
  <c r="L402" i="2" s="1"/>
  <c r="M402" i="2" s="1"/>
  <c r="K401" i="2"/>
  <c r="L401" i="2" s="1"/>
  <c r="M401" i="2" s="1"/>
  <c r="K400" i="2"/>
  <c r="L400" i="2" s="1"/>
  <c r="M400" i="2" s="1"/>
  <c r="K399" i="2"/>
  <c r="L399" i="2" s="1"/>
  <c r="M399" i="2" s="1"/>
  <c r="K398" i="2"/>
  <c r="L398" i="2" s="1"/>
  <c r="M398" i="2" s="1"/>
  <c r="K397" i="2"/>
  <c r="L397" i="2" s="1"/>
  <c r="M397" i="2" s="1"/>
  <c r="K396" i="2"/>
  <c r="L396" i="2" s="1"/>
  <c r="M396" i="2" s="1"/>
  <c r="K395" i="2"/>
  <c r="L395" i="2" s="1"/>
  <c r="M395" i="2" s="1"/>
  <c r="K394" i="2"/>
  <c r="L394" i="2" s="1"/>
  <c r="M394" i="2" s="1"/>
  <c r="K393" i="2"/>
  <c r="L393" i="2" s="1"/>
  <c r="M393" i="2" s="1"/>
  <c r="K392" i="2"/>
  <c r="L392" i="2" s="1"/>
  <c r="M392" i="2" s="1"/>
  <c r="K391" i="2"/>
  <c r="L391" i="2" s="1"/>
  <c r="M391" i="2" s="1"/>
  <c r="K390" i="2"/>
  <c r="L390" i="2" s="1"/>
  <c r="M390" i="2" s="1"/>
  <c r="K389" i="2"/>
  <c r="L389" i="2" s="1"/>
  <c r="M389" i="2" s="1"/>
  <c r="K388" i="2"/>
  <c r="L388" i="2" s="1"/>
  <c r="M388" i="2" s="1"/>
  <c r="K387" i="2"/>
  <c r="L387" i="2" s="1"/>
  <c r="M387" i="2" s="1"/>
  <c r="K386" i="2"/>
  <c r="L386" i="2" s="1"/>
  <c r="M386" i="2" s="1"/>
  <c r="K385" i="2"/>
  <c r="L385" i="2" s="1"/>
  <c r="M385" i="2" s="1"/>
  <c r="K384" i="2"/>
  <c r="L384" i="2" s="1"/>
  <c r="M384" i="2" s="1"/>
  <c r="K383" i="2"/>
  <c r="L383" i="2" s="1"/>
  <c r="M383" i="2" s="1"/>
  <c r="K382" i="2"/>
  <c r="L382" i="2" s="1"/>
  <c r="M382" i="2" s="1"/>
  <c r="K381" i="2"/>
  <c r="L381" i="2" s="1"/>
  <c r="M381" i="2" s="1"/>
  <c r="K380" i="2"/>
  <c r="L380" i="2" s="1"/>
  <c r="M380" i="2" s="1"/>
  <c r="K379" i="2"/>
  <c r="L379" i="2" s="1"/>
  <c r="M379" i="2" s="1"/>
  <c r="K378" i="2"/>
  <c r="L378" i="2" s="1"/>
  <c r="M378" i="2" s="1"/>
  <c r="K377" i="2"/>
  <c r="L377" i="2" s="1"/>
  <c r="M377" i="2" s="1"/>
  <c r="K376" i="2"/>
  <c r="L376" i="2" s="1"/>
  <c r="M376" i="2" s="1"/>
  <c r="K375" i="2"/>
  <c r="L375" i="2" s="1"/>
  <c r="M375" i="2" s="1"/>
  <c r="K374" i="2"/>
  <c r="L374" i="2" s="1"/>
  <c r="M374" i="2" s="1"/>
  <c r="K373" i="2"/>
  <c r="L373" i="2" s="1"/>
  <c r="M373" i="2" s="1"/>
  <c r="K372" i="2"/>
  <c r="L372" i="2" s="1"/>
  <c r="M372" i="2" s="1"/>
  <c r="K371" i="2"/>
  <c r="L371" i="2" s="1"/>
  <c r="M371" i="2" s="1"/>
  <c r="K370" i="2"/>
  <c r="L370" i="2" s="1"/>
  <c r="M370" i="2" s="1"/>
  <c r="K369" i="2"/>
  <c r="L369" i="2" s="1"/>
  <c r="M369" i="2" s="1"/>
  <c r="K368" i="2"/>
  <c r="L368" i="2" s="1"/>
  <c r="M368" i="2" s="1"/>
  <c r="K367" i="2"/>
  <c r="L367" i="2" s="1"/>
  <c r="M367" i="2" s="1"/>
  <c r="K366" i="2"/>
  <c r="L366" i="2" s="1"/>
  <c r="M366" i="2" s="1"/>
  <c r="K365" i="2"/>
  <c r="L365" i="2" s="1"/>
  <c r="M365" i="2" s="1"/>
  <c r="K364" i="2"/>
  <c r="L364" i="2" s="1"/>
  <c r="M364" i="2" s="1"/>
  <c r="K363" i="2"/>
  <c r="L363" i="2" s="1"/>
  <c r="M363" i="2" s="1"/>
  <c r="K362" i="2"/>
  <c r="L362" i="2" s="1"/>
  <c r="M362" i="2" s="1"/>
  <c r="K361" i="2"/>
  <c r="L361" i="2" s="1"/>
  <c r="M361" i="2" s="1"/>
  <c r="K360" i="2"/>
  <c r="L360" i="2" s="1"/>
  <c r="M360" i="2" s="1"/>
  <c r="K359" i="2"/>
  <c r="L359" i="2" s="1"/>
  <c r="M359" i="2" s="1"/>
  <c r="K358" i="2"/>
  <c r="L358" i="2" s="1"/>
  <c r="M358" i="2" s="1"/>
  <c r="K357" i="2"/>
  <c r="L357" i="2" s="1"/>
  <c r="M357" i="2" s="1"/>
  <c r="K356" i="2"/>
  <c r="L356" i="2" s="1"/>
  <c r="M356" i="2" s="1"/>
  <c r="K355" i="2"/>
  <c r="L355" i="2" s="1"/>
  <c r="M355" i="2" s="1"/>
  <c r="K354" i="2"/>
  <c r="L354" i="2" s="1"/>
  <c r="M354" i="2" s="1"/>
  <c r="K353" i="2"/>
  <c r="L353" i="2" s="1"/>
  <c r="M353" i="2" s="1"/>
  <c r="K352" i="2"/>
  <c r="L352" i="2" s="1"/>
  <c r="M352" i="2" s="1"/>
  <c r="K351" i="2"/>
  <c r="L351" i="2" s="1"/>
  <c r="M351" i="2" s="1"/>
  <c r="K350" i="2"/>
  <c r="L350" i="2" s="1"/>
  <c r="M350" i="2" s="1"/>
  <c r="K349" i="2"/>
  <c r="L349" i="2" s="1"/>
  <c r="M349" i="2" s="1"/>
  <c r="K348" i="2"/>
  <c r="L348" i="2" s="1"/>
  <c r="M348" i="2" s="1"/>
  <c r="K347" i="2"/>
  <c r="L347" i="2" s="1"/>
  <c r="M347" i="2" s="1"/>
  <c r="K346" i="2"/>
  <c r="L346" i="2" s="1"/>
  <c r="M346" i="2" s="1"/>
  <c r="K345" i="2"/>
  <c r="L345" i="2" s="1"/>
  <c r="M345" i="2" s="1"/>
  <c r="K344" i="2"/>
  <c r="L344" i="2" s="1"/>
  <c r="M344" i="2" s="1"/>
  <c r="K343" i="2"/>
  <c r="L343" i="2" s="1"/>
  <c r="M343" i="2" s="1"/>
  <c r="K342" i="2"/>
  <c r="L342" i="2" s="1"/>
  <c r="M342" i="2" s="1"/>
  <c r="K341" i="2"/>
  <c r="L341" i="2" s="1"/>
  <c r="M341" i="2" s="1"/>
  <c r="K340" i="2"/>
  <c r="L340" i="2" s="1"/>
  <c r="M340" i="2" s="1"/>
  <c r="K339" i="2"/>
  <c r="L339" i="2" s="1"/>
  <c r="M339" i="2" s="1"/>
  <c r="K338" i="2"/>
  <c r="L338" i="2" s="1"/>
  <c r="M338" i="2" s="1"/>
  <c r="K337" i="2"/>
  <c r="L337" i="2" s="1"/>
  <c r="M337" i="2" s="1"/>
  <c r="K336" i="2"/>
  <c r="L336" i="2" s="1"/>
  <c r="M336" i="2" s="1"/>
  <c r="K335" i="2"/>
  <c r="L335" i="2" s="1"/>
  <c r="M335" i="2" s="1"/>
  <c r="K334" i="2"/>
  <c r="L334" i="2" s="1"/>
  <c r="M334" i="2" s="1"/>
  <c r="K333" i="2"/>
  <c r="L333" i="2" s="1"/>
  <c r="M333" i="2" s="1"/>
  <c r="K332" i="2"/>
  <c r="L332" i="2" s="1"/>
  <c r="M332" i="2" s="1"/>
  <c r="K331" i="2"/>
  <c r="L331" i="2" s="1"/>
  <c r="M331" i="2" s="1"/>
  <c r="K330" i="2"/>
  <c r="L330" i="2" s="1"/>
  <c r="M330" i="2" s="1"/>
  <c r="K329" i="2"/>
  <c r="L329" i="2" s="1"/>
  <c r="M329" i="2" s="1"/>
  <c r="K328" i="2"/>
  <c r="L328" i="2" s="1"/>
  <c r="M328" i="2" s="1"/>
  <c r="K327" i="2"/>
  <c r="L327" i="2" s="1"/>
  <c r="M327" i="2" s="1"/>
  <c r="K326" i="2"/>
  <c r="L326" i="2" s="1"/>
  <c r="M326" i="2" s="1"/>
  <c r="K325" i="2"/>
  <c r="L325" i="2" s="1"/>
  <c r="M325" i="2" s="1"/>
  <c r="K324" i="2"/>
  <c r="L324" i="2" s="1"/>
  <c r="M324" i="2" s="1"/>
  <c r="K323" i="2"/>
  <c r="L323" i="2" s="1"/>
  <c r="M323" i="2" s="1"/>
  <c r="K322" i="2"/>
  <c r="L322" i="2" s="1"/>
  <c r="M322" i="2" s="1"/>
  <c r="K321" i="2"/>
  <c r="L321" i="2" s="1"/>
  <c r="M321" i="2" s="1"/>
  <c r="K320" i="2"/>
  <c r="L320" i="2" s="1"/>
  <c r="M320" i="2" s="1"/>
  <c r="K319" i="2"/>
  <c r="L319" i="2" s="1"/>
  <c r="M319" i="2" s="1"/>
  <c r="K318" i="2"/>
  <c r="L318" i="2" s="1"/>
  <c r="M318" i="2" s="1"/>
  <c r="K317" i="2"/>
  <c r="L317" i="2" s="1"/>
  <c r="M317" i="2" s="1"/>
  <c r="K316" i="2"/>
  <c r="L316" i="2" s="1"/>
  <c r="M316" i="2" s="1"/>
  <c r="K315" i="2"/>
  <c r="L315" i="2" s="1"/>
  <c r="M315" i="2" s="1"/>
  <c r="K314" i="2"/>
  <c r="L314" i="2" s="1"/>
  <c r="M314" i="2" s="1"/>
  <c r="K313" i="2"/>
  <c r="L313" i="2" s="1"/>
  <c r="M313" i="2" s="1"/>
  <c r="K312" i="2"/>
  <c r="L312" i="2" s="1"/>
  <c r="M312" i="2" s="1"/>
  <c r="K311" i="2"/>
  <c r="L311" i="2" s="1"/>
  <c r="M311" i="2" s="1"/>
  <c r="K310" i="2"/>
  <c r="L310" i="2" s="1"/>
  <c r="M310" i="2" s="1"/>
  <c r="K309" i="2"/>
  <c r="L309" i="2" s="1"/>
  <c r="M309" i="2" s="1"/>
  <c r="K308" i="2"/>
  <c r="L308" i="2" s="1"/>
  <c r="M308" i="2" s="1"/>
  <c r="K307" i="2"/>
  <c r="L307" i="2" s="1"/>
  <c r="M307" i="2" s="1"/>
  <c r="K306" i="2"/>
  <c r="L306" i="2" s="1"/>
  <c r="M306" i="2" s="1"/>
  <c r="K305" i="2"/>
  <c r="L305" i="2" s="1"/>
  <c r="M305" i="2" s="1"/>
  <c r="K304" i="2"/>
  <c r="L304" i="2" s="1"/>
  <c r="M304" i="2" s="1"/>
  <c r="K303" i="2"/>
  <c r="L303" i="2" s="1"/>
  <c r="M303" i="2" s="1"/>
  <c r="K302" i="2"/>
  <c r="L302" i="2" s="1"/>
  <c r="M302" i="2" s="1"/>
  <c r="K301" i="2"/>
  <c r="L301" i="2" s="1"/>
  <c r="M301" i="2" s="1"/>
  <c r="K300" i="2"/>
  <c r="L300" i="2" s="1"/>
  <c r="M300" i="2" s="1"/>
  <c r="K299" i="2"/>
  <c r="L299" i="2" s="1"/>
  <c r="M299" i="2" s="1"/>
  <c r="K298" i="2"/>
  <c r="L298" i="2" s="1"/>
  <c r="M298" i="2" s="1"/>
  <c r="K297" i="2"/>
  <c r="L297" i="2" s="1"/>
  <c r="M297" i="2" s="1"/>
  <c r="K296" i="2"/>
  <c r="L296" i="2" s="1"/>
  <c r="M296" i="2" s="1"/>
  <c r="K295" i="2"/>
  <c r="L295" i="2" s="1"/>
  <c r="M295" i="2" s="1"/>
  <c r="K294" i="2"/>
  <c r="L294" i="2" s="1"/>
  <c r="M294" i="2" s="1"/>
  <c r="K293" i="2"/>
  <c r="L293" i="2" s="1"/>
  <c r="M293" i="2" s="1"/>
  <c r="K292" i="2"/>
  <c r="L292" i="2" s="1"/>
  <c r="M292" i="2" s="1"/>
  <c r="K291" i="2"/>
  <c r="L291" i="2" s="1"/>
  <c r="M291" i="2" s="1"/>
  <c r="K290" i="2"/>
  <c r="L290" i="2" s="1"/>
  <c r="M290" i="2" s="1"/>
  <c r="K289" i="2"/>
  <c r="L289" i="2" s="1"/>
  <c r="M289" i="2" s="1"/>
  <c r="K288" i="2"/>
  <c r="L288" i="2" s="1"/>
  <c r="M288" i="2" s="1"/>
  <c r="K287" i="2"/>
  <c r="L287" i="2" s="1"/>
  <c r="M287" i="2" s="1"/>
  <c r="K286" i="2"/>
  <c r="L286" i="2" s="1"/>
  <c r="M286" i="2" s="1"/>
  <c r="K285" i="2"/>
  <c r="L285" i="2" s="1"/>
  <c r="M285" i="2" s="1"/>
  <c r="K284" i="2"/>
  <c r="L284" i="2" s="1"/>
  <c r="M284" i="2" s="1"/>
  <c r="K283" i="2"/>
  <c r="L283" i="2" s="1"/>
  <c r="M283" i="2" s="1"/>
  <c r="K282" i="2"/>
  <c r="L282" i="2" s="1"/>
  <c r="M282" i="2" s="1"/>
  <c r="K281" i="2"/>
  <c r="L281" i="2" s="1"/>
  <c r="M281" i="2" s="1"/>
  <c r="K280" i="2"/>
  <c r="L280" i="2" s="1"/>
  <c r="M280" i="2" s="1"/>
  <c r="K279" i="2"/>
  <c r="L279" i="2" s="1"/>
  <c r="M279" i="2" s="1"/>
  <c r="K278" i="2"/>
  <c r="L278" i="2" s="1"/>
  <c r="M278" i="2" s="1"/>
  <c r="K277" i="2"/>
  <c r="L277" i="2" s="1"/>
  <c r="M277" i="2" s="1"/>
  <c r="K276" i="2"/>
  <c r="L276" i="2" s="1"/>
  <c r="M276" i="2" s="1"/>
  <c r="K275" i="2"/>
  <c r="L275" i="2" s="1"/>
  <c r="M275" i="2" s="1"/>
  <c r="K274" i="2"/>
  <c r="L274" i="2" s="1"/>
  <c r="M274" i="2" s="1"/>
  <c r="K273" i="2"/>
  <c r="L273" i="2" s="1"/>
  <c r="M273" i="2" s="1"/>
  <c r="K272" i="2"/>
  <c r="L272" i="2" s="1"/>
  <c r="M272" i="2" s="1"/>
  <c r="K271" i="2"/>
  <c r="L271" i="2" s="1"/>
  <c r="M271" i="2" s="1"/>
  <c r="K270" i="2"/>
  <c r="L270" i="2" s="1"/>
  <c r="M270" i="2" s="1"/>
  <c r="K269" i="2"/>
  <c r="L269" i="2" s="1"/>
  <c r="M269" i="2" s="1"/>
  <c r="K268" i="2"/>
  <c r="L268" i="2" s="1"/>
  <c r="M268" i="2" s="1"/>
  <c r="K267" i="2"/>
  <c r="L267" i="2" s="1"/>
  <c r="M267" i="2" s="1"/>
  <c r="K266" i="2"/>
  <c r="L266" i="2" s="1"/>
  <c r="M266" i="2" s="1"/>
  <c r="K265" i="2"/>
  <c r="L265" i="2" s="1"/>
  <c r="M265" i="2" s="1"/>
  <c r="K264" i="2"/>
  <c r="L264" i="2" s="1"/>
  <c r="M264" i="2" s="1"/>
  <c r="K263" i="2"/>
  <c r="L263" i="2" s="1"/>
  <c r="M263" i="2" s="1"/>
  <c r="K262" i="2"/>
  <c r="L262" i="2" s="1"/>
  <c r="M262" i="2" s="1"/>
  <c r="K261" i="2"/>
  <c r="L261" i="2" s="1"/>
  <c r="M261" i="2" s="1"/>
  <c r="K260" i="2"/>
  <c r="L260" i="2" s="1"/>
  <c r="M260" i="2" s="1"/>
  <c r="K259" i="2"/>
  <c r="L259" i="2" s="1"/>
  <c r="M259" i="2" s="1"/>
  <c r="K258" i="2"/>
  <c r="L258" i="2" s="1"/>
  <c r="M258" i="2" s="1"/>
  <c r="K257" i="2"/>
  <c r="L257" i="2" s="1"/>
  <c r="M257" i="2" s="1"/>
  <c r="K256" i="2"/>
  <c r="L256" i="2" s="1"/>
  <c r="M256" i="2" s="1"/>
  <c r="K255" i="2"/>
  <c r="L255" i="2" s="1"/>
  <c r="M255" i="2" s="1"/>
  <c r="K254" i="2"/>
  <c r="L254" i="2" s="1"/>
  <c r="M254" i="2" s="1"/>
  <c r="K253" i="2"/>
  <c r="L253" i="2" s="1"/>
  <c r="M253" i="2" s="1"/>
  <c r="K252" i="2"/>
  <c r="L252" i="2" s="1"/>
  <c r="M252" i="2" s="1"/>
  <c r="K251" i="2"/>
  <c r="L251" i="2" s="1"/>
  <c r="M251" i="2" s="1"/>
  <c r="K250" i="2"/>
  <c r="L250" i="2" s="1"/>
  <c r="M250" i="2" s="1"/>
  <c r="K249" i="2"/>
  <c r="L249" i="2" s="1"/>
  <c r="M249" i="2" s="1"/>
  <c r="K248" i="2"/>
  <c r="L248" i="2" s="1"/>
  <c r="M248" i="2" s="1"/>
  <c r="K247" i="2"/>
  <c r="L247" i="2" s="1"/>
  <c r="M247" i="2" s="1"/>
  <c r="K246" i="2"/>
  <c r="L246" i="2" s="1"/>
  <c r="M246" i="2" s="1"/>
  <c r="K245" i="2"/>
  <c r="L245" i="2" s="1"/>
  <c r="M245" i="2" s="1"/>
  <c r="K244" i="2"/>
  <c r="L244" i="2" s="1"/>
  <c r="M244" i="2" s="1"/>
  <c r="K243" i="2"/>
  <c r="L243" i="2" s="1"/>
  <c r="M243" i="2" s="1"/>
  <c r="K242" i="2"/>
  <c r="L242" i="2" s="1"/>
  <c r="M242" i="2" s="1"/>
  <c r="K241" i="2"/>
  <c r="L241" i="2" s="1"/>
  <c r="M241" i="2" s="1"/>
  <c r="K240" i="2"/>
  <c r="L240" i="2" s="1"/>
  <c r="M240" i="2" s="1"/>
  <c r="K239" i="2"/>
  <c r="L239" i="2" s="1"/>
  <c r="M239" i="2" s="1"/>
  <c r="K238" i="2"/>
  <c r="L238" i="2" s="1"/>
  <c r="M238" i="2" s="1"/>
  <c r="K237" i="2"/>
  <c r="L237" i="2" s="1"/>
  <c r="M237" i="2" s="1"/>
  <c r="K236" i="2"/>
  <c r="L236" i="2" s="1"/>
  <c r="M236" i="2" s="1"/>
  <c r="K235" i="2"/>
  <c r="L235" i="2" s="1"/>
  <c r="M235" i="2" s="1"/>
  <c r="K234" i="2"/>
  <c r="L234" i="2" s="1"/>
  <c r="M234" i="2" s="1"/>
  <c r="K233" i="2"/>
  <c r="L233" i="2" s="1"/>
  <c r="M233" i="2" s="1"/>
  <c r="K232" i="2"/>
  <c r="L232" i="2" s="1"/>
  <c r="M232" i="2" s="1"/>
  <c r="K231" i="2"/>
  <c r="L231" i="2" s="1"/>
  <c r="M231" i="2" s="1"/>
  <c r="K230" i="2"/>
  <c r="L230" i="2" s="1"/>
  <c r="M230" i="2" s="1"/>
  <c r="K229" i="2"/>
  <c r="L229" i="2" s="1"/>
  <c r="M229" i="2" s="1"/>
  <c r="K228" i="2"/>
  <c r="L228" i="2" s="1"/>
  <c r="M228" i="2" s="1"/>
  <c r="K227" i="2"/>
  <c r="L227" i="2" s="1"/>
  <c r="M227" i="2" s="1"/>
  <c r="K226" i="2"/>
  <c r="L226" i="2" s="1"/>
  <c r="M226" i="2" s="1"/>
  <c r="K225" i="2"/>
  <c r="L225" i="2" s="1"/>
  <c r="M225" i="2" s="1"/>
  <c r="K224" i="2"/>
  <c r="L224" i="2" s="1"/>
  <c r="M224" i="2" s="1"/>
  <c r="K223" i="2"/>
  <c r="L223" i="2" s="1"/>
  <c r="M223" i="2" s="1"/>
  <c r="K222" i="2"/>
  <c r="L222" i="2" s="1"/>
  <c r="M222" i="2" s="1"/>
  <c r="K221" i="2"/>
  <c r="L221" i="2" s="1"/>
  <c r="M221" i="2" s="1"/>
  <c r="K220" i="2"/>
  <c r="L220" i="2" s="1"/>
  <c r="M220" i="2" s="1"/>
  <c r="K219" i="2"/>
  <c r="L219" i="2" s="1"/>
  <c r="M219" i="2" s="1"/>
  <c r="K218" i="2"/>
  <c r="L218" i="2" s="1"/>
  <c r="M218" i="2" s="1"/>
  <c r="K217" i="2"/>
  <c r="L217" i="2" s="1"/>
  <c r="M217" i="2" s="1"/>
  <c r="K216" i="2"/>
  <c r="L216" i="2" s="1"/>
  <c r="M216" i="2" s="1"/>
  <c r="K215" i="2"/>
  <c r="L215" i="2" s="1"/>
  <c r="M215" i="2" s="1"/>
  <c r="K214" i="2"/>
  <c r="L214" i="2" s="1"/>
  <c r="M214" i="2" s="1"/>
  <c r="K213" i="2"/>
  <c r="L213" i="2" s="1"/>
  <c r="M213" i="2" s="1"/>
  <c r="K212" i="2"/>
  <c r="L212" i="2" s="1"/>
  <c r="M212" i="2" s="1"/>
  <c r="K211" i="2"/>
  <c r="L211" i="2" s="1"/>
  <c r="M211" i="2" s="1"/>
  <c r="K210" i="2"/>
  <c r="L210" i="2" s="1"/>
  <c r="M210" i="2" s="1"/>
  <c r="K209" i="2"/>
  <c r="L209" i="2" s="1"/>
  <c r="M209" i="2" s="1"/>
  <c r="K208" i="2"/>
  <c r="L208" i="2" s="1"/>
  <c r="M208" i="2" s="1"/>
  <c r="K207" i="2"/>
  <c r="L207" i="2" s="1"/>
  <c r="M207" i="2" s="1"/>
  <c r="K206" i="2"/>
  <c r="L206" i="2" s="1"/>
  <c r="M206" i="2" s="1"/>
  <c r="K205" i="2"/>
  <c r="L205" i="2" s="1"/>
  <c r="M205" i="2" s="1"/>
  <c r="K204" i="2"/>
  <c r="L204" i="2" s="1"/>
  <c r="M204" i="2" s="1"/>
  <c r="K203" i="2"/>
  <c r="L203" i="2" s="1"/>
  <c r="M203" i="2" s="1"/>
  <c r="K202" i="2"/>
  <c r="L202" i="2" s="1"/>
  <c r="M202" i="2" s="1"/>
  <c r="K201" i="2"/>
  <c r="L201" i="2" s="1"/>
  <c r="M201" i="2" s="1"/>
  <c r="K200" i="2"/>
  <c r="L200" i="2" s="1"/>
  <c r="M200" i="2" s="1"/>
  <c r="K199" i="2"/>
  <c r="L199" i="2" s="1"/>
  <c r="M199" i="2" s="1"/>
  <c r="K198" i="2"/>
  <c r="L198" i="2" s="1"/>
  <c r="M198" i="2" s="1"/>
  <c r="K197" i="2"/>
  <c r="L197" i="2" s="1"/>
  <c r="M197" i="2" s="1"/>
  <c r="K196" i="2"/>
  <c r="L196" i="2" s="1"/>
  <c r="M196" i="2" s="1"/>
  <c r="K195" i="2"/>
  <c r="L195" i="2" s="1"/>
  <c r="M195" i="2" s="1"/>
  <c r="K194" i="2"/>
  <c r="L194" i="2" s="1"/>
  <c r="M194" i="2" s="1"/>
  <c r="K193" i="2"/>
  <c r="L193" i="2" s="1"/>
  <c r="M193" i="2" s="1"/>
  <c r="K192" i="2"/>
  <c r="L192" i="2" s="1"/>
  <c r="M192" i="2" s="1"/>
  <c r="K191" i="2"/>
  <c r="L191" i="2" s="1"/>
  <c r="M191" i="2" s="1"/>
  <c r="K190" i="2"/>
  <c r="L190" i="2" s="1"/>
  <c r="M190" i="2" s="1"/>
  <c r="K189" i="2"/>
  <c r="L189" i="2" s="1"/>
  <c r="M189" i="2" s="1"/>
  <c r="K188" i="2"/>
  <c r="L188" i="2" s="1"/>
  <c r="M188" i="2" s="1"/>
  <c r="K187" i="2"/>
  <c r="L187" i="2" s="1"/>
  <c r="M187" i="2" s="1"/>
  <c r="K186" i="2"/>
  <c r="L186" i="2" s="1"/>
  <c r="M186" i="2" s="1"/>
  <c r="K185" i="2"/>
  <c r="L185" i="2" s="1"/>
  <c r="M185" i="2" s="1"/>
  <c r="K184" i="2"/>
  <c r="L184" i="2" s="1"/>
  <c r="M184" i="2" s="1"/>
  <c r="K183" i="2"/>
  <c r="L183" i="2" s="1"/>
  <c r="M183" i="2" s="1"/>
  <c r="K182" i="2"/>
  <c r="L182" i="2" s="1"/>
  <c r="M182" i="2" s="1"/>
  <c r="K181" i="2"/>
  <c r="L181" i="2" s="1"/>
  <c r="M181" i="2" s="1"/>
  <c r="K180" i="2"/>
  <c r="L180" i="2" s="1"/>
  <c r="M180" i="2" s="1"/>
  <c r="K179" i="2"/>
  <c r="L179" i="2" s="1"/>
  <c r="M179" i="2" s="1"/>
  <c r="K178" i="2"/>
  <c r="L178" i="2" s="1"/>
  <c r="M178" i="2" s="1"/>
  <c r="K177" i="2"/>
  <c r="L177" i="2" s="1"/>
  <c r="M177" i="2" s="1"/>
  <c r="K176" i="2"/>
  <c r="L176" i="2" s="1"/>
  <c r="M176" i="2" s="1"/>
  <c r="K175" i="2"/>
  <c r="L175" i="2" s="1"/>
  <c r="M175" i="2" s="1"/>
  <c r="K174" i="2"/>
  <c r="L174" i="2" s="1"/>
  <c r="M174" i="2" s="1"/>
  <c r="K173" i="2"/>
  <c r="L173" i="2" s="1"/>
  <c r="M173" i="2" s="1"/>
  <c r="K172" i="2"/>
  <c r="L172" i="2" s="1"/>
  <c r="M172" i="2" s="1"/>
  <c r="K171" i="2"/>
  <c r="L171" i="2" s="1"/>
  <c r="M171" i="2" s="1"/>
  <c r="K170" i="2"/>
  <c r="L170" i="2" s="1"/>
  <c r="M170" i="2" s="1"/>
  <c r="K169" i="2"/>
  <c r="L169" i="2" s="1"/>
  <c r="M169" i="2" s="1"/>
  <c r="K168" i="2"/>
  <c r="L168" i="2" s="1"/>
  <c r="M168" i="2" s="1"/>
  <c r="K167" i="2"/>
  <c r="L167" i="2" s="1"/>
  <c r="M167" i="2" s="1"/>
  <c r="K166" i="2"/>
  <c r="L166" i="2" s="1"/>
  <c r="M166" i="2" s="1"/>
  <c r="K165" i="2"/>
  <c r="L165" i="2" s="1"/>
  <c r="M165" i="2" s="1"/>
  <c r="K164" i="2"/>
  <c r="L164" i="2" s="1"/>
  <c r="M164" i="2" s="1"/>
  <c r="K163" i="2"/>
  <c r="L163" i="2" s="1"/>
  <c r="M163" i="2" s="1"/>
  <c r="K162" i="2"/>
  <c r="L162" i="2" s="1"/>
  <c r="M162" i="2" s="1"/>
  <c r="K161" i="2"/>
  <c r="L161" i="2" s="1"/>
  <c r="M161" i="2" s="1"/>
  <c r="K160" i="2"/>
  <c r="L160" i="2" s="1"/>
  <c r="M160" i="2" s="1"/>
  <c r="K159" i="2"/>
  <c r="L159" i="2" s="1"/>
  <c r="M159" i="2" s="1"/>
  <c r="K158" i="2"/>
  <c r="L158" i="2" s="1"/>
  <c r="M158" i="2" s="1"/>
  <c r="K157" i="2"/>
  <c r="L157" i="2" s="1"/>
  <c r="M157" i="2" s="1"/>
  <c r="K156" i="2"/>
  <c r="L156" i="2" s="1"/>
  <c r="M156" i="2" s="1"/>
  <c r="K155" i="2"/>
  <c r="L155" i="2" s="1"/>
  <c r="M155" i="2" s="1"/>
  <c r="K154" i="2"/>
  <c r="L154" i="2" s="1"/>
  <c r="M154" i="2" s="1"/>
  <c r="K153" i="2"/>
  <c r="L153" i="2" s="1"/>
  <c r="M153" i="2" s="1"/>
  <c r="K152" i="2"/>
  <c r="L152" i="2" s="1"/>
  <c r="M152" i="2" s="1"/>
  <c r="K151" i="2"/>
  <c r="L151" i="2" s="1"/>
  <c r="M151" i="2" s="1"/>
  <c r="K150" i="2"/>
  <c r="L150" i="2" s="1"/>
  <c r="M150" i="2" s="1"/>
  <c r="K149" i="2"/>
  <c r="L149" i="2" s="1"/>
  <c r="M149" i="2" s="1"/>
  <c r="K148" i="2"/>
  <c r="L148" i="2" s="1"/>
  <c r="M148" i="2" s="1"/>
  <c r="K147" i="2"/>
  <c r="L147" i="2" s="1"/>
  <c r="M147" i="2" s="1"/>
  <c r="K146" i="2"/>
  <c r="L146" i="2" s="1"/>
  <c r="M146" i="2" s="1"/>
  <c r="K145" i="2"/>
  <c r="L145" i="2" s="1"/>
  <c r="M145" i="2" s="1"/>
  <c r="K144" i="2"/>
  <c r="L144" i="2" s="1"/>
  <c r="M144" i="2" s="1"/>
  <c r="K143" i="2"/>
  <c r="L143" i="2" s="1"/>
  <c r="M143" i="2" s="1"/>
  <c r="K142" i="2"/>
  <c r="L142" i="2" s="1"/>
  <c r="M142" i="2" s="1"/>
  <c r="K141" i="2"/>
  <c r="L141" i="2" s="1"/>
  <c r="M141" i="2" s="1"/>
  <c r="K140" i="2"/>
  <c r="L140" i="2" s="1"/>
  <c r="M140" i="2" s="1"/>
  <c r="K139" i="2"/>
  <c r="L139" i="2" s="1"/>
  <c r="M139" i="2" s="1"/>
  <c r="K138" i="2"/>
  <c r="L138" i="2" s="1"/>
  <c r="M138" i="2" s="1"/>
  <c r="K137" i="2"/>
  <c r="L137" i="2" s="1"/>
  <c r="M137" i="2" s="1"/>
  <c r="K136" i="2"/>
  <c r="L136" i="2" s="1"/>
  <c r="M136" i="2" s="1"/>
  <c r="K135" i="2"/>
  <c r="L135" i="2" s="1"/>
  <c r="M135" i="2" s="1"/>
  <c r="K134" i="2"/>
  <c r="L134" i="2" s="1"/>
  <c r="M134" i="2" s="1"/>
  <c r="K133" i="2"/>
  <c r="L133" i="2" s="1"/>
  <c r="M133" i="2" s="1"/>
  <c r="K132" i="2"/>
  <c r="L132" i="2" s="1"/>
  <c r="M132" i="2" s="1"/>
  <c r="K131" i="2"/>
  <c r="L131" i="2" s="1"/>
  <c r="M131" i="2" s="1"/>
  <c r="K130" i="2"/>
  <c r="L130" i="2" s="1"/>
  <c r="M130" i="2" s="1"/>
  <c r="K129" i="2"/>
  <c r="L129" i="2" s="1"/>
  <c r="M129" i="2" s="1"/>
  <c r="K128" i="2"/>
  <c r="L128" i="2" s="1"/>
  <c r="M128" i="2" s="1"/>
  <c r="K127" i="2"/>
  <c r="L127" i="2" s="1"/>
  <c r="M127" i="2" s="1"/>
  <c r="K126" i="2"/>
  <c r="L126" i="2" s="1"/>
  <c r="M126" i="2" s="1"/>
  <c r="K125" i="2"/>
  <c r="L125" i="2" s="1"/>
  <c r="M125" i="2" s="1"/>
  <c r="K124" i="2"/>
  <c r="L124" i="2" s="1"/>
  <c r="M124" i="2" s="1"/>
  <c r="K123" i="2"/>
  <c r="L123" i="2" s="1"/>
  <c r="M123" i="2" s="1"/>
  <c r="K122" i="2"/>
  <c r="L122" i="2" s="1"/>
  <c r="M122" i="2" s="1"/>
  <c r="K121" i="2"/>
  <c r="L121" i="2" s="1"/>
  <c r="M121" i="2" s="1"/>
  <c r="K120" i="2"/>
  <c r="L120" i="2" s="1"/>
  <c r="M120" i="2" s="1"/>
  <c r="K119" i="2"/>
  <c r="L119" i="2" s="1"/>
  <c r="M119" i="2" s="1"/>
  <c r="K118" i="2"/>
  <c r="L118" i="2" s="1"/>
  <c r="M118" i="2" s="1"/>
  <c r="K117" i="2"/>
  <c r="L117" i="2" s="1"/>
  <c r="M117" i="2" s="1"/>
  <c r="K116" i="2"/>
  <c r="L116" i="2" s="1"/>
  <c r="M116" i="2" s="1"/>
  <c r="K115" i="2"/>
  <c r="L115" i="2" s="1"/>
  <c r="M115" i="2" s="1"/>
  <c r="K114" i="2"/>
  <c r="L114" i="2" s="1"/>
  <c r="M114" i="2" s="1"/>
  <c r="K113" i="2"/>
  <c r="L113" i="2" s="1"/>
  <c r="M113" i="2" s="1"/>
  <c r="K112" i="2"/>
  <c r="L112" i="2" s="1"/>
  <c r="M112" i="2" s="1"/>
  <c r="K111" i="2"/>
  <c r="L111" i="2" s="1"/>
  <c r="M111" i="2" s="1"/>
  <c r="K110" i="2"/>
  <c r="L110" i="2" s="1"/>
  <c r="M110" i="2" s="1"/>
  <c r="K109" i="2"/>
  <c r="L109" i="2" s="1"/>
  <c r="M109" i="2" s="1"/>
  <c r="K108" i="2"/>
  <c r="L108" i="2" s="1"/>
  <c r="M108" i="2" s="1"/>
  <c r="K107" i="2"/>
  <c r="L107" i="2" s="1"/>
  <c r="M107" i="2" s="1"/>
  <c r="K106" i="2"/>
  <c r="L106" i="2" s="1"/>
  <c r="M106" i="2" s="1"/>
  <c r="K105" i="2"/>
  <c r="L105" i="2" s="1"/>
  <c r="M105" i="2" s="1"/>
  <c r="K104" i="2"/>
  <c r="L104" i="2" s="1"/>
  <c r="M104" i="2" s="1"/>
  <c r="K103" i="2"/>
  <c r="L103" i="2" s="1"/>
  <c r="M103" i="2" s="1"/>
  <c r="K102" i="2"/>
  <c r="L102" i="2" s="1"/>
  <c r="M102" i="2" s="1"/>
  <c r="K101" i="2"/>
  <c r="L101" i="2" s="1"/>
  <c r="M101" i="2" s="1"/>
  <c r="K100" i="2"/>
  <c r="L100" i="2" s="1"/>
  <c r="M100" i="2" s="1"/>
  <c r="K99" i="2"/>
  <c r="L99" i="2" s="1"/>
  <c r="M99" i="2" s="1"/>
  <c r="K98" i="2"/>
  <c r="L98" i="2" s="1"/>
  <c r="M98" i="2" s="1"/>
  <c r="K97" i="2"/>
  <c r="L97" i="2" s="1"/>
  <c r="M97" i="2" s="1"/>
  <c r="K96" i="2"/>
  <c r="L96" i="2" s="1"/>
  <c r="M96" i="2" s="1"/>
  <c r="K95" i="2"/>
  <c r="L95" i="2" s="1"/>
  <c r="M95" i="2" s="1"/>
  <c r="K94" i="2"/>
  <c r="L94" i="2" s="1"/>
  <c r="M94" i="2" s="1"/>
  <c r="K93" i="2"/>
  <c r="L93" i="2" s="1"/>
  <c r="M93" i="2" s="1"/>
  <c r="K92" i="2"/>
  <c r="L92" i="2" s="1"/>
  <c r="M92" i="2" s="1"/>
  <c r="K91" i="2"/>
  <c r="L91" i="2" s="1"/>
  <c r="M91" i="2" s="1"/>
  <c r="K90" i="2"/>
  <c r="L90" i="2" s="1"/>
  <c r="M90" i="2" s="1"/>
  <c r="K89" i="2"/>
  <c r="L89" i="2" s="1"/>
  <c r="M89" i="2" s="1"/>
  <c r="K88" i="2"/>
  <c r="L88" i="2" s="1"/>
  <c r="M88" i="2" s="1"/>
  <c r="K87" i="2"/>
  <c r="L87" i="2" s="1"/>
  <c r="M87" i="2" s="1"/>
  <c r="K86" i="2"/>
  <c r="L86" i="2" s="1"/>
  <c r="M86" i="2" s="1"/>
  <c r="K85" i="2"/>
  <c r="L85" i="2" s="1"/>
  <c r="M85" i="2" s="1"/>
  <c r="K84" i="2"/>
  <c r="L84" i="2" s="1"/>
  <c r="M84" i="2" s="1"/>
  <c r="K83" i="2"/>
  <c r="L83" i="2" s="1"/>
  <c r="M83" i="2" s="1"/>
  <c r="K82" i="2"/>
  <c r="L82" i="2" s="1"/>
  <c r="M82" i="2" s="1"/>
  <c r="K81" i="2"/>
  <c r="L81" i="2" s="1"/>
  <c r="M81" i="2" s="1"/>
  <c r="K80" i="2"/>
  <c r="L80" i="2" s="1"/>
  <c r="M80" i="2" s="1"/>
  <c r="K79" i="2"/>
  <c r="L79" i="2" s="1"/>
  <c r="M79" i="2" s="1"/>
  <c r="K78" i="2"/>
  <c r="L78" i="2" s="1"/>
  <c r="M78" i="2" s="1"/>
  <c r="K77" i="2"/>
  <c r="L77" i="2" s="1"/>
  <c r="M77" i="2" s="1"/>
  <c r="K76" i="2"/>
  <c r="L76" i="2" s="1"/>
  <c r="M76" i="2" s="1"/>
  <c r="K75" i="2"/>
  <c r="L75" i="2" s="1"/>
  <c r="M75" i="2" s="1"/>
  <c r="K74" i="2"/>
  <c r="L74" i="2" s="1"/>
  <c r="M74" i="2" s="1"/>
  <c r="K73" i="2"/>
  <c r="L73" i="2" s="1"/>
  <c r="M73" i="2" s="1"/>
  <c r="K72" i="2"/>
  <c r="L72" i="2" s="1"/>
  <c r="M72" i="2" s="1"/>
  <c r="K71" i="2"/>
  <c r="L71" i="2" s="1"/>
  <c r="M71" i="2" s="1"/>
  <c r="K70" i="2"/>
  <c r="L70" i="2" s="1"/>
  <c r="M70" i="2" s="1"/>
  <c r="K69" i="2"/>
  <c r="L69" i="2" s="1"/>
  <c r="M69" i="2" s="1"/>
  <c r="K68" i="2"/>
  <c r="L68" i="2" s="1"/>
  <c r="M68" i="2" s="1"/>
  <c r="K67" i="2"/>
  <c r="L67" i="2" s="1"/>
  <c r="M67" i="2" s="1"/>
  <c r="K66" i="2"/>
  <c r="L66" i="2" s="1"/>
  <c r="M66" i="2" s="1"/>
  <c r="K65" i="2"/>
  <c r="L65" i="2" s="1"/>
  <c r="M65" i="2" s="1"/>
  <c r="K64" i="2"/>
  <c r="L64" i="2" s="1"/>
  <c r="M64" i="2" s="1"/>
  <c r="K63" i="2"/>
  <c r="L63" i="2" s="1"/>
  <c r="M63" i="2" s="1"/>
  <c r="K62" i="2"/>
  <c r="L62" i="2" s="1"/>
  <c r="M62" i="2" s="1"/>
  <c r="K61" i="2"/>
  <c r="L61" i="2" s="1"/>
  <c r="M61" i="2" s="1"/>
  <c r="K60" i="2"/>
  <c r="L60" i="2" s="1"/>
  <c r="M60" i="2" s="1"/>
  <c r="K59" i="2"/>
  <c r="L59" i="2" s="1"/>
  <c r="M59" i="2" s="1"/>
  <c r="K58" i="2"/>
  <c r="L58" i="2" s="1"/>
  <c r="M58" i="2" s="1"/>
  <c r="K57" i="2"/>
  <c r="L57" i="2" s="1"/>
  <c r="M57" i="2" s="1"/>
  <c r="K56" i="2"/>
  <c r="L56" i="2" s="1"/>
  <c r="M56" i="2" s="1"/>
  <c r="K55" i="2"/>
  <c r="L55" i="2" s="1"/>
  <c r="M55" i="2" s="1"/>
  <c r="K54" i="2"/>
  <c r="L54" i="2" s="1"/>
  <c r="M54" i="2" s="1"/>
  <c r="K53" i="2"/>
  <c r="L53" i="2" s="1"/>
  <c r="M53" i="2" s="1"/>
  <c r="K52" i="2"/>
  <c r="L52" i="2" s="1"/>
  <c r="M52" i="2" s="1"/>
  <c r="K51" i="2"/>
  <c r="L51" i="2" s="1"/>
  <c r="M51" i="2" s="1"/>
  <c r="K50" i="2"/>
  <c r="L50" i="2" s="1"/>
  <c r="M50" i="2" s="1"/>
  <c r="K49" i="2"/>
  <c r="L49" i="2" s="1"/>
  <c r="M49" i="2" s="1"/>
  <c r="K48" i="2"/>
  <c r="L48" i="2" s="1"/>
  <c r="M48" i="2" s="1"/>
  <c r="K47" i="2"/>
  <c r="L47" i="2" s="1"/>
  <c r="M47" i="2" s="1"/>
  <c r="K46" i="2"/>
  <c r="L46" i="2" s="1"/>
  <c r="M46" i="2" s="1"/>
  <c r="K45" i="2"/>
  <c r="L45" i="2" s="1"/>
  <c r="M45" i="2" s="1"/>
  <c r="K44" i="2"/>
  <c r="L44" i="2" s="1"/>
  <c r="M44" i="2" s="1"/>
  <c r="K43" i="2"/>
  <c r="L43" i="2" s="1"/>
  <c r="M43" i="2" s="1"/>
  <c r="K42" i="2"/>
  <c r="L42" i="2" s="1"/>
  <c r="M42" i="2" s="1"/>
  <c r="K41" i="2"/>
  <c r="L41" i="2" s="1"/>
  <c r="M41" i="2" s="1"/>
  <c r="K40" i="2"/>
  <c r="L40" i="2" s="1"/>
  <c r="M40" i="2" s="1"/>
  <c r="K39" i="2"/>
  <c r="L39" i="2" s="1"/>
  <c r="M39" i="2" s="1"/>
  <c r="K38" i="2"/>
  <c r="L38" i="2" s="1"/>
  <c r="M38" i="2" s="1"/>
  <c r="K37" i="2"/>
  <c r="L37" i="2" s="1"/>
  <c r="M37" i="2" s="1"/>
  <c r="K36" i="2"/>
  <c r="L36" i="2" s="1"/>
  <c r="M36" i="2" s="1"/>
  <c r="K35" i="2"/>
  <c r="L35" i="2" s="1"/>
  <c r="M35" i="2" s="1"/>
  <c r="K34" i="2"/>
  <c r="L34" i="2" s="1"/>
  <c r="M34" i="2" s="1"/>
  <c r="K33" i="2"/>
  <c r="L33" i="2" s="1"/>
  <c r="M33" i="2" s="1"/>
  <c r="K32" i="2"/>
  <c r="L32" i="2" s="1"/>
  <c r="M32" i="2" s="1"/>
  <c r="K31" i="2"/>
  <c r="L31" i="2" s="1"/>
  <c r="M31" i="2" s="1"/>
  <c r="K30" i="2"/>
  <c r="L30" i="2" s="1"/>
  <c r="M30" i="2" s="1"/>
  <c r="K29" i="2"/>
  <c r="L29" i="2" s="1"/>
  <c r="M29" i="2" s="1"/>
  <c r="K28" i="2"/>
  <c r="L28" i="2" s="1"/>
  <c r="M28" i="2" s="1"/>
  <c r="K27" i="2"/>
  <c r="L27" i="2" s="1"/>
  <c r="M27" i="2" s="1"/>
  <c r="K26" i="2"/>
  <c r="L26" i="2" s="1"/>
  <c r="M26" i="2" s="1"/>
  <c r="K25" i="2"/>
  <c r="L25" i="2" s="1"/>
  <c r="M25" i="2" s="1"/>
  <c r="K24" i="2"/>
  <c r="L24" i="2" s="1"/>
  <c r="M24" i="2" s="1"/>
  <c r="K23" i="2"/>
  <c r="L23" i="2" s="1"/>
  <c r="M23" i="2" s="1"/>
  <c r="K22" i="2"/>
  <c r="L22" i="2" s="1"/>
  <c r="M22" i="2" s="1"/>
  <c r="K21" i="2"/>
  <c r="L21" i="2" s="1"/>
  <c r="M21" i="2" s="1"/>
  <c r="K20" i="2"/>
  <c r="L20" i="2" s="1"/>
  <c r="M20" i="2" s="1"/>
  <c r="K19" i="2"/>
  <c r="L19" i="2" s="1"/>
  <c r="M19" i="2" s="1"/>
  <c r="K18" i="2"/>
  <c r="L18" i="2" s="1"/>
  <c r="M18" i="2" s="1"/>
  <c r="K17" i="2"/>
  <c r="L17" i="2" s="1"/>
  <c r="M17" i="2" s="1"/>
  <c r="K16" i="2"/>
  <c r="L16" i="2" s="1"/>
  <c r="M16" i="2" s="1"/>
  <c r="K15" i="2"/>
  <c r="L15" i="2" s="1"/>
  <c r="M15" i="2" s="1"/>
  <c r="K14" i="2"/>
  <c r="L14" i="2" s="1"/>
  <c r="M14" i="2" s="1"/>
  <c r="K13" i="2"/>
  <c r="L13" i="2" s="1"/>
  <c r="M13" i="2" s="1"/>
  <c r="K12" i="2"/>
  <c r="L12" i="2" s="1"/>
  <c r="M12" i="2" s="1"/>
  <c r="K11" i="2"/>
  <c r="L11" i="2" s="1"/>
  <c r="M11" i="2" s="1"/>
  <c r="K10" i="2"/>
  <c r="L10" i="2" s="1"/>
  <c r="M10" i="2" s="1"/>
  <c r="K9" i="2"/>
  <c r="L9" i="2" s="1"/>
  <c r="M9" i="2" s="1"/>
  <c r="K8" i="2"/>
  <c r="L8" i="2" s="1"/>
  <c r="M8" i="2" s="1"/>
  <c r="K7" i="2"/>
  <c r="L7" i="2" s="1"/>
  <c r="M7" i="2" s="1"/>
  <c r="K6" i="2"/>
  <c r="L6" i="2" s="1"/>
  <c r="M6" i="2" s="1"/>
  <c r="K5" i="2"/>
  <c r="L5" i="2" s="1"/>
  <c r="M5" i="2" s="1"/>
  <c r="D5" i="1" l="1"/>
  <c r="C6" i="1"/>
  <c r="D4" i="1"/>
  <c r="D6" i="1"/>
  <c r="C5" i="1"/>
  <c r="C4" i="1"/>
  <c r="C7" i="1"/>
  <c r="D7" i="1"/>
  <c r="C8" i="1"/>
  <c r="D8" i="1"/>
  <c r="C9" i="1"/>
  <c r="D9" i="1"/>
  <c r="E5" i="1" l="1"/>
  <c r="F5" i="1"/>
  <c r="E4" i="1"/>
  <c r="F4" i="1"/>
  <c r="E6" i="1"/>
  <c r="F6" i="1"/>
  <c r="E7" i="1"/>
  <c r="F7" i="1"/>
  <c r="E8" i="1"/>
  <c r="F8" i="1"/>
  <c r="E9" i="1"/>
  <c r="F9" i="1"/>
</calcChain>
</file>

<file path=xl/sharedStrings.xml><?xml version="1.0" encoding="utf-8"?>
<sst xmlns="http://schemas.openxmlformats.org/spreadsheetml/2006/main" count="10519" uniqueCount="1817">
  <si>
    <t>Resumen: cosechas 2026 por calificación varietal</t>
  </si>
  <si>
    <t>Planta</t>
  </si>
  <si>
    <t>Calificación</t>
  </si>
  <si>
    <t>Cortes</t>
  </si>
  <si>
    <t>Área (ha)</t>
  </si>
  <si>
    <t>% del área</t>
  </si>
  <si>
    <t>TCH medio</t>
  </si>
  <si>
    <t>Riopaila</t>
  </si>
  <si>
    <t>1 · óptimo</t>
  </si>
  <si>
    <t>3 · medio</t>
  </si>
  <si>
    <t>5 · bajo</t>
  </si>
  <si>
    <t>Castilla</t>
  </si>
  <si>
    <t>Histórico G&amp;P/ZQM 2016-2025 para el benchmark; 2026 = G&amp;P ene-sep + app de Cosecha octubre. Zona agroecológica del maestro.</t>
  </si>
  <si>
    <t>Calificación de las cosechas 2026 frente al benchmark de su variedad en su zona agroecológica</t>
  </si>
  <si>
    <t>1 = más de 5 % sobre el benchmark (óptimo) · 3 = entre −5 % y +5 % (medio) · 5 = más de 5 % por debajo (bajo). La banda se cambia en Benchmark!B2.</t>
  </si>
  <si>
    <t>Suerte</t>
  </si>
  <si>
    <t>Mes</t>
  </si>
  <si>
    <t>Corte</t>
  </si>
  <si>
    <t>Variedad</t>
  </si>
  <si>
    <t>Zona agroecológica</t>
  </si>
  <si>
    <t>TCH 2026</t>
  </si>
  <si>
    <t>Benchmark usado</t>
  </si>
  <si>
    <t>Nivel del benchmark</t>
  </si>
  <si>
    <t>Benchmark TCH</t>
  </si>
  <si>
    <t>Frente al benchmark</t>
  </si>
  <si>
    <t>Fuente</t>
  </si>
  <si>
    <t>2104-120</t>
  </si>
  <si>
    <t>CC 05-430</t>
  </si>
  <si>
    <t>6H1</t>
  </si>
  <si>
    <t>castilla|CC 05-430|6H1</t>
  </si>
  <si>
    <t>variedad × zona</t>
  </si>
  <si>
    <t>G&amp;P</t>
  </si>
  <si>
    <t>2104-131</t>
  </si>
  <si>
    <t>2104-192</t>
  </si>
  <si>
    <t>CC 09-066</t>
  </si>
  <si>
    <t>15H1</t>
  </si>
  <si>
    <t>castilla|CC 09-066|TODAS</t>
  </si>
  <si>
    <t>variedad (toda la planta)</t>
  </si>
  <si>
    <t>2104-312</t>
  </si>
  <si>
    <t>11H1</t>
  </si>
  <si>
    <t>castilla|CC 05-430|11H1</t>
  </si>
  <si>
    <t>2105-150</t>
  </si>
  <si>
    <t>2111-011</t>
  </si>
  <si>
    <t>11H3</t>
  </si>
  <si>
    <t>castilla|CC 05-430|11H3</t>
  </si>
  <si>
    <t>2506-400</t>
  </si>
  <si>
    <t>castilla|CC 09-066|6H1</t>
  </si>
  <si>
    <t>2101-040</t>
  </si>
  <si>
    <t>CC 11-0132</t>
  </si>
  <si>
    <t>castilla|CC 11-0132|11H1</t>
  </si>
  <si>
    <t>2104-011</t>
  </si>
  <si>
    <t>castilla|CC 09-066|11H1</t>
  </si>
  <si>
    <t>2104-140</t>
  </si>
  <si>
    <t>CC 09-535</t>
  </si>
  <si>
    <t>30H1</t>
  </si>
  <si>
    <t>castilla|CC 09-535|30H1</t>
  </si>
  <si>
    <t>2104-150</t>
  </si>
  <si>
    <t>2104-440</t>
  </si>
  <si>
    <t>2105-060</t>
  </si>
  <si>
    <t>30H0</t>
  </si>
  <si>
    <t>castilla|CC 09-066|30H0</t>
  </si>
  <si>
    <t>2105-102</t>
  </si>
  <si>
    <t>11H0</t>
  </si>
  <si>
    <t>castilla|CC 11-0132|11H0</t>
  </si>
  <si>
    <t>2105-105</t>
  </si>
  <si>
    <t>castilla|CC 05-430|11H0</t>
  </si>
  <si>
    <t>2105-162</t>
  </si>
  <si>
    <t>2105-261</t>
  </si>
  <si>
    <t>castilla|CC 05-430|15H1</t>
  </si>
  <si>
    <t>2107-026</t>
  </si>
  <si>
    <t>2108-063</t>
  </si>
  <si>
    <t>2108-110</t>
  </si>
  <si>
    <t>2108-130</t>
  </si>
  <si>
    <t>18H1</t>
  </si>
  <si>
    <t>castilla|CC 11-0132|TODAS</t>
  </si>
  <si>
    <t>2108-170</t>
  </si>
  <si>
    <t>2109-010</t>
  </si>
  <si>
    <t>2109-071</t>
  </si>
  <si>
    <t>SIN DATO</t>
  </si>
  <si>
    <t>31H1</t>
  </si>
  <si>
    <t>castilla|SIN DATO|TODAS</t>
  </si>
  <si>
    <t>2109-120</t>
  </si>
  <si>
    <t>castilla|CC 09-535|TODAS</t>
  </si>
  <si>
    <t>2110-010</t>
  </si>
  <si>
    <t>11H2</t>
  </si>
  <si>
    <t>castilla|CC 11-0132|11H2</t>
  </si>
  <si>
    <t>2110-118</t>
  </si>
  <si>
    <t>2110-151</t>
  </si>
  <si>
    <t>VARIAS</t>
  </si>
  <si>
    <t>18H0</t>
  </si>
  <si>
    <t>castilla|VARIAS|18H0</t>
  </si>
  <si>
    <t>2112-260</t>
  </si>
  <si>
    <t>2114-010</t>
  </si>
  <si>
    <t>6H3</t>
  </si>
  <si>
    <t>castilla|SIN DATO|6H3</t>
  </si>
  <si>
    <t>2115-061</t>
  </si>
  <si>
    <t>castilla|CC 09-066|11H2</t>
  </si>
  <si>
    <t>2115-200</t>
  </si>
  <si>
    <t>2115-221</t>
  </si>
  <si>
    <t>24H3</t>
  </si>
  <si>
    <t>2116-050</t>
  </si>
  <si>
    <t>10H4</t>
  </si>
  <si>
    <t>2116-125</t>
  </si>
  <si>
    <t>2116-210</t>
  </si>
  <si>
    <t>CC 11-595</t>
  </si>
  <si>
    <t>castilla|CC 11-595|24H3</t>
  </si>
  <si>
    <t>2116-220</t>
  </si>
  <si>
    <t>30H2</t>
  </si>
  <si>
    <t>2117-030</t>
  </si>
  <si>
    <t>2135-010</t>
  </si>
  <si>
    <t>2135-012</t>
  </si>
  <si>
    <t>2135-020</t>
  </si>
  <si>
    <t>2136-030</t>
  </si>
  <si>
    <t>2140-150</t>
  </si>
  <si>
    <t>CC 85-92</t>
  </si>
  <si>
    <t>castilla|CC 85-92|11H3</t>
  </si>
  <si>
    <t>2141-010</t>
  </si>
  <si>
    <t>2141-160</t>
  </si>
  <si>
    <t>2147-130</t>
  </si>
  <si>
    <t>2503-035</t>
  </si>
  <si>
    <t>2503-120</t>
  </si>
  <si>
    <t>2503-171</t>
  </si>
  <si>
    <t>23H1</t>
  </si>
  <si>
    <t>castilla|CC 09-066|23H1</t>
  </si>
  <si>
    <t>2503-190</t>
  </si>
  <si>
    <t>2503-211</t>
  </si>
  <si>
    <t>castilla|CC 05-430|23H1</t>
  </si>
  <si>
    <t>2503-217</t>
  </si>
  <si>
    <t>2503-230</t>
  </si>
  <si>
    <t>2506-132</t>
  </si>
  <si>
    <t>2506-150</t>
  </si>
  <si>
    <t>SIN ZONA</t>
  </si>
  <si>
    <t>castilla|SIN DATO|SIN ZONA</t>
  </si>
  <si>
    <t>2506-170</t>
  </si>
  <si>
    <t>CC 01-678</t>
  </si>
  <si>
    <t>castilla|CC 01-678|11H0</t>
  </si>
  <si>
    <t>2506-190</t>
  </si>
  <si>
    <t>castilla|CC 05-430|30H0</t>
  </si>
  <si>
    <t>2506-232</t>
  </si>
  <si>
    <t>2506-251</t>
  </si>
  <si>
    <t>castilla|VARIAS|11H1</t>
  </si>
  <si>
    <t>2506-270</t>
  </si>
  <si>
    <t>2506-290</t>
  </si>
  <si>
    <t>15H0</t>
  </si>
  <si>
    <t>castilla|CC 05-430|TODAS</t>
  </si>
  <si>
    <t>2696-081</t>
  </si>
  <si>
    <t>CC 97-7170</t>
  </si>
  <si>
    <t>18H2</t>
  </si>
  <si>
    <t>castilla|CC 97-7170|18H2</t>
  </si>
  <si>
    <t>2696-110</t>
  </si>
  <si>
    <t>CC 00-3257</t>
  </si>
  <si>
    <t>castilla|CC 00-3257|11H3</t>
  </si>
  <si>
    <t>2696-121</t>
  </si>
  <si>
    <t>2696-140</t>
  </si>
  <si>
    <t>castilla|CC 05-430|11H2</t>
  </si>
  <si>
    <t>2102-010</t>
  </si>
  <si>
    <t>CC 11-600</t>
  </si>
  <si>
    <t>castilla|CC 11-600|TODAS</t>
  </si>
  <si>
    <t>2102-011</t>
  </si>
  <si>
    <t>2102-013</t>
  </si>
  <si>
    <t>2102-016</t>
  </si>
  <si>
    <t>2102-030</t>
  </si>
  <si>
    <t>castilla|CC 09-066|11H0</t>
  </si>
  <si>
    <t>2104-260</t>
  </si>
  <si>
    <t>castilla|VARIAS|6H1</t>
  </si>
  <si>
    <t>2104-296</t>
  </si>
  <si>
    <t>2105-066</t>
  </si>
  <si>
    <t>2108-040</t>
  </si>
  <si>
    <t>2108-056</t>
  </si>
  <si>
    <t>1H1</t>
  </si>
  <si>
    <t>castilla|CC 05-430|1H1</t>
  </si>
  <si>
    <t>2110-202</t>
  </si>
  <si>
    <t>2114-011</t>
  </si>
  <si>
    <t>castilla|VARIAS|6H3</t>
  </si>
  <si>
    <t>2118-011</t>
  </si>
  <si>
    <t>castilla|CC 11-595|11H2</t>
  </si>
  <si>
    <t>2118-017</t>
  </si>
  <si>
    <t>2118-018</t>
  </si>
  <si>
    <t>2118-030</t>
  </si>
  <si>
    <t>castilla|CC 11-595|6H3</t>
  </si>
  <si>
    <t>2118-050</t>
  </si>
  <si>
    <t>2118-100</t>
  </si>
  <si>
    <t>18H4</t>
  </si>
  <si>
    <t>castilla|CC 11-595|18H4</t>
  </si>
  <si>
    <t>2118-110</t>
  </si>
  <si>
    <t>2123-200</t>
  </si>
  <si>
    <t>6H2</t>
  </si>
  <si>
    <t>2125-100</t>
  </si>
  <si>
    <t>2126-010</t>
  </si>
  <si>
    <t>2127-090</t>
  </si>
  <si>
    <t>2127-100</t>
  </si>
  <si>
    <t>2128-012</t>
  </si>
  <si>
    <t>castilla|CC 05-430|18H2</t>
  </si>
  <si>
    <t>2128-020</t>
  </si>
  <si>
    <t>2137-034</t>
  </si>
  <si>
    <t>2141-031</t>
  </si>
  <si>
    <t>12H3</t>
  </si>
  <si>
    <t>2141-044</t>
  </si>
  <si>
    <t>CC 01-1940</t>
  </si>
  <si>
    <t>castilla|CC 01-1940|11H3</t>
  </si>
  <si>
    <t>2141-104</t>
  </si>
  <si>
    <t>2141-120</t>
  </si>
  <si>
    <t>2141-161</t>
  </si>
  <si>
    <t>18H3</t>
  </si>
  <si>
    <t>castilla|CC 11-595|TODAS</t>
  </si>
  <si>
    <t>2142-040</t>
  </si>
  <si>
    <t>2142-050</t>
  </si>
  <si>
    <t>2142-100</t>
  </si>
  <si>
    <t>2143-131</t>
  </si>
  <si>
    <t>castilla|CC 01-1940|6H3</t>
  </si>
  <si>
    <t>2143-140</t>
  </si>
  <si>
    <t>2503-192</t>
  </si>
  <si>
    <t>2696-120</t>
  </si>
  <si>
    <t>2101-020</t>
  </si>
  <si>
    <t>2112-381</t>
  </si>
  <si>
    <t>2115-210</t>
  </si>
  <si>
    <t>castilla|CC 05-430|24H3</t>
  </si>
  <si>
    <t>2116-014</t>
  </si>
  <si>
    <t>castilla|VARIAS|TODAS</t>
  </si>
  <si>
    <t>2116-034</t>
  </si>
  <si>
    <t>7H3</t>
  </si>
  <si>
    <t>castilla|CC 11-595|7H3</t>
  </si>
  <si>
    <t>2116-035</t>
  </si>
  <si>
    <t>2116-070</t>
  </si>
  <si>
    <t>2116-170</t>
  </si>
  <si>
    <t>castilla|CC 11-600|7H3</t>
  </si>
  <si>
    <t>2123-140</t>
  </si>
  <si>
    <t>castilla|CC 11-600|11H3</t>
  </si>
  <si>
    <t>2129-070</t>
  </si>
  <si>
    <t>2129-120</t>
  </si>
  <si>
    <t>24H4</t>
  </si>
  <si>
    <t>2138-030</t>
  </si>
  <si>
    <t>castilla|CC 11-0132|6H1</t>
  </si>
  <si>
    <t>2138-052</t>
  </si>
  <si>
    <t>2143-150</t>
  </si>
  <si>
    <t>2143-160</t>
  </si>
  <si>
    <t>2143-161</t>
  </si>
  <si>
    <t>SP 71-6949</t>
  </si>
  <si>
    <t>castilla|SP 71-6949|6H3</t>
  </si>
  <si>
    <t>2143-174</t>
  </si>
  <si>
    <t>2143-180</t>
  </si>
  <si>
    <t>2143-181</t>
  </si>
  <si>
    <t>2695-203</t>
  </si>
  <si>
    <t>6H4</t>
  </si>
  <si>
    <t>castilla|CC 11-595|6H4</t>
  </si>
  <si>
    <t>2695-270</t>
  </si>
  <si>
    <t>2696-070</t>
  </si>
  <si>
    <t>2696-075</t>
  </si>
  <si>
    <t>2696-078</t>
  </si>
  <si>
    <t>2108-120</t>
  </si>
  <si>
    <t>2110-020</t>
  </si>
  <si>
    <t>2110-033</t>
  </si>
  <si>
    <t>2110-158</t>
  </si>
  <si>
    <t>2111-185</t>
  </si>
  <si>
    <t>2123-141</t>
  </si>
  <si>
    <t>2123-255</t>
  </si>
  <si>
    <t>2129-121</t>
  </si>
  <si>
    <t>2129-130</t>
  </si>
  <si>
    <t>castilla|VARIAS|6H2</t>
  </si>
  <si>
    <t>2141-030</t>
  </si>
  <si>
    <t>castilla|CC 11-595|12H3</t>
  </si>
  <si>
    <t>2141-060</t>
  </si>
  <si>
    <t>castilla|CC 01-1940|12H3</t>
  </si>
  <si>
    <t>2696-020</t>
  </si>
  <si>
    <t>castilla|CC 05-430|6H4</t>
  </si>
  <si>
    <t>2104-190</t>
  </si>
  <si>
    <t>castilla|CC 97-7170|15H1</t>
  </si>
  <si>
    <t>2104-191</t>
  </si>
  <si>
    <t>2104-270</t>
  </si>
  <si>
    <t>2104-272</t>
  </si>
  <si>
    <t>2104-280</t>
  </si>
  <si>
    <t>2105-170</t>
  </si>
  <si>
    <t>2109-160</t>
  </si>
  <si>
    <t>2110-140</t>
  </si>
  <si>
    <t>2110-190</t>
  </si>
  <si>
    <t>2110-252</t>
  </si>
  <si>
    <t>2111-113</t>
  </si>
  <si>
    <t>2111-292</t>
  </si>
  <si>
    <t>2112-450</t>
  </si>
  <si>
    <t>2114-066</t>
  </si>
  <si>
    <t>castilla|CC 05-430|SIN ZONA</t>
  </si>
  <si>
    <t>2115-170</t>
  </si>
  <si>
    <t>2115-173</t>
  </si>
  <si>
    <t>2115-174</t>
  </si>
  <si>
    <t>2116-133</t>
  </si>
  <si>
    <t>castilla|VARIAS|10H4</t>
  </si>
  <si>
    <t>2117-010</t>
  </si>
  <si>
    <t>2125-080</t>
  </si>
  <si>
    <t>2125-127</t>
  </si>
  <si>
    <t>2138-032</t>
  </si>
  <si>
    <t>2138-034</t>
  </si>
  <si>
    <t>2138-075</t>
  </si>
  <si>
    <t>2503-196</t>
  </si>
  <si>
    <t>2506-220</t>
  </si>
  <si>
    <t>2101-050</t>
  </si>
  <si>
    <t>2104-110</t>
  </si>
  <si>
    <t>2104-271</t>
  </si>
  <si>
    <t>2105-036</t>
  </si>
  <si>
    <t>2105-180</t>
  </si>
  <si>
    <t>castilla|VARIAS|15H1</t>
  </si>
  <si>
    <t>2105-181</t>
  </si>
  <si>
    <t>2105-190</t>
  </si>
  <si>
    <t>2105-200</t>
  </si>
  <si>
    <t>2105-201</t>
  </si>
  <si>
    <t>2105-210</t>
  </si>
  <si>
    <t>CC 05-231</t>
  </si>
  <si>
    <t>castilla|CC 05-231|TODAS</t>
  </si>
  <si>
    <t>2105-215</t>
  </si>
  <si>
    <t>2105-273</t>
  </si>
  <si>
    <t>2107-010</t>
  </si>
  <si>
    <t>2108-060</t>
  </si>
  <si>
    <t>2108-091</t>
  </si>
  <si>
    <t>2109-141</t>
  </si>
  <si>
    <t>castilla|CC 11-600|6H2</t>
  </si>
  <si>
    <t>2109-144</t>
  </si>
  <si>
    <t>2109-162</t>
  </si>
  <si>
    <t>2110-022</t>
  </si>
  <si>
    <t>2110-024</t>
  </si>
  <si>
    <t>2110-080</t>
  </si>
  <si>
    <t>2110-155</t>
  </si>
  <si>
    <t>2110-240</t>
  </si>
  <si>
    <t>2111-036</t>
  </si>
  <si>
    <t>2111-060</t>
  </si>
  <si>
    <t>2111-110</t>
  </si>
  <si>
    <t>castilla|CC 11-595|11H3</t>
  </si>
  <si>
    <t>2111-271</t>
  </si>
  <si>
    <t>2111-320</t>
  </si>
  <si>
    <t>2111-376</t>
  </si>
  <si>
    <t>17H4</t>
  </si>
  <si>
    <t>2111-413</t>
  </si>
  <si>
    <t>2111-422</t>
  </si>
  <si>
    <t>2111-510</t>
  </si>
  <si>
    <t>11H4</t>
  </si>
  <si>
    <t>castilla|CC 11-600|11H4</t>
  </si>
  <si>
    <t>2111-512</t>
  </si>
  <si>
    <t>castilla|CC 11-600|SIN ZONA</t>
  </si>
  <si>
    <t>2111-579</t>
  </si>
  <si>
    <t>2115-110</t>
  </si>
  <si>
    <t>30H3</t>
  </si>
  <si>
    <t>2116-015</t>
  </si>
  <si>
    <t>castilla|CC 05-430|30H2</t>
  </si>
  <si>
    <t>2116-040</t>
  </si>
  <si>
    <t>2116-071</t>
  </si>
  <si>
    <t>2116-110</t>
  </si>
  <si>
    <t>2116-112</t>
  </si>
  <si>
    <t>2116-123</t>
  </si>
  <si>
    <t>2116-190</t>
  </si>
  <si>
    <t>2116-240</t>
  </si>
  <si>
    <t>2117-032</t>
  </si>
  <si>
    <t>2117-033</t>
  </si>
  <si>
    <t>2117-041</t>
  </si>
  <si>
    <t>castilla|VARIAS|11H2</t>
  </si>
  <si>
    <t>2118-020</t>
  </si>
  <si>
    <t>2118-040</t>
  </si>
  <si>
    <t>castilla|VARIAS|11H3</t>
  </si>
  <si>
    <t>2118-060</t>
  </si>
  <si>
    <t>2118-070</t>
  </si>
  <si>
    <t>2118-071</t>
  </si>
  <si>
    <t>2118-080</t>
  </si>
  <si>
    <t>2123-013</t>
  </si>
  <si>
    <t>10H2</t>
  </si>
  <si>
    <t>2123-020</t>
  </si>
  <si>
    <t>2123-021</t>
  </si>
  <si>
    <t>2123-050</t>
  </si>
  <si>
    <t>10H3</t>
  </si>
  <si>
    <t>2123-052</t>
  </si>
  <si>
    <t>2123-060</t>
  </si>
  <si>
    <t>2123-115</t>
  </si>
  <si>
    <t>2123-233</t>
  </si>
  <si>
    <t>castilla|CC 11-595|11H1</t>
  </si>
  <si>
    <t>2123-250</t>
  </si>
  <si>
    <t>2123-256</t>
  </si>
  <si>
    <t>2123-257</t>
  </si>
  <si>
    <t>2125-060</t>
  </si>
  <si>
    <t>2125-081</t>
  </si>
  <si>
    <t>2125-082</t>
  </si>
  <si>
    <t>2125-084</t>
  </si>
  <si>
    <t>2125-101</t>
  </si>
  <si>
    <t>2125-102</t>
  </si>
  <si>
    <t>castilla|CC 11-600|11H2</t>
  </si>
  <si>
    <t>2125-120</t>
  </si>
  <si>
    <t>2125-121</t>
  </si>
  <si>
    <t>2125-124</t>
  </si>
  <si>
    <t>2125-220</t>
  </si>
  <si>
    <t>2125-221</t>
  </si>
  <si>
    <t>2125-240</t>
  </si>
  <si>
    <t>2125-245</t>
  </si>
  <si>
    <t>2125-250</t>
  </si>
  <si>
    <t>2126-024</t>
  </si>
  <si>
    <t>2126-025</t>
  </si>
  <si>
    <t>2127-120</t>
  </si>
  <si>
    <t>2129-140</t>
  </si>
  <si>
    <t>2132-010</t>
  </si>
  <si>
    <t>10H5</t>
  </si>
  <si>
    <t>castilla|CC 01-1940|10H5</t>
  </si>
  <si>
    <t>2132-012</t>
  </si>
  <si>
    <t>2132-013</t>
  </si>
  <si>
    <t>2132-020</t>
  </si>
  <si>
    <t>2132-030</t>
  </si>
  <si>
    <t>2141-100</t>
  </si>
  <si>
    <t>2141-101</t>
  </si>
  <si>
    <t>2141-111</t>
  </si>
  <si>
    <t>castilla|CC 11-595|10H3</t>
  </si>
  <si>
    <t>2141-140</t>
  </si>
  <si>
    <t>2141-190</t>
  </si>
  <si>
    <t>2143-110</t>
  </si>
  <si>
    <t>2143-111</t>
  </si>
  <si>
    <t>2228-050</t>
  </si>
  <si>
    <t>castilla|CC 01-1940|6H4</t>
  </si>
  <si>
    <t>2503-202</t>
  </si>
  <si>
    <t>2506-361</t>
  </si>
  <si>
    <t>2696-010</t>
  </si>
  <si>
    <t>2696-012</t>
  </si>
  <si>
    <t>2696-151</t>
  </si>
  <si>
    <t>26H3</t>
  </si>
  <si>
    <t>castilla|CC 05-430|26H3</t>
  </si>
  <si>
    <t>2700-010</t>
  </si>
  <si>
    <t>2700-011</t>
  </si>
  <si>
    <t>2102-012</t>
  </si>
  <si>
    <t>2104-201</t>
  </si>
  <si>
    <t>2104-281</t>
  </si>
  <si>
    <t>castilla|VARIAS|11H0</t>
  </si>
  <si>
    <t>2104-434</t>
  </si>
  <si>
    <t>2105-083</t>
  </si>
  <si>
    <t>2105-185</t>
  </si>
  <si>
    <t>2105-192</t>
  </si>
  <si>
    <t>2105-193</t>
  </si>
  <si>
    <t>2105-202</t>
  </si>
  <si>
    <t>castilla|CC 09-535|11H1</t>
  </si>
  <si>
    <t>2105-250</t>
  </si>
  <si>
    <t>2107-020</t>
  </si>
  <si>
    <t>2107-021</t>
  </si>
  <si>
    <t>2107-022</t>
  </si>
  <si>
    <t>2107-029</t>
  </si>
  <si>
    <t>2108-182</t>
  </si>
  <si>
    <t>21H1</t>
  </si>
  <si>
    <t>2109-143</t>
  </si>
  <si>
    <t>2110-014</t>
  </si>
  <si>
    <t>2110-030</t>
  </si>
  <si>
    <t>castilla|CC 09-535|11H0</t>
  </si>
  <si>
    <t>2111-290</t>
  </si>
  <si>
    <t>2111-299</t>
  </si>
  <si>
    <t>2111-367</t>
  </si>
  <si>
    <t>2111-421</t>
  </si>
  <si>
    <t>2111-451</t>
  </si>
  <si>
    <t>2111-460</t>
  </si>
  <si>
    <t>2111-530</t>
  </si>
  <si>
    <t>2111-531</t>
  </si>
  <si>
    <t>2112-261</t>
  </si>
  <si>
    <t>2112-432</t>
  </si>
  <si>
    <t>2114-050</t>
  </si>
  <si>
    <t>2114-051</t>
  </si>
  <si>
    <t>2114-063</t>
  </si>
  <si>
    <t>2114-065</t>
  </si>
  <si>
    <t>2114-070</t>
  </si>
  <si>
    <t>2114-071</t>
  </si>
  <si>
    <t>2115-010</t>
  </si>
  <si>
    <t>2117-020</t>
  </si>
  <si>
    <t>2117-070</t>
  </si>
  <si>
    <t>2117-080</t>
  </si>
  <si>
    <t>2118-065</t>
  </si>
  <si>
    <t>2123-110</t>
  </si>
  <si>
    <t>2123-260</t>
  </si>
  <si>
    <t>2129-060</t>
  </si>
  <si>
    <t>2137-010</t>
  </si>
  <si>
    <t>2137-015</t>
  </si>
  <si>
    <t>2137-031</t>
  </si>
  <si>
    <t>2138-010</t>
  </si>
  <si>
    <t>2138-039</t>
  </si>
  <si>
    <t>2138-059</t>
  </si>
  <si>
    <t>2138-060</t>
  </si>
  <si>
    <t>2138-070</t>
  </si>
  <si>
    <t>2141-200</t>
  </si>
  <si>
    <t>2141-230</t>
  </si>
  <si>
    <t>castilla|CC 01-1940|10H3</t>
  </si>
  <si>
    <t>2142-020</t>
  </si>
  <si>
    <t>2142-190</t>
  </si>
  <si>
    <t>2143-060</t>
  </si>
  <si>
    <t>2503-080</t>
  </si>
  <si>
    <t>32H0</t>
  </si>
  <si>
    <t>castilla|CC 05-430|32H0</t>
  </si>
  <si>
    <t>2503-082</t>
  </si>
  <si>
    <t>2503-180</t>
  </si>
  <si>
    <t>2506-080</t>
  </si>
  <si>
    <t>castilla|CC 11-0132|30H0</t>
  </si>
  <si>
    <t>2506-081</t>
  </si>
  <si>
    <t>2506-091</t>
  </si>
  <si>
    <t>2506-131</t>
  </si>
  <si>
    <t>2506-141</t>
  </si>
  <si>
    <t>CC 93-4418</t>
  </si>
  <si>
    <t>castilla|CC 93-4418|30H0</t>
  </si>
  <si>
    <t>2695-151</t>
  </si>
  <si>
    <t>2695-161</t>
  </si>
  <si>
    <t>2695-273</t>
  </si>
  <si>
    <t>2700-012</t>
  </si>
  <si>
    <t>2101-010</t>
  </si>
  <si>
    <t>2101-071</t>
  </si>
  <si>
    <t>2101-090</t>
  </si>
  <si>
    <t>2101-100</t>
  </si>
  <si>
    <t>14H2</t>
  </si>
  <si>
    <t>2101-102</t>
  </si>
  <si>
    <t>2104-065</t>
  </si>
  <si>
    <t>14H1</t>
  </si>
  <si>
    <t>2104-435</t>
  </si>
  <si>
    <t>2105-010</t>
  </si>
  <si>
    <t>2105-012</t>
  </si>
  <si>
    <t>2105-030</t>
  </si>
  <si>
    <t>2105-037</t>
  </si>
  <si>
    <t>2105-065</t>
  </si>
  <si>
    <t>2105-090</t>
  </si>
  <si>
    <t>2105-091</t>
  </si>
  <si>
    <t>2105-211</t>
  </si>
  <si>
    <t>2108-180</t>
  </si>
  <si>
    <t>2109-020</t>
  </si>
  <si>
    <t>2109-060</t>
  </si>
  <si>
    <t>castilla|CC 05-430|6H2</t>
  </si>
  <si>
    <t>2109-102</t>
  </si>
  <si>
    <t>2109-142</t>
  </si>
  <si>
    <t>2109-150</t>
  </si>
  <si>
    <t>2109-163</t>
  </si>
  <si>
    <t>castilla|CC 11-595|6H1</t>
  </si>
  <si>
    <t>2109-170</t>
  </si>
  <si>
    <t>castilla|CC 05-430|18H0</t>
  </si>
  <si>
    <t>2109-220</t>
  </si>
  <si>
    <t>26H1</t>
  </si>
  <si>
    <t>2110-031</t>
  </si>
  <si>
    <t>2110-100</t>
  </si>
  <si>
    <t>2110-112</t>
  </si>
  <si>
    <t>2110-200</t>
  </si>
  <si>
    <t>2110-241</t>
  </si>
  <si>
    <t>2110-260</t>
  </si>
  <si>
    <t>2111-012</t>
  </si>
  <si>
    <t>2111-180</t>
  </si>
  <si>
    <t>2111-210</t>
  </si>
  <si>
    <t>2111-242</t>
  </si>
  <si>
    <t>2111-321</t>
  </si>
  <si>
    <t>2111-360</t>
  </si>
  <si>
    <t>2111-363</t>
  </si>
  <si>
    <t>2111-424</t>
  </si>
  <si>
    <t>2111-450</t>
  </si>
  <si>
    <t>2111-511</t>
  </si>
  <si>
    <t>2115-060</t>
  </si>
  <si>
    <t>2116-100</t>
  </si>
  <si>
    <t>2116-153</t>
  </si>
  <si>
    <t>2123-112</t>
  </si>
  <si>
    <t>2129-030</t>
  </si>
  <si>
    <t>2129-050</t>
  </si>
  <si>
    <t>2138-040</t>
  </si>
  <si>
    <t>2138-051</t>
  </si>
  <si>
    <t>2138-065</t>
  </si>
  <si>
    <t>2138-066</t>
  </si>
  <si>
    <t>2141-040</t>
  </si>
  <si>
    <t>2141-070</t>
  </si>
  <si>
    <t>castilla|CC 11-600|12H3</t>
  </si>
  <si>
    <t>2141-082</t>
  </si>
  <si>
    <t>2141-130</t>
  </si>
  <si>
    <t>2141-150</t>
  </si>
  <si>
    <t>2141-180</t>
  </si>
  <si>
    <t>2142-090</t>
  </si>
  <si>
    <t>2503-088</t>
  </si>
  <si>
    <t>2503-200</t>
  </si>
  <si>
    <t>2503-201</t>
  </si>
  <si>
    <t>2506-121</t>
  </si>
  <si>
    <t>castilla|CC 01-1940|6H1</t>
  </si>
  <si>
    <t>2506-123</t>
  </si>
  <si>
    <t>castilla|CC 01-1940|30H0</t>
  </si>
  <si>
    <t>2506-151</t>
  </si>
  <si>
    <t>castilla|CC 11-595|30H0</t>
  </si>
  <si>
    <t>2506-300</t>
  </si>
  <si>
    <t>2506-305</t>
  </si>
  <si>
    <t>2506-321</t>
  </si>
  <si>
    <t>2506-322</t>
  </si>
  <si>
    <t>2695-170</t>
  </si>
  <si>
    <t>2695-180</t>
  </si>
  <si>
    <t>2695-181</t>
  </si>
  <si>
    <t>2695-201</t>
  </si>
  <si>
    <t>2695-210</t>
  </si>
  <si>
    <t>2695-220</t>
  </si>
  <si>
    <t>2695-221</t>
  </si>
  <si>
    <t>2695-230</t>
  </si>
  <si>
    <t>2695-231</t>
  </si>
  <si>
    <t>2695-240</t>
  </si>
  <si>
    <t>23H3</t>
  </si>
  <si>
    <t>2695-261</t>
  </si>
  <si>
    <t>2696-072</t>
  </si>
  <si>
    <t>2105-031</t>
  </si>
  <si>
    <t>app de Cosecha (oct)</t>
  </si>
  <si>
    <t>2105-050</t>
  </si>
  <si>
    <t>2108-080</t>
  </si>
  <si>
    <t>2108-081</t>
  </si>
  <si>
    <t>2108-083</t>
  </si>
  <si>
    <t>2108-090</t>
  </si>
  <si>
    <t>2109-050</t>
  </si>
  <si>
    <t>2109-064</t>
  </si>
  <si>
    <t>2109-200</t>
  </si>
  <si>
    <t>2111-550</t>
  </si>
  <si>
    <t>2116-030</t>
  </si>
  <si>
    <t>2116-031</t>
  </si>
  <si>
    <t>2117-097</t>
  </si>
  <si>
    <t>2118-090</t>
  </si>
  <si>
    <t>2118-101</t>
  </si>
  <si>
    <t>CC 11-606</t>
  </si>
  <si>
    <t>castilla|CC 11-606|18H4</t>
  </si>
  <si>
    <t>2123-070</t>
  </si>
  <si>
    <t>CC 12-2120</t>
  </si>
  <si>
    <t>castilla|CC 12-2120|11H2</t>
  </si>
  <si>
    <t>2123-100</t>
  </si>
  <si>
    <t>2123-170</t>
  </si>
  <si>
    <t>2123-220</t>
  </si>
  <si>
    <t>castilla|CC 11-595|6H2</t>
  </si>
  <si>
    <t>2123-261</t>
  </si>
  <si>
    <t>2124-030</t>
  </si>
  <si>
    <t>CC 18-3021</t>
  </si>
  <si>
    <t>castilla|TODAS|18H2</t>
  </si>
  <si>
    <t>zona (todas las variedades)</t>
  </si>
  <si>
    <t>2127-010</t>
  </si>
  <si>
    <t>castilla|CC 11-595|10H4</t>
  </si>
  <si>
    <t>2127-102</t>
  </si>
  <si>
    <t>castilla|CC 12-2120|10H4</t>
  </si>
  <si>
    <t>2127-103</t>
  </si>
  <si>
    <t>2127-104</t>
  </si>
  <si>
    <t>2127-110</t>
  </si>
  <si>
    <t>castilla|CC 11-606|TODAS</t>
  </si>
  <si>
    <t>2127-111</t>
  </si>
  <si>
    <t>2127-300</t>
  </si>
  <si>
    <t>25H4</t>
  </si>
  <si>
    <t>castilla|CC 11-600|25H4</t>
  </si>
  <si>
    <t>2127-301</t>
  </si>
  <si>
    <t>2127-302</t>
  </si>
  <si>
    <t>castilla|CC 12-2120|TODAS</t>
  </si>
  <si>
    <t>2127-304</t>
  </si>
  <si>
    <t>2503-197</t>
  </si>
  <si>
    <t>3109-110</t>
  </si>
  <si>
    <t>5H3</t>
  </si>
  <si>
    <t>riopaila|CC 01-1940|5H3</t>
  </si>
  <si>
    <t>3109-161</t>
  </si>
  <si>
    <t>3111-131</t>
  </si>
  <si>
    <t>riopaila|CC 11-595|10H3</t>
  </si>
  <si>
    <t>3111-171</t>
  </si>
  <si>
    <t>riopaila|CC 85-92|14H1</t>
  </si>
  <si>
    <t>3106-260</t>
  </si>
  <si>
    <t>7H0</t>
  </si>
  <si>
    <t>riopaila|VARIAS|7H0</t>
  </si>
  <si>
    <t>3106-302</t>
  </si>
  <si>
    <t>riopaila|VARIAS|5H3</t>
  </si>
  <si>
    <t>3106-311</t>
  </si>
  <si>
    <t>riopaila|VARIAS|15H1</t>
  </si>
  <si>
    <t>3106-370</t>
  </si>
  <si>
    <t>3106-441</t>
  </si>
  <si>
    <t>riopaila|CC 11-595|SIN ZONA</t>
  </si>
  <si>
    <t>3106-473</t>
  </si>
  <si>
    <t>riopaila|VARIAS|SIN ZONA</t>
  </si>
  <si>
    <t>3106-474</t>
  </si>
  <si>
    <t>riopaila|CC 05-430|SIN ZONA</t>
  </si>
  <si>
    <t>3106-771</t>
  </si>
  <si>
    <t>3106-910</t>
  </si>
  <si>
    <t>3109-061</t>
  </si>
  <si>
    <t>3109-301</t>
  </si>
  <si>
    <t>riopaila|CC 05-430|5H3</t>
  </si>
  <si>
    <t>3118-111</t>
  </si>
  <si>
    <t>riopaila|TODAS|1H1</t>
  </si>
  <si>
    <t>3501-530</t>
  </si>
  <si>
    <t>3501-532</t>
  </si>
  <si>
    <t>3102-151</t>
  </si>
  <si>
    <t>riopaila|VARIAS|6H1</t>
  </si>
  <si>
    <t>3104-041</t>
  </si>
  <si>
    <t>CC 10-450</t>
  </si>
  <si>
    <t>1H2</t>
  </si>
  <si>
    <t>riopaila|CC 10-450|1H2</t>
  </si>
  <si>
    <t>3104-090</t>
  </si>
  <si>
    <t>5H4</t>
  </si>
  <si>
    <t>riopaila|CC 11-595|5H4</t>
  </si>
  <si>
    <t>3104-100</t>
  </si>
  <si>
    <t>3104-102</t>
  </si>
  <si>
    <t>3104-103</t>
  </si>
  <si>
    <t>3104-160</t>
  </si>
  <si>
    <t>riopaila|CC 05-430|5H4</t>
  </si>
  <si>
    <t>3105-600</t>
  </si>
  <si>
    <t>riopaila|VARIAS|1H1</t>
  </si>
  <si>
    <t>3105-601</t>
  </si>
  <si>
    <t>riopaila|CC 01-1940|1H1</t>
  </si>
  <si>
    <t>3106-050</t>
  </si>
  <si>
    <t>riopaila|CC 05-430|15H1</t>
  </si>
  <si>
    <t>3106-150</t>
  </si>
  <si>
    <t>3106-232</t>
  </si>
  <si>
    <t>riopaila|VARIAS|10H3</t>
  </si>
  <si>
    <t>3106-270</t>
  </si>
  <si>
    <t>riopaila|CC 05-430|7H0</t>
  </si>
  <si>
    <t>3106-282</t>
  </si>
  <si>
    <t>3106-342</t>
  </si>
  <si>
    <t>riopaila|CC 11-595|6H1</t>
  </si>
  <si>
    <t>3106-351</t>
  </si>
  <si>
    <t>CC 99-2282</t>
  </si>
  <si>
    <t>riopaila|CC 99-2282|6H1</t>
  </si>
  <si>
    <t>3107-390</t>
  </si>
  <si>
    <t>riopaila|CC 11-600|TODAS</t>
  </si>
  <si>
    <t>3107-440</t>
  </si>
  <si>
    <t>3107-443</t>
  </si>
  <si>
    <t>riopaila|CC 01-1940|6H1</t>
  </si>
  <si>
    <t>3107-750</t>
  </si>
  <si>
    <t>riopaila|CC 11-595|5H3</t>
  </si>
  <si>
    <t>3107-851</t>
  </si>
  <si>
    <t>riopaila|TODAS|5H3</t>
  </si>
  <si>
    <t>3107-860</t>
  </si>
  <si>
    <t>3107-890</t>
  </si>
  <si>
    <t>3110-081</t>
  </si>
  <si>
    <t>riopaila|CC 11-0132|5H3</t>
  </si>
  <si>
    <t>3110-290</t>
  </si>
  <si>
    <t>3111-052</t>
  </si>
  <si>
    <t>riopaila|CC 01-1940|10H3</t>
  </si>
  <si>
    <t>3111-090</t>
  </si>
  <si>
    <t>3111-100</t>
  </si>
  <si>
    <t>3111-132</t>
  </si>
  <si>
    <t>3111-450</t>
  </si>
  <si>
    <t>riopaila|TODAS|10H3</t>
  </si>
  <si>
    <t>3111-451</t>
  </si>
  <si>
    <t>riopaila|TODAS|SIN ZONA</t>
  </si>
  <si>
    <t>3111-490</t>
  </si>
  <si>
    <t>riopaila|CC 85-92|10H3</t>
  </si>
  <si>
    <t>3118-114</t>
  </si>
  <si>
    <t>3122-321</t>
  </si>
  <si>
    <t>riopaila|CC 11-600|5H3</t>
  </si>
  <si>
    <t>3233-080</t>
  </si>
  <si>
    <t>3233-100</t>
  </si>
  <si>
    <t>riopaila|CC 11-595|15H1</t>
  </si>
  <si>
    <t>3233-110</t>
  </si>
  <si>
    <t>riopaila|CC 09-066|15H1</t>
  </si>
  <si>
    <t>3425-022</t>
  </si>
  <si>
    <t>riopaila|TODAS|14H1</t>
  </si>
  <si>
    <t>3425-030</t>
  </si>
  <si>
    <t>23H0</t>
  </si>
  <si>
    <t>riopaila|TODAS|23H0</t>
  </si>
  <si>
    <t>3440-700</t>
  </si>
  <si>
    <t>7H1</t>
  </si>
  <si>
    <t>riopaila|CC 05-430|TODAS</t>
  </si>
  <si>
    <t>3501-081</t>
  </si>
  <si>
    <t>3501-160</t>
  </si>
  <si>
    <t>riopaila|CC 99-2282|15H1</t>
  </si>
  <si>
    <t>3501-260</t>
  </si>
  <si>
    <t>3501-270</t>
  </si>
  <si>
    <t>3501-341</t>
  </si>
  <si>
    <t>3501-630</t>
  </si>
  <si>
    <t>3501-631</t>
  </si>
  <si>
    <t>3104-030</t>
  </si>
  <si>
    <t>riopaila|CC 05-430|1H2</t>
  </si>
  <si>
    <t>3106-030</t>
  </si>
  <si>
    <t>3106-314</t>
  </si>
  <si>
    <t>3106-450</t>
  </si>
  <si>
    <t>3109-210</t>
  </si>
  <si>
    <t>5H2</t>
  </si>
  <si>
    <t>3110-040</t>
  </si>
  <si>
    <t>3110-042</t>
  </si>
  <si>
    <t>3110-071</t>
  </si>
  <si>
    <t>3110-292</t>
  </si>
  <si>
    <t>3111-060</t>
  </si>
  <si>
    <t>3111-140</t>
  </si>
  <si>
    <t>3111-142</t>
  </si>
  <si>
    <t>3113-180</t>
  </si>
  <si>
    <t>3121-190</t>
  </si>
  <si>
    <t>riopaila|SP 71-6949|7H0</t>
  </si>
  <si>
    <t>3501-390</t>
  </si>
  <si>
    <t>3501-640</t>
  </si>
  <si>
    <t>riopaila|VARIAS|TODAS</t>
  </si>
  <si>
    <t>3501-650</t>
  </si>
  <si>
    <t>riopaila|CC 05-430|23H1</t>
  </si>
  <si>
    <t>3104-061</t>
  </si>
  <si>
    <t>3104-213</t>
  </si>
  <si>
    <t>riopaila|TODAS|1H2</t>
  </si>
  <si>
    <t>3106-852</t>
  </si>
  <si>
    <t>3109-222</t>
  </si>
  <si>
    <t>3110-261</t>
  </si>
  <si>
    <t>3111-240</t>
  </si>
  <si>
    <t>3111-241</t>
  </si>
  <si>
    <t>riopaila|CC 05-430|10H3</t>
  </si>
  <si>
    <t>3111-380</t>
  </si>
  <si>
    <t>riopaila|CC 05-430|14H1</t>
  </si>
  <si>
    <t>3113-090</t>
  </si>
  <si>
    <t>3113-091</t>
  </si>
  <si>
    <t>3118-100</t>
  </si>
  <si>
    <t>riopaila|CC 99-2282|10H3</t>
  </si>
  <si>
    <t>3102-140</t>
  </si>
  <si>
    <t>3104-060</t>
  </si>
  <si>
    <t>riopaila|CC 11-595|TODAS</t>
  </si>
  <si>
    <t>3104-080</t>
  </si>
  <si>
    <t>riopaila|CC 10-450|TODAS</t>
  </si>
  <si>
    <t>3104-082</t>
  </si>
  <si>
    <t>riopaila|TODAS|5H4</t>
  </si>
  <si>
    <t>3104-351</t>
  </si>
  <si>
    <t>riopaila|CC 01-1940|6H2</t>
  </si>
  <si>
    <t>3104-440</t>
  </si>
  <si>
    <t>7H2</t>
  </si>
  <si>
    <t>riopaila|CC 01-1940|7H2</t>
  </si>
  <si>
    <t>3105-610</t>
  </si>
  <si>
    <t>3105-612</t>
  </si>
  <si>
    <t>3105-613</t>
  </si>
  <si>
    <t>3106-081</t>
  </si>
  <si>
    <t>3109-060</t>
  </si>
  <si>
    <t>3110-260</t>
  </si>
  <si>
    <t>3111-030</t>
  </si>
  <si>
    <t>3111-170</t>
  </si>
  <si>
    <t>3111-250</t>
  </si>
  <si>
    <t>3111-300</t>
  </si>
  <si>
    <t>riopaila|CC 11-595|23H0</t>
  </si>
  <si>
    <t>3111-360</t>
  </si>
  <si>
    <t>riopaila|VARIAS|14H1</t>
  </si>
  <si>
    <t>3111-372</t>
  </si>
  <si>
    <t>CC 04-195</t>
  </si>
  <si>
    <t>riopaila|CC 04-195|14H1</t>
  </si>
  <si>
    <t>3111-400</t>
  </si>
  <si>
    <t>3111-401</t>
  </si>
  <si>
    <t>3111-410</t>
  </si>
  <si>
    <t>3111-480</t>
  </si>
  <si>
    <t>3111-500</t>
  </si>
  <si>
    <t>3111-510</t>
  </si>
  <si>
    <t>3113-100</t>
  </si>
  <si>
    <t>riopaila|CC 11-595|11H1</t>
  </si>
  <si>
    <t>3113-151</t>
  </si>
  <si>
    <t>3121-180</t>
  </si>
  <si>
    <t>22H0</t>
  </si>
  <si>
    <t>riopaila|CC 99-2282|TODAS</t>
  </si>
  <si>
    <t>3121-191</t>
  </si>
  <si>
    <t>riopaila|CC 99-2282|7H0</t>
  </si>
  <si>
    <t>3122-131</t>
  </si>
  <si>
    <t>3233-030</t>
  </si>
  <si>
    <t>3233-091</t>
  </si>
  <si>
    <t>3425-011</t>
  </si>
  <si>
    <t>3501-140</t>
  </si>
  <si>
    <t>4H1</t>
  </si>
  <si>
    <t>riopaila|VARIAS|4H1</t>
  </si>
  <si>
    <t>3501-141</t>
  </si>
  <si>
    <t>3501-280</t>
  </si>
  <si>
    <t>3501-320</t>
  </si>
  <si>
    <t>riopaila|CC 97-7170|6H1</t>
  </si>
  <si>
    <t>3501-580</t>
  </si>
  <si>
    <t>riopaila|CC 05-430|6H1</t>
  </si>
  <si>
    <t>3501-651</t>
  </si>
  <si>
    <t>3102-015</t>
  </si>
  <si>
    <t>riopaila|CC 05-430|1H1</t>
  </si>
  <si>
    <t>3102-016</t>
  </si>
  <si>
    <t>3102-181</t>
  </si>
  <si>
    <t>3102-190</t>
  </si>
  <si>
    <t>riopaila|CC 01-1940|7H0</t>
  </si>
  <si>
    <t>3102-280</t>
  </si>
  <si>
    <t>riopaila|VARIAS|11H1</t>
  </si>
  <si>
    <t>3104-051</t>
  </si>
  <si>
    <t>riopaila|CC 01-1940|1H2</t>
  </si>
  <si>
    <t>3104-110</t>
  </si>
  <si>
    <t>3104-130</t>
  </si>
  <si>
    <t>3104-131</t>
  </si>
  <si>
    <t>3104-161</t>
  </si>
  <si>
    <t>3104-180</t>
  </si>
  <si>
    <t>riopaila|CC 11-600|5H4</t>
  </si>
  <si>
    <t>3104-192</t>
  </si>
  <si>
    <t>riopaila|CC 99-2282|1H2</t>
  </si>
  <si>
    <t>3104-201</t>
  </si>
  <si>
    <t>3104-234</t>
  </si>
  <si>
    <t>3104-250</t>
  </si>
  <si>
    <t>3104-251</t>
  </si>
  <si>
    <t>3104-252</t>
  </si>
  <si>
    <t>3104-280</t>
  </si>
  <si>
    <t>3105-430</t>
  </si>
  <si>
    <t>riopaila|SP 71-6949|1H1</t>
  </si>
  <si>
    <t>3105-431</t>
  </si>
  <si>
    <t>3105-660</t>
  </si>
  <si>
    <t>3106-110</t>
  </si>
  <si>
    <t>riopaila|CC 10-450|10H3</t>
  </si>
  <si>
    <t>3106-250</t>
  </si>
  <si>
    <t>riopaila|CC 11-600|7H0</t>
  </si>
  <si>
    <t>3106-280</t>
  </si>
  <si>
    <t>3106-281</t>
  </si>
  <si>
    <t>3110-100</t>
  </si>
  <si>
    <t>3110-162</t>
  </si>
  <si>
    <t>3110-190</t>
  </si>
  <si>
    <t>3110-240</t>
  </si>
  <si>
    <t>3111-120</t>
  </si>
  <si>
    <t>3111-210</t>
  </si>
  <si>
    <t>3111-280</t>
  </si>
  <si>
    <t>3111-281</t>
  </si>
  <si>
    <t>3113-053</t>
  </si>
  <si>
    <t>riopaila|CC 05-430|11H1</t>
  </si>
  <si>
    <t>3113-120</t>
  </si>
  <si>
    <t>3113-200</t>
  </si>
  <si>
    <t>riopaila|TODAS|7H0</t>
  </si>
  <si>
    <t>3113-201</t>
  </si>
  <si>
    <t>3113-230</t>
  </si>
  <si>
    <t>3113-231</t>
  </si>
  <si>
    <t>3113-240</t>
  </si>
  <si>
    <t>3113-242</t>
  </si>
  <si>
    <t>3118-020</t>
  </si>
  <si>
    <t>3121-040</t>
  </si>
  <si>
    <t>3121-200</t>
  </si>
  <si>
    <t>3121-250</t>
  </si>
  <si>
    <t>riopaila|CC 11-600|6H1</t>
  </si>
  <si>
    <t>3121-271</t>
  </si>
  <si>
    <t>3501-070</t>
  </si>
  <si>
    <t>3501-180</t>
  </si>
  <si>
    <t>riopaila|CC 93-4418|15H1</t>
  </si>
  <si>
    <t>3501-190</t>
  </si>
  <si>
    <t>3501-391</t>
  </si>
  <si>
    <t>3501-550</t>
  </si>
  <si>
    <t>3501-551</t>
  </si>
  <si>
    <t>3501-560</t>
  </si>
  <si>
    <t>3501-561</t>
  </si>
  <si>
    <t>3501-621</t>
  </si>
  <si>
    <t>3102-020</t>
  </si>
  <si>
    <t>3102-191</t>
  </si>
  <si>
    <t>3102-281</t>
  </si>
  <si>
    <t>3104-021</t>
  </si>
  <si>
    <t>3104-081</t>
  </si>
  <si>
    <t>3104-120</t>
  </si>
  <si>
    <t>3104-123</t>
  </si>
  <si>
    <t>3104-142</t>
  </si>
  <si>
    <t>3104-150</t>
  </si>
  <si>
    <t>3104-170</t>
  </si>
  <si>
    <t>3104-181</t>
  </si>
  <si>
    <t>3104-182</t>
  </si>
  <si>
    <t>riopaila|CC 01-1940|5H4</t>
  </si>
  <si>
    <t>3104-220</t>
  </si>
  <si>
    <t>3104-221</t>
  </si>
  <si>
    <t>3104-260</t>
  </si>
  <si>
    <t>3106-130</t>
  </si>
  <si>
    <t>3106-171</t>
  </si>
  <si>
    <t>riopaila|CC 01-1940|15H1</t>
  </si>
  <si>
    <t>3106-210</t>
  </si>
  <si>
    <t>3106-320</t>
  </si>
  <si>
    <t>riopaila|CC 10-450|15H1</t>
  </si>
  <si>
    <t>3106-430</t>
  </si>
  <si>
    <t>riopaila|CC 99-2282|SIN ZONA</t>
  </si>
  <si>
    <t>3106-700</t>
  </si>
  <si>
    <t>riopaila|CC 01-1940|SIN ZONA</t>
  </si>
  <si>
    <t>3106-731</t>
  </si>
  <si>
    <t>3106-732</t>
  </si>
  <si>
    <t>3106-751</t>
  </si>
  <si>
    <t>3106-780</t>
  </si>
  <si>
    <t>3106-820</t>
  </si>
  <si>
    <t>3106-830</t>
  </si>
  <si>
    <t>3106-870</t>
  </si>
  <si>
    <t>3106-920</t>
  </si>
  <si>
    <t>riopaila|CC 11-600|SIN ZONA</t>
  </si>
  <si>
    <t>3109-010</t>
  </si>
  <si>
    <t>3109-020</t>
  </si>
  <si>
    <t>3109-070</t>
  </si>
  <si>
    <t>3109-160</t>
  </si>
  <si>
    <t>3109-270</t>
  </si>
  <si>
    <t>3109-271</t>
  </si>
  <si>
    <t>3109-340</t>
  </si>
  <si>
    <t>3109-352</t>
  </si>
  <si>
    <t>riopaila|CC 99-2282|5H3</t>
  </si>
  <si>
    <t>3109-410</t>
  </si>
  <si>
    <t>3109-422</t>
  </si>
  <si>
    <t>3110-010</t>
  </si>
  <si>
    <t>3110-020</t>
  </si>
  <si>
    <t>3110-130</t>
  </si>
  <si>
    <t>3110-140</t>
  </si>
  <si>
    <t>3110-150</t>
  </si>
  <si>
    <t>3110-151</t>
  </si>
  <si>
    <t>3110-161</t>
  </si>
  <si>
    <t>3110-180</t>
  </si>
  <si>
    <t>3110-250</t>
  </si>
  <si>
    <t>3110-262</t>
  </si>
  <si>
    <t>3110-291</t>
  </si>
  <si>
    <t>3111-020</t>
  </si>
  <si>
    <t>3111-040</t>
  </si>
  <si>
    <t>riopaila|CC 11-0132|TODAS</t>
  </si>
  <si>
    <t>3111-070</t>
  </si>
  <si>
    <t>3111-220</t>
  </si>
  <si>
    <t>3111-491</t>
  </si>
  <si>
    <t>3111-492</t>
  </si>
  <si>
    <t>riopaila|CC 01-1940|14H1</t>
  </si>
  <si>
    <t>3113-190</t>
  </si>
  <si>
    <t>3113-241</t>
  </si>
  <si>
    <t>3113-243</t>
  </si>
  <si>
    <t>CC 92-2198</t>
  </si>
  <si>
    <t>riopaila|CC 92-2198|5H3</t>
  </si>
  <si>
    <t>3118-010</t>
  </si>
  <si>
    <t>3118-040</t>
  </si>
  <si>
    <t>3118-080</t>
  </si>
  <si>
    <t>riopaila|CC 01-1940|23H0</t>
  </si>
  <si>
    <t>3118-090</t>
  </si>
  <si>
    <t>3122-250</t>
  </si>
  <si>
    <t>3233-013</t>
  </si>
  <si>
    <t>3233-020</t>
  </si>
  <si>
    <t>3233-021</t>
  </si>
  <si>
    <t>3426-110</t>
  </si>
  <si>
    <t>3426-111</t>
  </si>
  <si>
    <t>3102-010</t>
  </si>
  <si>
    <t>3102-017</t>
  </si>
  <si>
    <t>3102-040</t>
  </si>
  <si>
    <t>riopaila|CC 09-066|TODAS</t>
  </si>
  <si>
    <t>3102-110</t>
  </si>
  <si>
    <t>3102-160</t>
  </si>
  <si>
    <t>3104-010</t>
  </si>
  <si>
    <t>3104-230</t>
  </si>
  <si>
    <t>3104-240</t>
  </si>
  <si>
    <t>3104-241</t>
  </si>
  <si>
    <t>3105-650</t>
  </si>
  <si>
    <t>3106-040</t>
  </si>
  <si>
    <t>3106-060</t>
  </si>
  <si>
    <t>3106-160</t>
  </si>
  <si>
    <t>3106-180</t>
  </si>
  <si>
    <t>3106-300</t>
  </si>
  <si>
    <t>3106-312</t>
  </si>
  <si>
    <t>CC 01-1228</t>
  </si>
  <si>
    <t>riopaila|CC 01-1228|15H1</t>
  </si>
  <si>
    <t>3106-330</t>
  </si>
  <si>
    <t>CC 93-3826</t>
  </si>
  <si>
    <t>riopaila|CC 93-3826|6H1</t>
  </si>
  <si>
    <t>3106-331</t>
  </si>
  <si>
    <t>3106-340</t>
  </si>
  <si>
    <t>3109-111</t>
  </si>
  <si>
    <t>3109-350</t>
  </si>
  <si>
    <t>3109-400</t>
  </si>
  <si>
    <t>3109-510</t>
  </si>
  <si>
    <t>3110-120</t>
  </si>
  <si>
    <t>3110-160</t>
  </si>
  <si>
    <t>3110-210</t>
  </si>
  <si>
    <t>3111-150</t>
  </si>
  <si>
    <t>3111-160</t>
  </si>
  <si>
    <t>3111-161</t>
  </si>
  <si>
    <t>riopaila|TODAS|14H2</t>
  </si>
  <si>
    <t>3111-190</t>
  </si>
  <si>
    <t>3111-200</t>
  </si>
  <si>
    <t>3111-270</t>
  </si>
  <si>
    <t>3111-310</t>
  </si>
  <si>
    <t>3111-330</t>
  </si>
  <si>
    <t>3111-390</t>
  </si>
  <si>
    <t>3111-431</t>
  </si>
  <si>
    <t>3111-442</t>
  </si>
  <si>
    <t>3113-050</t>
  </si>
  <si>
    <t>3113-071</t>
  </si>
  <si>
    <t>riopaila|CC 01-1940|11H1</t>
  </si>
  <si>
    <t>3113-150</t>
  </si>
  <si>
    <t>3113-160</t>
  </si>
  <si>
    <t>riopaila|CC 85-92|5H3</t>
  </si>
  <si>
    <t>3113-170</t>
  </si>
  <si>
    <t>3113-181</t>
  </si>
  <si>
    <t>3113-220</t>
  </si>
  <si>
    <t>3121-231</t>
  </si>
  <si>
    <t>3122-130</t>
  </si>
  <si>
    <t>3122-280</t>
  </si>
  <si>
    <t>3122-450</t>
  </si>
  <si>
    <t>3233-040</t>
  </si>
  <si>
    <t>3233-090</t>
  </si>
  <si>
    <t>3426-031</t>
  </si>
  <si>
    <t>3501-100</t>
  </si>
  <si>
    <t>3501-110</t>
  </si>
  <si>
    <t>3501-120</t>
  </si>
  <si>
    <t>riopaila|TODAS|6H1</t>
  </si>
  <si>
    <t>3501-170</t>
  </si>
  <si>
    <t>3501-200</t>
  </si>
  <si>
    <t>3501-250</t>
  </si>
  <si>
    <t>riopaila|CC 85-92|15H1</t>
  </si>
  <si>
    <t>3501-310</t>
  </si>
  <si>
    <t>riopaila|CC 85-92|6H1</t>
  </si>
  <si>
    <t>3501-362</t>
  </si>
  <si>
    <t>3501-510</t>
  </si>
  <si>
    <t>3501-514</t>
  </si>
  <si>
    <t>riopaila|CC 11-595|1H1</t>
  </si>
  <si>
    <t>3501-600</t>
  </si>
  <si>
    <t>3102-012</t>
  </si>
  <si>
    <t>3102-171</t>
  </si>
  <si>
    <t>3102-290</t>
  </si>
  <si>
    <t>3105-640</t>
  </si>
  <si>
    <t>3106-071</t>
  </si>
  <si>
    <t>3106-100</t>
  </si>
  <si>
    <t>3106-190</t>
  </si>
  <si>
    <t>riopaila|CC 93-3826|15H1</t>
  </si>
  <si>
    <t>3106-211</t>
  </si>
  <si>
    <t>3106-220</t>
  </si>
  <si>
    <t>riopaila|CC 93-3826|23H0</t>
  </si>
  <si>
    <t>3106-271</t>
  </si>
  <si>
    <t>3106-352</t>
  </si>
  <si>
    <t>3109-511</t>
  </si>
  <si>
    <t>3110-170</t>
  </si>
  <si>
    <t>3111-050</t>
  </si>
  <si>
    <t>3111-071</t>
  </si>
  <si>
    <t>3111-072</t>
  </si>
  <si>
    <t>3111-141</t>
  </si>
  <si>
    <t>CC 13-2035</t>
  </si>
  <si>
    <t>3111-290</t>
  </si>
  <si>
    <t>3111-350</t>
  </si>
  <si>
    <t>3111-421</t>
  </si>
  <si>
    <t>3111-433</t>
  </si>
  <si>
    <t>3111-520</t>
  </si>
  <si>
    <t>3113-040</t>
  </si>
  <si>
    <t>riopaila|CC 04-195|TODAS</t>
  </si>
  <si>
    <t>3118-061</t>
  </si>
  <si>
    <t>3118-113</t>
  </si>
  <si>
    <t>3118-150</t>
  </si>
  <si>
    <t>3118-160</t>
  </si>
  <si>
    <t>CC 11-0129</t>
  </si>
  <si>
    <t>riopaila|CC 11-0129|TODAS</t>
  </si>
  <si>
    <t>3121-240</t>
  </si>
  <si>
    <t>3122-230</t>
  </si>
  <si>
    <t>3123-320</t>
  </si>
  <si>
    <t>3233-010</t>
  </si>
  <si>
    <t>3233-012</t>
  </si>
  <si>
    <t>3233-031</t>
  </si>
  <si>
    <t>3233-055</t>
  </si>
  <si>
    <t>3233-060</t>
  </si>
  <si>
    <t>3233-061</t>
  </si>
  <si>
    <t>3233-062</t>
  </si>
  <si>
    <t>riopaila|CC 12-2120|5H3</t>
  </si>
  <si>
    <t>3233-070</t>
  </si>
  <si>
    <t>3418-121</t>
  </si>
  <si>
    <t>3425-020</t>
  </si>
  <si>
    <t>3426-112</t>
  </si>
  <si>
    <t>3501-130</t>
  </si>
  <si>
    <t>3501-150</t>
  </si>
  <si>
    <t>3501-370</t>
  </si>
  <si>
    <t>3501-380</t>
  </si>
  <si>
    <t>Benchmark de TCH por variedad × zona agroecológica · histórico G&amp;P 2016-2025</t>
  </si>
  <si>
    <t>Banda del rango medio (±)</t>
  </si>
  <si>
    <t>Benchmark = mediana del TCH de los cortes. Se usa el nivel más fino con al menos 5 cortes. Óptimo &gt; benchmark × (1 + banda); bajo &lt; benchmark × (1 − banda).</t>
  </si>
  <si>
    <t>Clave</t>
  </si>
  <si>
    <t>Nivel</t>
  </si>
  <si>
    <t>Benchmark TCH (mediana)</t>
  </si>
  <si>
    <t>P25</t>
  </si>
  <si>
    <t>P75</t>
  </si>
  <si>
    <t>Óptimo: más de</t>
  </si>
  <si>
    <t>Bajo: menos de</t>
  </si>
  <si>
    <t>Años</t>
  </si>
  <si>
    <t>castilla|TODAS|TODAS</t>
  </si>
  <si>
    <t>planta</t>
  </si>
  <si>
    <t>TODAS</t>
  </si>
  <si>
    <t>2016-2025</t>
  </si>
  <si>
    <t>castilla|CC 00-3257|TODAS</t>
  </si>
  <si>
    <t>2017-2025</t>
  </si>
  <si>
    <t>castilla|CC 00-3771|TODAS</t>
  </si>
  <si>
    <t>CC 00-3771</t>
  </si>
  <si>
    <t>2020-2025</t>
  </si>
  <si>
    <t>castilla|CC 01-1228|TODAS</t>
  </si>
  <si>
    <t>castilla|CC 01-1940|TODAS</t>
  </si>
  <si>
    <t>castilla|CC 01-678|TODAS</t>
  </si>
  <si>
    <t>2019-2025</t>
  </si>
  <si>
    <t>castilla|CC 01-746|TODAS</t>
  </si>
  <si>
    <t>CC 01-746</t>
  </si>
  <si>
    <t>2018-2023</t>
  </si>
  <si>
    <t>castilla|CC 03-154|TODAS</t>
  </si>
  <si>
    <t>CC 03-154</t>
  </si>
  <si>
    <t>2016-2020</t>
  </si>
  <si>
    <t>castilla|CC 03-469|TODAS</t>
  </si>
  <si>
    <t>CC 03-469</t>
  </si>
  <si>
    <t>2019-2024</t>
  </si>
  <si>
    <t>castilla|CC 04-195|TODAS</t>
  </si>
  <si>
    <t>2019-2023</t>
  </si>
  <si>
    <t>castilla|CC 05-230|TODAS</t>
  </si>
  <si>
    <t>CC 05-230</t>
  </si>
  <si>
    <t>2021-2025</t>
  </si>
  <si>
    <t>2022-2025</t>
  </si>
  <si>
    <t>castilla|CC 06-791|TODAS</t>
  </si>
  <si>
    <t>CC 06-791</t>
  </si>
  <si>
    <t>2016-2024</t>
  </si>
  <si>
    <t>castilla|CC 10-450|TODAS</t>
  </si>
  <si>
    <t>2024-2025</t>
  </si>
  <si>
    <t>castilla|CC 12-1326|TODAS</t>
  </si>
  <si>
    <t>CC 12-1326</t>
  </si>
  <si>
    <t>2025-2025</t>
  </si>
  <si>
    <t>2023-2025</t>
  </si>
  <si>
    <t>castilla|CC 13-2035|TODAS</t>
  </si>
  <si>
    <t>castilla|CC 14-1256|TODAS</t>
  </si>
  <si>
    <t>CC 14-1256</t>
  </si>
  <si>
    <t>castilla|CC 14-3221|TODAS</t>
  </si>
  <si>
    <t>CC 14-3221</t>
  </si>
  <si>
    <t>castilla|CC 14-3296|TODAS</t>
  </si>
  <si>
    <t>CC 14-3296</t>
  </si>
  <si>
    <t>castilla|CC 14-3358|TODAS</t>
  </si>
  <si>
    <t>CC 14-3358</t>
  </si>
  <si>
    <t>castilla|CC 15-2259|TODAS</t>
  </si>
  <si>
    <t>CC 15-2259</t>
  </si>
  <si>
    <t>castilla|CC 15-2356|TODAS</t>
  </si>
  <si>
    <t>CC 15-2356</t>
  </si>
  <si>
    <t>castilla|CC 15-3059|TODAS</t>
  </si>
  <si>
    <t>CC 15-3059</t>
  </si>
  <si>
    <t>castilla|CC 15-3119|TODAS</t>
  </si>
  <si>
    <t>CC 15-3119</t>
  </si>
  <si>
    <t>castilla|CC 18-3021|TODAS</t>
  </si>
  <si>
    <t>castilla|CC 84-75|TODAS</t>
  </si>
  <si>
    <t>CC 84-75</t>
  </si>
  <si>
    <t>castilla|CC 85-92|TODAS</t>
  </si>
  <si>
    <t>castilla|CC 91-1606|TODAS</t>
  </si>
  <si>
    <t>CC 91-1606</t>
  </si>
  <si>
    <t>2016-2022</t>
  </si>
  <si>
    <t>castilla|CC 91-1999|TODAS</t>
  </si>
  <si>
    <t>CC 91-1999</t>
  </si>
  <si>
    <t>2016-2017</t>
  </si>
  <si>
    <t>castilla|CC 92-2198|TODAS</t>
  </si>
  <si>
    <t>castilla|CC 92-2804|TODAS</t>
  </si>
  <si>
    <t>CC 92-2804</t>
  </si>
  <si>
    <t>2016-2016</t>
  </si>
  <si>
    <t>castilla|CC 93-3826|TODAS</t>
  </si>
  <si>
    <t>castilla|CC 93-4181|TODAS</t>
  </si>
  <si>
    <t>CC 93-4181</t>
  </si>
  <si>
    <t>2016-2023</t>
  </si>
  <si>
    <t>castilla|CC 93-4418|TODAS</t>
  </si>
  <si>
    <t>castilla|CC 97-7170|TODAS</t>
  </si>
  <si>
    <t>castilla|CC 9872|TODAS</t>
  </si>
  <si>
    <t>CC 9872</t>
  </si>
  <si>
    <t>2017-2020</t>
  </si>
  <si>
    <t>castilla|EXPERIMENT|TODAS</t>
  </si>
  <si>
    <t>EXPERIMENT</t>
  </si>
  <si>
    <t>castilla|RB 85-5113|TODAS</t>
  </si>
  <si>
    <t>RB 85-5113</t>
  </si>
  <si>
    <t>castilla|RENOVACION|TODAS</t>
  </si>
  <si>
    <t>RENOVACION</t>
  </si>
  <si>
    <t>castilla|SP 71-6949|TODAS</t>
  </si>
  <si>
    <t>castilla|CC 00-3257|11H2</t>
  </si>
  <si>
    <t>2017-2024</t>
  </si>
  <si>
    <t>2018-2025</t>
  </si>
  <si>
    <t>castilla|CC 00-3257|18H0</t>
  </si>
  <si>
    <t>castilla|CC 00-3257|18H2</t>
  </si>
  <si>
    <t>2020-2024</t>
  </si>
  <si>
    <t>castilla|CC 00-3257|24H3</t>
  </si>
  <si>
    <t>castilla|CC 00-3257|24H4</t>
  </si>
  <si>
    <t>castilla|CC 00-3257|26H1</t>
  </si>
  <si>
    <t>2019-2022</t>
  </si>
  <si>
    <t>castilla|CC 00-3257|30H3</t>
  </si>
  <si>
    <t>castilla|CC 00-3257|6H1</t>
  </si>
  <si>
    <t>castilla|CC 00-3257|SIN ZONA</t>
  </si>
  <si>
    <t>castilla|CC 00-3771|11H1</t>
  </si>
  <si>
    <t>castilla|CC 00-3771|11H3</t>
  </si>
  <si>
    <t>2021-2024</t>
  </si>
  <si>
    <t>castilla|CC 00-3771|SIN ZONA</t>
  </si>
  <si>
    <t>2021-2023</t>
  </si>
  <si>
    <t>castilla|CC 01-1228|10H4</t>
  </si>
  <si>
    <t>castilla|CC 01-1228|10H5</t>
  </si>
  <si>
    <t>2016-2018</t>
  </si>
  <si>
    <t>castilla|CC 01-1228|11H0</t>
  </si>
  <si>
    <t>castilla|CC 01-1228|11H1</t>
  </si>
  <si>
    <t>castilla|CC 01-1228|11H3</t>
  </si>
  <si>
    <t>castilla|CC 01-1228|11H4</t>
  </si>
  <si>
    <t>2016-2019</t>
  </si>
  <si>
    <t>castilla|CC 01-1228|12H3</t>
  </si>
  <si>
    <t>castilla|CC 01-1228|15H1</t>
  </si>
  <si>
    <t>castilla|CC 01-1228|17H4</t>
  </si>
  <si>
    <t>castilla|CC 01-1228|18H1</t>
  </si>
  <si>
    <t>castilla|CC 01-1228|18H2</t>
  </si>
  <si>
    <t>castilla|CC 01-1228|18H4</t>
  </si>
  <si>
    <t>castilla|CC 01-1228|21H1</t>
  </si>
  <si>
    <t>castilla|CC 01-1228|26H3</t>
  </si>
  <si>
    <t>2016-2021</t>
  </si>
  <si>
    <t>castilla|CC 01-1228|30H0</t>
  </si>
  <si>
    <t>castilla|CC 01-1228|30H3</t>
  </si>
  <si>
    <t>castilla|CC 01-1228|5H3</t>
  </si>
  <si>
    <t>castilla|CC 01-1228|SIN ZONA</t>
  </si>
  <si>
    <t>castilla|CC 01-1940|10H2</t>
  </si>
  <si>
    <t>castilla|CC 01-1940|10H4</t>
  </si>
  <si>
    <t>castilla|CC 01-1940|11H0</t>
  </si>
  <si>
    <t>castilla|CC 01-1940|11H1</t>
  </si>
  <si>
    <t>castilla|CC 01-1940|11H2</t>
  </si>
  <si>
    <t>castilla|CC 01-1940|11H4</t>
  </si>
  <si>
    <t>castilla|CC 01-1940|14H1</t>
  </si>
  <si>
    <t>castilla|CC 01-1940|14H2</t>
  </si>
  <si>
    <t>castilla|CC 01-1940|15H0</t>
  </si>
  <si>
    <t>castilla|CC 01-1940|15H1</t>
  </si>
  <si>
    <t>castilla|CC 01-1940|17H3</t>
  </si>
  <si>
    <t>17H3</t>
  </si>
  <si>
    <t>2017-2023</t>
  </si>
  <si>
    <t>castilla|CC 01-1940|17H4</t>
  </si>
  <si>
    <t>castilla|CC 01-1940|18H0</t>
  </si>
  <si>
    <t>castilla|CC 01-1940|18H1</t>
  </si>
  <si>
    <t>castilla|CC 01-1940|18H2</t>
  </si>
  <si>
    <t>castilla|CC 01-1940|18H3</t>
  </si>
  <si>
    <t>castilla|CC 01-1940|18H4</t>
  </si>
  <si>
    <t>castilla|CC 01-1940|1H1</t>
  </si>
  <si>
    <t>2018-2022</t>
  </si>
  <si>
    <t>castilla|CC 01-1940|21H0</t>
  </si>
  <si>
    <t>21H0</t>
  </si>
  <si>
    <t>castilla|CC 01-1940|23H1</t>
  </si>
  <si>
    <t>castilla|CC 01-1940|24H3</t>
  </si>
  <si>
    <t>castilla|CC 01-1940|25H4</t>
  </si>
  <si>
    <t>castilla|CC 01-1940|26H1</t>
  </si>
  <si>
    <t>castilla|CC 01-1940|30H1</t>
  </si>
  <si>
    <t>castilla|CC 01-1940|30H2</t>
  </si>
  <si>
    <t>castilla|CC 01-1940|30H3</t>
  </si>
  <si>
    <t>castilla|CC 01-1940|32H0</t>
  </si>
  <si>
    <t>castilla|CC 01-1940|32H4</t>
  </si>
  <si>
    <t>32H4</t>
  </si>
  <si>
    <t>castilla|CC 01-1940|5H3</t>
  </si>
  <si>
    <t>2017-2022</t>
  </si>
  <si>
    <t>castilla|CC 01-1940|6H2</t>
  </si>
  <si>
    <t>castilla|CC 01-1940|7H3</t>
  </si>
  <si>
    <t>castilla|CC 01-1940|SIN ZONA</t>
  </si>
  <si>
    <t>castilla|CC 01-678|11H1</t>
  </si>
  <si>
    <t>castilla|CC 01-678|18H0</t>
  </si>
  <si>
    <t>castilla|CC 01-678|30H0</t>
  </si>
  <si>
    <t>castilla|CC 01-678|30H1</t>
  </si>
  <si>
    <t>castilla|CC 01-678|SIN ZONA</t>
  </si>
  <si>
    <t>castilla|CC 01-746|11H1</t>
  </si>
  <si>
    <t>castilla|CC 01-746|30H0</t>
  </si>
  <si>
    <t>2019-2021</t>
  </si>
  <si>
    <t>castilla|CC 03-154|10H4</t>
  </si>
  <si>
    <t>2018-2018</t>
  </si>
  <si>
    <t>castilla|CC 03-154|11H0</t>
  </si>
  <si>
    <t>castilla|CC 03-154|24H3</t>
  </si>
  <si>
    <t>castilla|CC 03-154|SIN ZONA</t>
  </si>
  <si>
    <t>castilla|CC 03-469|10H4</t>
  </si>
  <si>
    <t>castilla|CC 04-195|6H1</t>
  </si>
  <si>
    <t>castilla|CC 05-230|11H1</t>
  </si>
  <si>
    <t>castilla|CC 05-230|30H1</t>
  </si>
  <si>
    <t>castilla|CC 05-230|6H1</t>
  </si>
  <si>
    <t>castilla|CC 05-231|11H1</t>
  </si>
  <si>
    <t>castilla|CC 05-231|15H1</t>
  </si>
  <si>
    <t>castilla|CC 05-231|6H1</t>
  </si>
  <si>
    <t>castilla|CC 05-231|6H2</t>
  </si>
  <si>
    <t>castilla|CC 05-430|10H2</t>
  </si>
  <si>
    <t>castilla|CC 05-430|10H3</t>
  </si>
  <si>
    <t>2021-2021</t>
  </si>
  <si>
    <t>castilla|CC 05-430|10H4</t>
  </si>
  <si>
    <t>castilla|CC 05-430|10H5</t>
  </si>
  <si>
    <t>castilla|CC 05-430|11H4</t>
  </si>
  <si>
    <t>castilla|CC 05-430|14H1</t>
  </si>
  <si>
    <t>castilla|CC 05-430|15H0</t>
  </si>
  <si>
    <t>castilla|CC 05-430|15H2</t>
  </si>
  <si>
    <t>15H2</t>
  </si>
  <si>
    <t>castilla|CC 05-430|17H4</t>
  </si>
  <si>
    <t>castilla|CC 05-430|18H1</t>
  </si>
  <si>
    <t>castilla|CC 05-430|21H0</t>
  </si>
  <si>
    <t>castilla|CC 05-430|24H4</t>
  </si>
  <si>
    <t>castilla|CC 05-430|29H3</t>
  </si>
  <si>
    <t>29H3</t>
  </si>
  <si>
    <t>castilla|CC 05-430|30H1</t>
  </si>
  <si>
    <t>castilla|CC 05-430|30H3</t>
  </si>
  <si>
    <t>castilla|CC 05-430|7H3</t>
  </si>
  <si>
    <t>castilla|CC 06-791|11H3</t>
  </si>
  <si>
    <t>castilla|CC 06-791|6H3</t>
  </si>
  <si>
    <t>castilla|CC 06-791|SIN ZONA</t>
  </si>
  <si>
    <t>2022-2022</t>
  </si>
  <si>
    <t>castilla|CC 09-066|11H3</t>
  </si>
  <si>
    <t>castilla|CC 09-066|14H2</t>
  </si>
  <si>
    <t>castilla|CC 09-066|15H1</t>
  </si>
  <si>
    <t>castilla|CC 09-066|18H0</t>
  </si>
  <si>
    <t>castilla|CC 09-066|18H2</t>
  </si>
  <si>
    <t>castilla|CC 09-066|1H1</t>
  </si>
  <si>
    <t>castilla|CC 09-066|21H0</t>
  </si>
  <si>
    <t>castilla|CC 09-066|21H1</t>
  </si>
  <si>
    <t>2024-2024</t>
  </si>
  <si>
    <t>castilla|CC 09-066|24H3</t>
  </si>
  <si>
    <t>castilla|CC 09-066|26H1</t>
  </si>
  <si>
    <t>castilla|CC 09-066|30H1</t>
  </si>
  <si>
    <t>castilla|CC 09-066|30H3</t>
  </si>
  <si>
    <t>castilla|CC 09-066|31H1</t>
  </si>
  <si>
    <t>castilla|CC 09-066|32H0</t>
  </si>
  <si>
    <t>castilla|CC 09-066|SIN ZONA</t>
  </si>
  <si>
    <t>castilla|CC 09-535|11H2</t>
  </si>
  <si>
    <t>castilla|CC 09-535|31H1</t>
  </si>
  <si>
    <t>castilla|CC 10-450|11H1</t>
  </si>
  <si>
    <t>castilla|CC 10-450|11H2</t>
  </si>
  <si>
    <t>castilla|CC 11-0132|10H2</t>
  </si>
  <si>
    <t>castilla|CC 11-0132|10H3</t>
  </si>
  <si>
    <t>castilla|CC 11-0132|11H3</t>
  </si>
  <si>
    <t>castilla|CC 11-0132|14H1</t>
  </si>
  <si>
    <t>castilla|CC 11-0132|14H2</t>
  </si>
  <si>
    <t>castilla|CC 11-0132|15H1</t>
  </si>
  <si>
    <t>castilla|CC 11-0132|18H0</t>
  </si>
  <si>
    <t>castilla|CC 11-0132|18H1</t>
  </si>
  <si>
    <t>castilla|CC 11-0132|18H2</t>
  </si>
  <si>
    <t>castilla|CC 11-0132|1H1</t>
  </si>
  <si>
    <t>castilla|CC 11-0132|21H0</t>
  </si>
  <si>
    <t>castilla|CC 11-0132|21H1</t>
  </si>
  <si>
    <t>castilla|CC 11-0132|30H1</t>
  </si>
  <si>
    <t>castilla|CC 11-0132|SIN ZONA</t>
  </si>
  <si>
    <t>castilla|CC 11-595|10H2</t>
  </si>
  <si>
    <t>castilla|CC 11-595|17H3</t>
  </si>
  <si>
    <t>castilla|CC 11-595|17H4</t>
  </si>
  <si>
    <t>castilla|CC 11-595|18H2</t>
  </si>
  <si>
    <t>castilla|CC 11-595|18H3</t>
  </si>
  <si>
    <t>castilla|CC 11-595|23H1</t>
  </si>
  <si>
    <t>castilla|CC 11-595|30H2</t>
  </si>
  <si>
    <t>castilla|CC 11-595|5H3</t>
  </si>
  <si>
    <t>castilla|CC 11-595|SIN ZONA</t>
  </si>
  <si>
    <t>castilla|CC 11-600|10H3</t>
  </si>
  <si>
    <t>castilla|CC 11-600|11H1</t>
  </si>
  <si>
    <t>castilla|CC 11-600|18H1</t>
  </si>
  <si>
    <t>castilla|CC 11-600|26H1</t>
  </si>
  <si>
    <t>castilla|CC 11-600|30H2</t>
  </si>
  <si>
    <t>castilla|CC 11-600|6H1</t>
  </si>
  <si>
    <t>castilla|CC 11-600|6H4</t>
  </si>
  <si>
    <t>castilla|CC 11-606|10H3</t>
  </si>
  <si>
    <t>castilla|CC 11-606|10H4</t>
  </si>
  <si>
    <t>castilla|CC 11-606|11H2</t>
  </si>
  <si>
    <t>castilla|CC 11-606|11H3</t>
  </si>
  <si>
    <t>castilla|CC 11-606|11H4</t>
  </si>
  <si>
    <t>castilla|CC 11-606|12H3</t>
  </si>
  <si>
    <t>castilla|CC 11-606|17H4</t>
  </si>
  <si>
    <t>castilla|CC 11-606|6H2</t>
  </si>
  <si>
    <t>castilla|CC 12-1326|21H1</t>
  </si>
  <si>
    <t>castilla|CC 12-2120|10H3</t>
  </si>
  <si>
    <t>castilla|CC 12-2120|11H1</t>
  </si>
  <si>
    <t>castilla|CC 12-2120|11H3</t>
  </si>
  <si>
    <t>castilla|CC 12-2120|12H3</t>
  </si>
  <si>
    <t>castilla|CC 12-2120|17H4</t>
  </si>
  <si>
    <t>castilla|CC 12-2120|18H1</t>
  </si>
  <si>
    <t>castilla|CC 12-2120|18H2</t>
  </si>
  <si>
    <t>castilla|CC 12-2120|24H3</t>
  </si>
  <si>
    <t>castilla|CC 12-2120|25H4</t>
  </si>
  <si>
    <t>castilla|CC 12-2120|31H1</t>
  </si>
  <si>
    <t>castilla|CC 12-2120|32H4</t>
  </si>
  <si>
    <t>castilla|CC 12-2120|6H1</t>
  </si>
  <si>
    <t>castilla|CC 12-2120|6H2</t>
  </si>
  <si>
    <t>castilla|CC 12-2120|6H4</t>
  </si>
  <si>
    <t>castilla|CC 12-2120|SIN ZONA</t>
  </si>
  <si>
    <t>castilla|CC 13-2035|11H4</t>
  </si>
  <si>
    <t>castilla|CC 14-1256|6H3</t>
  </si>
  <si>
    <t>castilla|CC 14-3221|11H2</t>
  </si>
  <si>
    <t>castilla|CC 14-3296|11H3</t>
  </si>
  <si>
    <t>castilla|CC 14-3296|6H2</t>
  </si>
  <si>
    <t>castilla|CC 14-3358|11H4</t>
  </si>
  <si>
    <t>castilla|CC 15-2259|11H0</t>
  </si>
  <si>
    <t>castilla|CC 15-2356|30H1</t>
  </si>
  <si>
    <t>castilla|CC 15-3059|11H2</t>
  </si>
  <si>
    <t>castilla|CC 15-3119|17H4</t>
  </si>
  <si>
    <t>castilla|CC 18-3021|11H3</t>
  </si>
  <si>
    <t>castilla|CC 18-3021|17H4</t>
  </si>
  <si>
    <t>castilla|CC 18-3021|18H1</t>
  </si>
  <si>
    <t>castilla|CC 84-75|10H3</t>
  </si>
  <si>
    <t>castilla|CC 84-75|10H4</t>
  </si>
  <si>
    <t>castilla|CC 84-75|11H1</t>
  </si>
  <si>
    <t>castilla|CC 84-75|11H2</t>
  </si>
  <si>
    <t>castilla|CC 84-75|12H3</t>
  </si>
  <si>
    <t>castilla|CC 84-75|17H3</t>
  </si>
  <si>
    <t>castilla|CC 84-75|18H2</t>
  </si>
  <si>
    <t>castilla|CC 84-75|18H4</t>
  </si>
  <si>
    <t>castilla|CC 84-75|30H0</t>
  </si>
  <si>
    <t>castilla|CC 84-75|32H0</t>
  </si>
  <si>
    <t>castilla|CC 84-75|6H1</t>
  </si>
  <si>
    <t>castilla|CC 84-75|6H2</t>
  </si>
  <si>
    <t>castilla|CC 84-75|6H3</t>
  </si>
  <si>
    <t>castilla|CC 84-75|SIN ZONA</t>
  </si>
  <si>
    <t>castilla|CC 85-92|10H2</t>
  </si>
  <si>
    <t>castilla|CC 85-92|10H3</t>
  </si>
  <si>
    <t>castilla|CC 85-92|10H4</t>
  </si>
  <si>
    <t>castilla|CC 85-92|10H5</t>
  </si>
  <si>
    <t>castilla|CC 85-92|11H0</t>
  </si>
  <si>
    <t>castilla|CC 85-92|11H1</t>
  </si>
  <si>
    <t>castilla|CC 85-92|11H2</t>
  </si>
  <si>
    <t>castilla|CC 85-92|12H3</t>
  </si>
  <si>
    <t>castilla|CC 85-92|15H1</t>
  </si>
  <si>
    <t>castilla|CC 85-92|18H0</t>
  </si>
  <si>
    <t>castilla|CC 85-92|18H1</t>
  </si>
  <si>
    <t>castilla|CC 85-92|18H2</t>
  </si>
  <si>
    <t>castilla|CC 85-92|1H1</t>
  </si>
  <si>
    <t>castilla|CC 85-92|23H1</t>
  </si>
  <si>
    <t>castilla|CC 85-92|23H3</t>
  </si>
  <si>
    <t>castilla|CC 85-92|24H3</t>
  </si>
  <si>
    <t>castilla|CC 85-92|24H4</t>
  </si>
  <si>
    <t>castilla|CC 85-92|25H4</t>
  </si>
  <si>
    <t>castilla|CC 85-92|30H0</t>
  </si>
  <si>
    <t>castilla|CC 85-92|30H2</t>
  </si>
  <si>
    <t>castilla|CC 85-92|30H3</t>
  </si>
  <si>
    <t>castilla|CC 85-92|32H4</t>
  </si>
  <si>
    <t>castilla|CC 85-92|6H1</t>
  </si>
  <si>
    <t>castilla|CC 85-92|6H3</t>
  </si>
  <si>
    <t>castilla|CC 85-92|7H3</t>
  </si>
  <si>
    <t>castilla|CC 85-92|SIN ZONA</t>
  </si>
  <si>
    <t>castilla|CC 91-1606|11H3</t>
  </si>
  <si>
    <t>castilla|CC 91-1606|11H4</t>
  </si>
  <si>
    <t>castilla|CC 91-1999|11H1</t>
  </si>
  <si>
    <t>castilla|CC 92-2198|10H4</t>
  </si>
  <si>
    <t>castilla|CC 92-2198|11H2</t>
  </si>
  <si>
    <t>castilla|CC 92-2804|11H3</t>
  </si>
  <si>
    <t>castilla|CC 92-2804|SIN ZONA</t>
  </si>
  <si>
    <t>castilla|CC 93-3826|10H4</t>
  </si>
  <si>
    <t>castilla|CC 93-3826|11H0</t>
  </si>
  <si>
    <t>castilla|CC 93-3826|11H1</t>
  </si>
  <si>
    <t>castilla|CC 93-3826|11H2</t>
  </si>
  <si>
    <t>2018-2021</t>
  </si>
  <si>
    <t>castilla|CC 93-3826|11H3</t>
  </si>
  <si>
    <t>castilla|CC 93-3826|15H1</t>
  </si>
  <si>
    <t>castilla|CC 93-3826|18H1</t>
  </si>
  <si>
    <t>castilla|CC 93-3826|21H0</t>
  </si>
  <si>
    <t>castilla|CC 93-3826|30H0</t>
  </si>
  <si>
    <t>castilla|CC 93-3826|30H1</t>
  </si>
  <si>
    <t>castilla|CC 93-3826|30H2</t>
  </si>
  <si>
    <t>castilla|CC 93-3826|6H1</t>
  </si>
  <si>
    <t>castilla|CC 93-3826|SIN ZONA</t>
  </si>
  <si>
    <t>castilla|CC 93-4181|11H0</t>
  </si>
  <si>
    <t>castilla|CC 93-4181|11H1</t>
  </si>
  <si>
    <t>castilla|CC 93-4181|11H2</t>
  </si>
  <si>
    <t>castilla|CC 93-4181|11H3</t>
  </si>
  <si>
    <t>castilla|CC 93-4181|18H2</t>
  </si>
  <si>
    <t>castilla|CC 93-4181|30H0</t>
  </si>
  <si>
    <t>castilla|CC 93-4181|30H1</t>
  </si>
  <si>
    <t>castilla|CC 93-4181|6H1</t>
  </si>
  <si>
    <t>castilla|CC 93-4181|6H2</t>
  </si>
  <si>
    <t>castilla|CC 93-4181|SIN ZONA</t>
  </si>
  <si>
    <t>castilla|CC 93-4418|10H2</t>
  </si>
  <si>
    <t>castilla|CC 93-4418|10H3</t>
  </si>
  <si>
    <t>castilla|CC 93-4418|10H4</t>
  </si>
  <si>
    <t>castilla|CC 93-4418|11H0</t>
  </si>
  <si>
    <t>castilla|CC 93-4418|11H1</t>
  </si>
  <si>
    <t>castilla|CC 93-4418|11H2</t>
  </si>
  <si>
    <t>castilla|CC 93-4418|11H3</t>
  </si>
  <si>
    <t>castilla|CC 93-4418|11H4</t>
  </si>
  <si>
    <t>castilla|CC 93-4418|12H3</t>
  </si>
  <si>
    <t>castilla|CC 93-4418|14H1</t>
  </si>
  <si>
    <t>castilla|CC 93-4418|15H1</t>
  </si>
  <si>
    <t>castilla|CC 93-4418|18H0</t>
  </si>
  <si>
    <t>2017-2019</t>
  </si>
  <si>
    <t>castilla|CC 93-4418|18H1</t>
  </si>
  <si>
    <t>castilla|CC 93-4418|18H2</t>
  </si>
  <si>
    <t>castilla|CC 93-4418|18H4</t>
  </si>
  <si>
    <t>castilla|CC 93-4418|1H1</t>
  </si>
  <si>
    <t>castilla|CC 93-4418|21H0</t>
  </si>
  <si>
    <t>castilla|CC 93-4418|21H1</t>
  </si>
  <si>
    <t>castilla|CC 93-4418|23H1</t>
  </si>
  <si>
    <t>castilla|CC 93-4418|24H3</t>
  </si>
  <si>
    <t>castilla|CC 93-4418|24H4</t>
  </si>
  <si>
    <t>castilla|CC 93-4418|30H1</t>
  </si>
  <si>
    <t>castilla|CC 93-4418|30H2</t>
  </si>
  <si>
    <t>castilla|CC 93-4418|30H3</t>
  </si>
  <si>
    <t>2017-2018</t>
  </si>
  <si>
    <t>castilla|CC 93-4418|6H1</t>
  </si>
  <si>
    <t>castilla|CC 93-4418|6H2</t>
  </si>
  <si>
    <t>castilla|CC 93-4418|6H3</t>
  </si>
  <si>
    <t>castilla|CC 93-4418|7H3</t>
  </si>
  <si>
    <t>castilla|CC 93-4418|SIN ZONA</t>
  </si>
  <si>
    <t>castilla|CC 97-7170|10H4</t>
  </si>
  <si>
    <t>castilla|CC 97-7170|11H0</t>
  </si>
  <si>
    <t>castilla|CC 97-7170|11H1</t>
  </si>
  <si>
    <t>castilla|CC 97-7170|11H2</t>
  </si>
  <si>
    <t>castilla|CC 97-7170|11H3</t>
  </si>
  <si>
    <t>castilla|CC 97-7170|15H2</t>
  </si>
  <si>
    <t>castilla|CC 97-7170|18H1</t>
  </si>
  <si>
    <t>castilla|CC 97-7170|21H1</t>
  </si>
  <si>
    <t>2018-2024</t>
  </si>
  <si>
    <t>castilla|CC 97-7170|30H0</t>
  </si>
  <si>
    <t>castilla|CC 97-7170|30H3</t>
  </si>
  <si>
    <t>castilla|CC 97-7170|6H1</t>
  </si>
  <si>
    <t>castilla|CC 97-7170|SIN ZONA</t>
  </si>
  <si>
    <t>castilla|CC 9872|11H1</t>
  </si>
  <si>
    <t>castilla|EXPERIMENT|11H0</t>
  </si>
  <si>
    <t>castilla|EXPERIMENT|11H1</t>
  </si>
  <si>
    <t>castilla|RB 85-5113|SIN ZONA</t>
  </si>
  <si>
    <t>castilla|RENOVACION|11H2</t>
  </si>
  <si>
    <t>castilla|SIN DATO|10H3</t>
  </si>
  <si>
    <t>castilla|SIN DATO|11H0</t>
  </si>
  <si>
    <t>castilla|SIN DATO|11H2</t>
  </si>
  <si>
    <t>2021-2022</t>
  </si>
  <si>
    <t>castilla|SIN DATO|11H3</t>
  </si>
  <si>
    <t>castilla|SIN DATO|12H3</t>
  </si>
  <si>
    <t>castilla|SP 71-6949|11H2</t>
  </si>
  <si>
    <t>castilla|SP 71-6949|11H3</t>
  </si>
  <si>
    <t>castilla|SP 71-6949|11H4</t>
  </si>
  <si>
    <t>castilla|SP 71-6949|12H3</t>
  </si>
  <si>
    <t>2022-2024</t>
  </si>
  <si>
    <t>castilla|SP 71-6949|15H1</t>
  </si>
  <si>
    <t>castilla|SP 71-6949|17H4</t>
  </si>
  <si>
    <t>castilla|SP 71-6949|18H2</t>
  </si>
  <si>
    <t>castilla|SP 71-6949|24H3</t>
  </si>
  <si>
    <t>castilla|SP 71-6949|24H4</t>
  </si>
  <si>
    <t>castilla|SP 71-6949|29H3</t>
  </si>
  <si>
    <t>castilla|SP 71-6949|30H0</t>
  </si>
  <si>
    <t>castilla|SP 71-6949|30H3</t>
  </si>
  <si>
    <t>castilla|SP 71-6949|6H1</t>
  </si>
  <si>
    <t>castilla|SP 71-6949|6H2</t>
  </si>
  <si>
    <t>castilla|SP 71-6949|SIN ZONA</t>
  </si>
  <si>
    <t>castilla|VARIAS|10H2</t>
  </si>
  <si>
    <t>castilla|VARIAS|10H3</t>
  </si>
  <si>
    <t>castilla|VARIAS|10H5</t>
  </si>
  <si>
    <t>castilla|VARIAS|12H3</t>
  </si>
  <si>
    <t>castilla|VARIAS|17H4</t>
  </si>
  <si>
    <t>castilla|VARIAS|18H1</t>
  </si>
  <si>
    <t>castilla|VARIAS|18H2</t>
  </si>
  <si>
    <t>castilla|VARIAS|21H0</t>
  </si>
  <si>
    <t>castilla|VARIAS|23H1</t>
  </si>
  <si>
    <t>castilla|VARIAS|23H3</t>
  </si>
  <si>
    <t>castilla|VARIAS|24H3</t>
  </si>
  <si>
    <t>castilla|VARIAS|26H1</t>
  </si>
  <si>
    <t>castilla|VARIAS|26H3</t>
  </si>
  <si>
    <t>castilla|VARIAS|30H0</t>
  </si>
  <si>
    <t>2017-2021</t>
  </si>
  <si>
    <t>castilla|VARIAS|30H1</t>
  </si>
  <si>
    <t>castilla|VARIAS|30H2</t>
  </si>
  <si>
    <t>castilla|VARIAS|32H0</t>
  </si>
  <si>
    <t>castilla|VARIAS|SIN ZONA</t>
  </si>
  <si>
    <t>castilla|TODAS|10H2</t>
  </si>
  <si>
    <t>castilla|TODAS|10H3</t>
  </si>
  <si>
    <t>castilla|TODAS|10H4</t>
  </si>
  <si>
    <t>castilla|TODAS|10H5</t>
  </si>
  <si>
    <t>castilla|TODAS|11H0</t>
  </si>
  <si>
    <t>castilla|TODAS|11H1</t>
  </si>
  <si>
    <t>castilla|TODAS|11H2</t>
  </si>
  <si>
    <t>castilla|TODAS|11H3</t>
  </si>
  <si>
    <t>castilla|TODAS|11H4</t>
  </si>
  <si>
    <t>castilla|TODAS|12H3</t>
  </si>
  <si>
    <t>castilla|TODAS|14H1</t>
  </si>
  <si>
    <t>castilla|TODAS|14H2</t>
  </si>
  <si>
    <t>castilla|TODAS|15H0</t>
  </si>
  <si>
    <t>castilla|TODAS|15H1</t>
  </si>
  <si>
    <t>castilla|TODAS|15H2</t>
  </si>
  <si>
    <t>castilla|TODAS|17H3</t>
  </si>
  <si>
    <t>castilla|TODAS|17H4</t>
  </si>
  <si>
    <t>castilla|TODAS|18H0</t>
  </si>
  <si>
    <t>castilla|TODAS|18H1</t>
  </si>
  <si>
    <t>castilla|TODAS|18H3</t>
  </si>
  <si>
    <t>castilla|TODAS|18H4</t>
  </si>
  <si>
    <t>castilla|TODAS|1H1</t>
  </si>
  <si>
    <t>castilla|TODAS|21H0</t>
  </si>
  <si>
    <t>castilla|TODAS|21H1</t>
  </si>
  <si>
    <t>castilla|TODAS|23H1</t>
  </si>
  <si>
    <t>castilla|TODAS|23H3</t>
  </si>
  <si>
    <t>castilla|TODAS|24H3</t>
  </si>
  <si>
    <t>castilla|TODAS|24H4</t>
  </si>
  <si>
    <t>castilla|TODAS|25H4</t>
  </si>
  <si>
    <t>castilla|TODAS|26H1</t>
  </si>
  <si>
    <t>castilla|TODAS|26H3</t>
  </si>
  <si>
    <t>castilla|TODAS|29H3</t>
  </si>
  <si>
    <t>castilla|TODAS|30H0</t>
  </si>
  <si>
    <t>castilla|TODAS|30H1</t>
  </si>
  <si>
    <t>castilla|TODAS|30H2</t>
  </si>
  <si>
    <t>castilla|TODAS|30H3</t>
  </si>
  <si>
    <t>castilla|TODAS|31H1</t>
  </si>
  <si>
    <t>castilla|TODAS|32H0</t>
  </si>
  <si>
    <t>castilla|TODAS|32H4</t>
  </si>
  <si>
    <t>castilla|TODAS|5H3</t>
  </si>
  <si>
    <t>castilla|TODAS|6H1</t>
  </si>
  <si>
    <t>castilla|TODAS|6H2</t>
  </si>
  <si>
    <t>castilla|TODAS|6H3</t>
  </si>
  <si>
    <t>castilla|TODAS|6H4</t>
  </si>
  <si>
    <t>castilla|TODAS|7H3</t>
  </si>
  <si>
    <t>castilla|TODAS|SIN ZONA</t>
  </si>
  <si>
    <t>riopaila|TODAS|TODAS</t>
  </si>
  <si>
    <t>riopaila|CC 01-1228|TODAS</t>
  </si>
  <si>
    <t>riopaila|CC 01-1940|TODAS</t>
  </si>
  <si>
    <t>riopaila|CC 01-678|TODAS</t>
  </si>
  <si>
    <t>2017-2017</t>
  </si>
  <si>
    <t>riopaila|CC 05-230|TODAS</t>
  </si>
  <si>
    <t>2023-2023</t>
  </si>
  <si>
    <t>riopaila|CC 05-940|TODAS</t>
  </si>
  <si>
    <t>CC 05-940</t>
  </si>
  <si>
    <t>riopaila|CC 05-948|TODAS</t>
  </si>
  <si>
    <t>CC 05-948</t>
  </si>
  <si>
    <t>riopaila|CC 06-643|TODAS</t>
  </si>
  <si>
    <t>CC 06-643</t>
  </si>
  <si>
    <t>riopaila|CC 11-0213|TODAS</t>
  </si>
  <si>
    <t>CC 11-0213</t>
  </si>
  <si>
    <t>riopaila|CC 12-2120|TODAS</t>
  </si>
  <si>
    <t>riopaila|CC 13-2035|TODAS</t>
  </si>
  <si>
    <t>riopaila|CC 13-2250|TODAS</t>
  </si>
  <si>
    <t>CC 13-2250</t>
  </si>
  <si>
    <t>riopaila|CC 14-3296|TODAS</t>
  </si>
  <si>
    <t>riopaila|CC 15-2350|TODAS</t>
  </si>
  <si>
    <t>CC 15-2350</t>
  </si>
  <si>
    <t>riopaila|CC 84-75|TODAS</t>
  </si>
  <si>
    <t>riopaila|CC 85-92|TODAS</t>
  </si>
  <si>
    <t>riopaila|CC 91-1606|TODAS</t>
  </si>
  <si>
    <t>riopaila|CC 92-2198|TODAS</t>
  </si>
  <si>
    <t>riopaila|CC 92-2282|TODAS</t>
  </si>
  <si>
    <t>CC 92-2282</t>
  </si>
  <si>
    <t>riopaila|CC 93-3826|TODAS</t>
  </si>
  <si>
    <t>riopaila|CC 93-3895|TODAS</t>
  </si>
  <si>
    <t>CC 93-3895</t>
  </si>
  <si>
    <t>riopaila|CC 93-4418|TODAS</t>
  </si>
  <si>
    <t>riopaila|CC 97-7170|TODAS</t>
  </si>
  <si>
    <t>riopaila|CC 9872|TODAS</t>
  </si>
  <si>
    <t>riopaila|SIN DATO|TODAS</t>
  </si>
  <si>
    <t>riopaila|SP 71-6949|TODAS</t>
  </si>
  <si>
    <t>riopaila|CC 01-1228|SIN ZONA</t>
  </si>
  <si>
    <t>riopaila|CC 01-1940|10H2</t>
  </si>
  <si>
    <t>riopaila|CC 01-1940|14H2</t>
  </si>
  <si>
    <t>riopaila|CC 01-1940|22H0</t>
  </si>
  <si>
    <t>riopaila|CC 01-1940|23H1</t>
  </si>
  <si>
    <t>riopaila|CC 01-1940|7H1</t>
  </si>
  <si>
    <t>riopaila|CC 01-678|SIN ZONA</t>
  </si>
  <si>
    <t>riopaila|CC 04-195|11H1</t>
  </si>
  <si>
    <t>riopaila|CC 05-230|5H3</t>
  </si>
  <si>
    <t>riopaila|CC 05-430|10H2</t>
  </si>
  <si>
    <t>riopaila|CC 05-430|14H2</t>
  </si>
  <si>
    <t>riopaila|CC 05-430|5H2</t>
  </si>
  <si>
    <t>riopaila|CC 05-430|6H2</t>
  </si>
  <si>
    <t>riopaila|CC 05-430|7H1</t>
  </si>
  <si>
    <t>riopaila|CC 05-940|SIN ZONA</t>
  </si>
  <si>
    <t>riopaila|CC 05-948|10H3</t>
  </si>
  <si>
    <t>riopaila|CC 05-948|14H1</t>
  </si>
  <si>
    <t>riopaila|CC 05-948|15H1</t>
  </si>
  <si>
    <t>riopaila|CC 05-948|5H3</t>
  </si>
  <si>
    <t>riopaila|CC 05-948|6H1</t>
  </si>
  <si>
    <t>riopaila|CC 05-948|SIN ZONA</t>
  </si>
  <si>
    <t>riopaila|CC 06-643|1H2</t>
  </si>
  <si>
    <t>riopaila|CC 06-643|6H1</t>
  </si>
  <si>
    <t>riopaila|CC 09-066|11H1</t>
  </si>
  <si>
    <t>riopaila|CC 09-066|14H1</t>
  </si>
  <si>
    <t>riopaila|CC 09-066|1H1</t>
  </si>
  <si>
    <t>riopaila|CC 09-066|1H2</t>
  </si>
  <si>
    <t>riopaila|CC 09-066|5H3</t>
  </si>
  <si>
    <t>2020-2021</t>
  </si>
  <si>
    <t>riopaila|CC 09-066|6H1</t>
  </si>
  <si>
    <t>riopaila|CC 10-450|11H1</t>
  </si>
  <si>
    <t>riopaila|CC 10-450|23H0</t>
  </si>
  <si>
    <t>riopaila|CC 10-450|5H3</t>
  </si>
  <si>
    <t>riopaila|CC 10-450|5H4</t>
  </si>
  <si>
    <t>riopaila|CC 10-450|SIN ZONA</t>
  </si>
  <si>
    <t>riopaila|CC 11-0129|10H3</t>
  </si>
  <si>
    <t>riopaila|CC 11-0129|14H1</t>
  </si>
  <si>
    <t>riopaila|CC 11-0129|15H1</t>
  </si>
  <si>
    <t>riopaila|CC 11-0129|7H1</t>
  </si>
  <si>
    <t>riopaila|CC 11-0129|SIN ZONA</t>
  </si>
  <si>
    <t>riopaila|CC 11-0132|10H3</t>
  </si>
  <si>
    <t>riopaila|CC 11-0132|6H2</t>
  </si>
  <si>
    <t>riopaila|CC 11-0132|SIN ZONA</t>
  </si>
  <si>
    <t>riopaila|CC 11-0213|1H2</t>
  </si>
  <si>
    <t>riopaila|CC 11-595|1H2</t>
  </si>
  <si>
    <t>riopaila|CC 11-595|7H0</t>
  </si>
  <si>
    <t>riopaila|CC 11-595|7H2</t>
  </si>
  <si>
    <t>riopaila|CC 11-600|10H2</t>
  </si>
  <si>
    <t>riopaila|CC 11-600|11H1</t>
  </si>
  <si>
    <t>riopaila|CC 11-600|14H1</t>
  </si>
  <si>
    <t>riopaila|CC 12-2120|10H3</t>
  </si>
  <si>
    <t>riopaila|CC 12-2120|14H1</t>
  </si>
  <si>
    <t>riopaila|CC 12-2120|15H1</t>
  </si>
  <si>
    <t>riopaila|CC 12-2120|1H1</t>
  </si>
  <si>
    <t>riopaila|CC 12-2120|1H2</t>
  </si>
  <si>
    <t>riopaila|CC 12-2120|23H0</t>
  </si>
  <si>
    <t>riopaila|CC 12-2120|5H4</t>
  </si>
  <si>
    <t>riopaila|CC 12-2120|6H2</t>
  </si>
  <si>
    <t>riopaila|CC 12-2120|7H1</t>
  </si>
  <si>
    <t>riopaila|CC 13-2035|1H2</t>
  </si>
  <si>
    <t>riopaila|CC 13-2035|7H0</t>
  </si>
  <si>
    <t>riopaila|CC 13-2250|5H3</t>
  </si>
  <si>
    <t>riopaila|CC 14-3296|5H4</t>
  </si>
  <si>
    <t>riopaila|CC 14-3296|6H1</t>
  </si>
  <si>
    <t>riopaila|CC 15-2350|14H2</t>
  </si>
  <si>
    <t>riopaila|CC 84-75|10H3</t>
  </si>
  <si>
    <t>riopaila|CC 84-75|1H1</t>
  </si>
  <si>
    <t>riopaila|CC 84-75|1H2</t>
  </si>
  <si>
    <t>riopaila|CC 84-75|5H3</t>
  </si>
  <si>
    <t>riopaila|CC 84-75|5H4</t>
  </si>
  <si>
    <t>riopaila|CC 84-75|6H1</t>
  </si>
  <si>
    <t>riopaila|CC 84-75|6H2</t>
  </si>
  <si>
    <t>riopaila|CC 84-75|SIN ZONA</t>
  </si>
  <si>
    <t>riopaila|CC 85-92|10H2</t>
  </si>
  <si>
    <t>riopaila|CC 85-92|11H1</t>
  </si>
  <si>
    <t>riopaila|CC 85-92|14H2</t>
  </si>
  <si>
    <t>riopaila|CC 85-92|1H1</t>
  </si>
  <si>
    <t>riopaila|CC 85-92|1H2</t>
  </si>
  <si>
    <t>riopaila|CC 85-92|23H0</t>
  </si>
  <si>
    <t>riopaila|CC 85-92|23H1</t>
  </si>
  <si>
    <t>riopaila|CC 85-92|4H1</t>
  </si>
  <si>
    <t>riopaila|CC 85-92|5H2</t>
  </si>
  <si>
    <t>riopaila|CC 85-92|5H4</t>
  </si>
  <si>
    <t>riopaila|CC 85-92|6H2</t>
  </si>
  <si>
    <t>riopaila|CC 85-92|7H0</t>
  </si>
  <si>
    <t>riopaila|CC 85-92|7H1</t>
  </si>
  <si>
    <t>riopaila|CC 85-92|7H2</t>
  </si>
  <si>
    <t>riopaila|CC 85-92|SIN ZONA</t>
  </si>
  <si>
    <t>riopaila|CC 91-1606|SIN ZONA</t>
  </si>
  <si>
    <t>riopaila|CC 92-2198|10H3</t>
  </si>
  <si>
    <t>riopaila|CC 92-2198|14H1</t>
  </si>
  <si>
    <t>riopaila|CC 92-2198|1H2</t>
  </si>
  <si>
    <t>riopaila|CC 92-2198|5H4</t>
  </si>
  <si>
    <t>riopaila|CC 92-2198|6H1</t>
  </si>
  <si>
    <t>riopaila|CC 92-2198|7H0</t>
  </si>
  <si>
    <t>riopaila|CC 92-2198|SIN ZONA</t>
  </si>
  <si>
    <t>riopaila|CC 92-2282|1H2</t>
  </si>
  <si>
    <t>riopaila|CC 92-2282|6H1</t>
  </si>
  <si>
    <t>riopaila|CC 93-3826|10H3</t>
  </si>
  <si>
    <t>riopaila|CC 93-3826|14H1</t>
  </si>
  <si>
    <t>riopaila|CC 93-3826|14H2</t>
  </si>
  <si>
    <t>riopaila|CC 93-3826|1H1</t>
  </si>
  <si>
    <t>riopaila|CC 93-3826|1H2</t>
  </si>
  <si>
    <t>riopaila|CC 93-3826|23H1</t>
  </si>
  <si>
    <t>riopaila|CC 93-3826|4H1</t>
  </si>
  <si>
    <t>riopaila|CC 93-3826|5H3</t>
  </si>
  <si>
    <t>riopaila|CC 93-3826|7H0</t>
  </si>
  <si>
    <t>riopaila|CC 93-3826|7H1</t>
  </si>
  <si>
    <t>riopaila|CC 93-3826|SIN ZONA</t>
  </si>
  <si>
    <t>riopaila|CC 93-3895|1H2</t>
  </si>
  <si>
    <t>riopaila|CC 93-3895|5H3</t>
  </si>
  <si>
    <t>riopaila|CC 93-3895|7H0</t>
  </si>
  <si>
    <t>riopaila|CC 93-4418|10H2</t>
  </si>
  <si>
    <t>riopaila|CC 93-4418|10H3</t>
  </si>
  <si>
    <t>riopaila|CC 93-4418|11H1</t>
  </si>
  <si>
    <t>riopaila|CC 93-4418|14H1</t>
  </si>
  <si>
    <t>riopaila|CC 93-4418|1H1</t>
  </si>
  <si>
    <t>riopaila|CC 93-4418|1H2</t>
  </si>
  <si>
    <t>riopaila|CC 93-4418|5H3</t>
  </si>
  <si>
    <t>riopaila|CC 93-4418|6H1</t>
  </si>
  <si>
    <t>riopaila|CC 93-4418|6H2</t>
  </si>
  <si>
    <t>riopaila|CC 93-4418|SIN ZONA</t>
  </si>
  <si>
    <t>riopaila|CC 97-7170|15H1</t>
  </si>
  <si>
    <t>riopaila|CC 97-7170|1H1</t>
  </si>
  <si>
    <t>riopaila|CC 97-7170|7H0</t>
  </si>
  <si>
    <t>riopaila|CC 97-7170|7H1</t>
  </si>
  <si>
    <t>riopaila|CC 97-7170|7H2</t>
  </si>
  <si>
    <t>riopaila|CC 97-7170|SIN ZONA</t>
  </si>
  <si>
    <t>riopaila|CC 9872|10H3</t>
  </si>
  <si>
    <t>2019-2020</t>
  </si>
  <si>
    <t>riopaila|CC 9872|15H1</t>
  </si>
  <si>
    <t>riopaila|CC 9872|5H3</t>
  </si>
  <si>
    <t>riopaila|CC 9872|7H0</t>
  </si>
  <si>
    <t>riopaila|CC 9872|SIN ZONA</t>
  </si>
  <si>
    <t>riopaila|CC 99-2282|14H1</t>
  </si>
  <si>
    <t>riopaila|CC 99-2282|1H1</t>
  </si>
  <si>
    <t>riopaila|CC 99-2282|22H0</t>
  </si>
  <si>
    <t>riopaila|CC 99-2282|7H1</t>
  </si>
  <si>
    <t>riopaila|CC 99-2282|7H2</t>
  </si>
  <si>
    <t>riopaila|SIN DATO|1H2</t>
  </si>
  <si>
    <t>riopaila|SP 71-6949|6H2</t>
  </si>
  <si>
    <t>riopaila|SP 71-6949|7H1</t>
  </si>
  <si>
    <t>riopaila|VARIAS|14H2</t>
  </si>
  <si>
    <t>riopaila|VARIAS|1H2</t>
  </si>
  <si>
    <t>riopaila|VARIAS|22H0</t>
  </si>
  <si>
    <t>riopaila|VARIAS|23H1</t>
  </si>
  <si>
    <t>riopaila|VARIAS|6H2</t>
  </si>
  <si>
    <t>riopaila|VARIAS|7H1</t>
  </si>
  <si>
    <t>2020-2023</t>
  </si>
  <si>
    <t>riopaila|TODAS|10H2</t>
  </si>
  <si>
    <t>riopaila|TODAS|11H1</t>
  </si>
  <si>
    <t>riopaila|TODAS|15H1</t>
  </si>
  <si>
    <t>riopaila|TODAS|22H0</t>
  </si>
  <si>
    <t>riopaila|TODAS|23H1</t>
  </si>
  <si>
    <t>riopaila|TODAS|4H1</t>
  </si>
  <si>
    <t>riopaila|TODAS|5H2</t>
  </si>
  <si>
    <t>riopaila|TODAS|6H2</t>
  </si>
  <si>
    <t>riopaila|TODAS|7H1</t>
  </si>
  <si>
    <t>riopaila|TODAS|7H2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</si>
</sst>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%;\-0.0%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color rgb="FF0000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E3328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5" fillId="3" borderId="0" xfId="0" applyFont="1" applyFill="1" applyAlignment="1">
      <alignment horizontal="center" vertical="center" wrapText="1"/>
    </xf>
    <xf numFmtId="0" fontId="6" fillId="0" borderId="0" xfId="0" applyFont="1"/>
    <xf numFmtId="0" fontId="6" fillId="5" borderId="0" xfId="0" applyFont="1" applyFill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0" fontId="6" fillId="6" borderId="0" xfId="0" applyFont="1" applyFill="1"/>
    <xf numFmtId="0" fontId="6" fillId="4" borderId="0" xfId="0" applyFont="1" applyFill="1"/>
    <xf numFmtId="0" fontId="4" fillId="0" borderId="0" xfId="0" applyFont="1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0" fillId="0" borderId="0" xfId="0" applyNumberFormat="1"/>
    <xf numFmtId="1" fontId="0" fillId="4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0" fontId="2" fillId="0" borderId="0" xfId="0" applyFont="1"/>
    <xf numFmtId="9" fontId="3" fillId="2" borderId="0" xfId="0" applyNumberFormat="1" applyFont="1" applyFill="1"/>
    <xf numFmtId="1" fontId="3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baseColWidth="10" defaultColWidth="8.7265625" defaultRowHeight="14.5" x14ac:dyDescent="0.35"/>
  <cols>
    <col min="1" max="1" width="12" customWidth="1"/>
    <col min="2" max="2" width="14" customWidth="1"/>
    <col min="3" max="3" width="10" customWidth="1"/>
    <col min="4" max="4" width="12" customWidth="1"/>
    <col min="5" max="6" width="10" customWidth="1"/>
  </cols>
  <sheetData>
    <row r="1" spans="1:6" ht="18" x14ac:dyDescent="0.4">
      <c r="A1" s="1" t="s">
        <v>0</v>
      </c>
    </row>
    <row r="3" spans="1:6" ht="38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5">
      <c r="A4" s="3" t="s">
        <v>7</v>
      </c>
      <c r="B4" s="4" t="s">
        <v>8</v>
      </c>
      <c r="C4">
        <f>COUNTIFS('Calificación 2026'!$A$5:$A$811,A4,'Calificación 2026'!$M$5:$M$811,1)</f>
        <v>47</v>
      </c>
      <c r="D4" s="5">
        <f>SUMIFS('Calificación 2026'!$G$5:$G$811,'Calificación 2026'!$A$5:$A$811,A4,'Calificación 2026'!$M$5:$M$811,1)</f>
        <v>398.41000000000008</v>
      </c>
      <c r="E4" s="6">
        <f>IF(SUMIFS('Calificación 2026'!$G$5:$G$811,'Calificación 2026'!$A$5:$A$811,A4)=0,"",D4/SUMIFS('Calificación 2026'!$G$5:$G$811,'Calificación 2026'!$A$5:$A$811,A4))</f>
        <v>0.12389680501047992</v>
      </c>
      <c r="F4" s="7">
        <f>IF(D4=0,"",SUMPRODUCT(('Calificación 2026'!$A$5:$A$811=A4)*('Calificación 2026'!$M$5:$M$811=1)*'Calificación 2026'!$G$5:$G$811*'Calificación 2026'!$H$5:$H$811)/D4)</f>
        <v>138.5056476996059</v>
      </c>
    </row>
    <row r="5" spans="1:6" x14ac:dyDescent="0.35">
      <c r="A5" s="3" t="s">
        <v>7</v>
      </c>
      <c r="B5" s="8" t="s">
        <v>9</v>
      </c>
      <c r="C5">
        <f>COUNTIFS('Calificación 2026'!$A$5:$A$811,A5,'Calificación 2026'!$M$5:$M$811,3)</f>
        <v>67</v>
      </c>
      <c r="D5" s="5">
        <f>SUMIFS('Calificación 2026'!$G$5:$G$811,'Calificación 2026'!$A$5:$A$811,A5,'Calificación 2026'!$M$5:$M$811,3)</f>
        <v>597.87</v>
      </c>
      <c r="E5" s="6">
        <f>IF(SUMIFS('Calificación 2026'!$G$5:$G$811,'Calificación 2026'!$A$5:$A$811,A5)=0,"",D5/SUMIFS('Calificación 2026'!$G$5:$G$811,'Calificación 2026'!$A$5:$A$811,A5))</f>
        <v>0.185924506944142</v>
      </c>
      <c r="F5" s="7">
        <f>IF(D5=0,"",SUMPRODUCT(('Calificación 2026'!$A$5:$A$811=A5)*('Calificación 2026'!$M$5:$M$811=3)*'Calificación 2026'!$G$5:$G$811*'Calificación 2026'!$H$5:$H$811)/D5)</f>
        <v>122.11736614983192</v>
      </c>
    </row>
    <row r="6" spans="1:6" x14ac:dyDescent="0.35">
      <c r="A6" s="3" t="s">
        <v>7</v>
      </c>
      <c r="B6" s="9" t="s">
        <v>10</v>
      </c>
      <c r="C6">
        <f>COUNTIFS('Calificación 2026'!$A$5:$A$811,A6,'Calificación 2026'!$M$5:$M$811,5)</f>
        <v>248</v>
      </c>
      <c r="D6" s="5">
        <f>SUMIFS('Calificación 2026'!$G$5:$G$811,'Calificación 2026'!$A$5:$A$811,A6,'Calificación 2026'!$M$5:$M$811,5)</f>
        <v>2219.3799999999992</v>
      </c>
      <c r="E6" s="6">
        <f>IF(SUMIFS('Calificación 2026'!$G$5:$G$811,'Calificación 2026'!$A$5:$A$811,A6)=0,"",D6/SUMIFS('Calificación 2026'!$G$5:$G$811,'Calificación 2026'!$A$5:$A$811,A6))</f>
        <v>0.6901786880453773</v>
      </c>
      <c r="F6" s="7">
        <f>IF(D6=0,"",SUMPRODUCT(('Calificación 2026'!$A$5:$A$811=A6)*('Calificación 2026'!$M$5:$M$811=5)*'Calificación 2026'!$G$5:$G$811*'Calificación 2026'!$H$5:$H$811)/D6)</f>
        <v>102.40526007263288</v>
      </c>
    </row>
    <row r="7" spans="1:6" x14ac:dyDescent="0.35">
      <c r="A7" s="3" t="s">
        <v>11</v>
      </c>
      <c r="B7" s="4" t="s">
        <v>8</v>
      </c>
      <c r="C7">
        <f>COUNTIFS('Calificación 2026'!$A$5:$A$811,A7,'Calificación 2026'!$M$5:$M$811,1)</f>
        <v>57</v>
      </c>
      <c r="D7" s="5">
        <f>SUMIFS('Calificación 2026'!$G$5:$G$811,'Calificación 2026'!$A$5:$A$811,A7,'Calificación 2026'!$M$5:$M$811,1)</f>
        <v>402.32</v>
      </c>
      <c r="E7" s="6">
        <f>IF(SUMIFS('Calificación 2026'!$G$5:$G$811,'Calificación 2026'!$A$5:$A$811,A7)=0,"",D7/SUMIFS('Calificación 2026'!$G$5:$G$811,'Calificación 2026'!$A$5:$A$811,A7))</f>
        <v>0.11330851165698774</v>
      </c>
      <c r="F7" s="7">
        <f>IF(D7=0,"",SUMPRODUCT(('Calificación 2026'!$A$5:$A$811=A7)*('Calificación 2026'!$M$5:$M$811=1)*'Calificación 2026'!$G$5:$G$811*'Calificación 2026'!$H$5:$H$811)/D7)</f>
        <v>129.95066116524157</v>
      </c>
    </row>
    <row r="8" spans="1:6" x14ac:dyDescent="0.35">
      <c r="A8" s="3" t="s">
        <v>11</v>
      </c>
      <c r="B8" s="8" t="s">
        <v>9</v>
      </c>
      <c r="C8">
        <f>COUNTIFS('Calificación 2026'!$A$5:$A$811,A8,'Calificación 2026'!$M$5:$M$811,3)</f>
        <v>66</v>
      </c>
      <c r="D8" s="5">
        <f>SUMIFS('Calificación 2026'!$G$5:$G$811,'Calificación 2026'!$A$5:$A$811,A8,'Calificación 2026'!$M$5:$M$811,3)</f>
        <v>517.5</v>
      </c>
      <c r="E8" s="6">
        <f>IF(SUMIFS('Calificación 2026'!$G$5:$G$811,'Calificación 2026'!$A$5:$A$811,A8)=0,"",D8/SUMIFS('Calificación 2026'!$G$5:$G$811,'Calificación 2026'!$A$5:$A$811,A8))</f>
        <v>0.14574755115950278</v>
      </c>
      <c r="F8" s="7">
        <f>IF(D8=0,"",SUMPRODUCT(('Calificación 2026'!$A$5:$A$811=A8)*('Calificación 2026'!$M$5:$M$811=3)*'Calificación 2026'!$G$5:$G$811*'Calificación 2026'!$H$5:$H$811)/D8)</f>
        <v>116.32456038647339</v>
      </c>
    </row>
    <row r="9" spans="1:6" x14ac:dyDescent="0.35">
      <c r="A9" s="3" t="s">
        <v>11</v>
      </c>
      <c r="B9" s="9" t="s">
        <v>10</v>
      </c>
      <c r="C9">
        <f>COUNTIFS('Calificación 2026'!$A$5:$A$811,A9,'Calificación 2026'!$M$5:$M$811,5)</f>
        <v>322</v>
      </c>
      <c r="D9" s="5">
        <f>SUMIFS('Calificación 2026'!$G$5:$G$811,'Calificación 2026'!$A$5:$A$811,A9,'Calificación 2026'!$M$5:$M$811,5)</f>
        <v>2630.8400000000006</v>
      </c>
      <c r="E9" s="6">
        <f>IF(SUMIFS('Calificación 2026'!$G$5:$G$811,'Calificación 2026'!$A$5:$A$811,A9)=0,"",D9/SUMIFS('Calificación 2026'!$G$5:$G$811,'Calificación 2026'!$A$5:$A$811,A9))</f>
        <v>0.74094393718350993</v>
      </c>
      <c r="F9" s="7">
        <f>IF(D9=0,"",SUMPRODUCT(('Calificación 2026'!$A$5:$A$811=A9)*('Calificación 2026'!$M$5:$M$811=5)*'Calificación 2026'!$G$5:$G$811*'Calificación 2026'!$H$5:$H$811)/D9)</f>
        <v>96.743503975916454</v>
      </c>
    </row>
    <row r="11" spans="1:6" x14ac:dyDescent="0.35">
      <c r="A11" s="10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2" width="10" customWidth="1"/>
    <col min="3" max="4" width="6" customWidth="1"/>
    <col min="5" max="5" width="14" customWidth="1"/>
    <col min="6" max="6" width="12" customWidth="1"/>
    <col min="7" max="8" width="9" customWidth="1"/>
    <col min="9" max="9" width="28" customWidth="1"/>
    <col min="10" max="10" width="22" customWidth="1"/>
    <col min="11" max="11" width="10" customWidth="1"/>
    <col min="12" max="12" width="11" customWidth="1"/>
    <col min="13" max="13" width="10" customWidth="1"/>
    <col min="14" max="14" width="18" customWidth="1"/>
  </cols>
  <sheetData>
    <row r="1" spans="1:14" ht="18" x14ac:dyDescent="0.4">
      <c r="A1" s="1" t="s">
        <v>13</v>
      </c>
    </row>
    <row r="2" spans="1:14" x14ac:dyDescent="0.35">
      <c r="A2" s="10" t="s">
        <v>14</v>
      </c>
    </row>
    <row r="4" spans="1:14" ht="38" customHeight="1" x14ac:dyDescent="0.35">
      <c r="A4" s="2" t="s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4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</v>
      </c>
      <c r="N4" s="2" t="s">
        <v>25</v>
      </c>
    </row>
    <row r="5" spans="1:14" x14ac:dyDescent="0.35">
      <c r="A5" s="11" t="s">
        <v>11</v>
      </c>
      <c r="B5" s="11" t="s">
        <v>26</v>
      </c>
      <c r="C5" s="11">
        <v>1</v>
      </c>
      <c r="D5" s="11">
        <v>3</v>
      </c>
      <c r="E5" s="11" t="s">
        <v>27</v>
      </c>
      <c r="F5" s="11" t="s">
        <v>28</v>
      </c>
      <c r="G5" s="12">
        <v>14.06</v>
      </c>
      <c r="H5" s="13">
        <v>104.25106685633</v>
      </c>
      <c r="I5" s="11" t="s">
        <v>29</v>
      </c>
      <c r="J5" s="11" t="s">
        <v>30</v>
      </c>
      <c r="K5" s="7">
        <f>INDEX(Benchmark!$H$5:$H$807,MATCH(I5,Benchmark!$A$5:$A$807,0))</f>
        <v>129.66292797447881</v>
      </c>
      <c r="L5" s="14">
        <f t="shared" ref="L5:L68" si="0">H5/K5-1</f>
        <v>-0.19598401420605394</v>
      </c>
      <c r="M5" s="15">
        <f>IF(L5&gt;Benchmark!$B$2,1,IF(L5&lt;-Benchmark!$B$2,5,3))</f>
        <v>5</v>
      </c>
      <c r="N5" s="3" t="s">
        <v>31</v>
      </c>
    </row>
    <row r="6" spans="1:14" x14ac:dyDescent="0.35">
      <c r="A6" s="11" t="s">
        <v>11</v>
      </c>
      <c r="B6" s="11" t="s">
        <v>32</v>
      </c>
      <c r="C6" s="11">
        <v>1</v>
      </c>
      <c r="D6" s="11">
        <v>1</v>
      </c>
      <c r="E6" s="11" t="s">
        <v>27</v>
      </c>
      <c r="F6" s="11" t="s">
        <v>28</v>
      </c>
      <c r="G6" s="12">
        <v>7.56</v>
      </c>
      <c r="H6" s="13">
        <v>118.35317460317459</v>
      </c>
      <c r="I6" s="11" t="s">
        <v>29</v>
      </c>
      <c r="J6" s="11" t="s">
        <v>30</v>
      </c>
      <c r="K6" s="7">
        <f>INDEX(Benchmark!$H$5:$H$807,MATCH(I6,Benchmark!$A$5:$A$807,0))</f>
        <v>129.66292797447881</v>
      </c>
      <c r="L6" s="14">
        <f t="shared" si="0"/>
        <v>-8.7224263310869188E-2</v>
      </c>
      <c r="M6" s="15">
        <f>IF(L6&gt;Benchmark!$B$2,1,IF(L6&lt;-Benchmark!$B$2,5,3))</f>
        <v>5</v>
      </c>
      <c r="N6" s="3" t="s">
        <v>31</v>
      </c>
    </row>
    <row r="7" spans="1:14" x14ac:dyDescent="0.35">
      <c r="A7" s="11" t="s">
        <v>11</v>
      </c>
      <c r="B7" s="11" t="s">
        <v>33</v>
      </c>
      <c r="C7" s="11">
        <v>1</v>
      </c>
      <c r="D7" s="11">
        <v>1</v>
      </c>
      <c r="E7" s="11" t="s">
        <v>34</v>
      </c>
      <c r="F7" s="11" t="s">
        <v>35</v>
      </c>
      <c r="G7" s="12">
        <v>2.89</v>
      </c>
      <c r="H7" s="13">
        <v>145.4325259515571</v>
      </c>
      <c r="I7" s="11" t="s">
        <v>36</v>
      </c>
      <c r="J7" s="11" t="s">
        <v>37</v>
      </c>
      <c r="K7" s="7">
        <f>INDEX(Benchmark!$H$5:$H$807,MATCH(I7,Benchmark!$A$5:$A$807,0))</f>
        <v>135.18231292517009</v>
      </c>
      <c r="L7" s="14">
        <f t="shared" si="0"/>
        <v>7.5825104664846155E-2</v>
      </c>
      <c r="M7" s="16">
        <f>IF(L7&gt;Benchmark!$B$2,1,IF(L7&lt;-Benchmark!$B$2,5,3))</f>
        <v>1</v>
      </c>
      <c r="N7" s="3" t="s">
        <v>31</v>
      </c>
    </row>
    <row r="8" spans="1:14" x14ac:dyDescent="0.35">
      <c r="A8" s="11" t="s">
        <v>11</v>
      </c>
      <c r="B8" s="11" t="s">
        <v>38</v>
      </c>
      <c r="C8" s="11">
        <v>1</v>
      </c>
      <c r="D8" s="11">
        <v>4</v>
      </c>
      <c r="E8" s="11" t="s">
        <v>27</v>
      </c>
      <c r="F8" s="11" t="s">
        <v>39</v>
      </c>
      <c r="G8" s="12">
        <v>6.91</v>
      </c>
      <c r="H8" s="13">
        <v>150.8523878437048</v>
      </c>
      <c r="I8" s="11" t="s">
        <v>40</v>
      </c>
      <c r="J8" s="11" t="s">
        <v>30</v>
      </c>
      <c r="K8" s="7">
        <f>INDEX(Benchmark!$H$5:$H$807,MATCH(I8,Benchmark!$A$5:$A$807,0))</f>
        <v>132.44401544401541</v>
      </c>
      <c r="L8" s="14">
        <f t="shared" si="0"/>
        <v>0.13898983912542806</v>
      </c>
      <c r="M8" s="16">
        <f>IF(L8&gt;Benchmark!$B$2,1,IF(L8&lt;-Benchmark!$B$2,5,3))</f>
        <v>1</v>
      </c>
      <c r="N8" s="3" t="s">
        <v>31</v>
      </c>
    </row>
    <row r="9" spans="1:14" x14ac:dyDescent="0.35">
      <c r="A9" s="11" t="s">
        <v>11</v>
      </c>
      <c r="B9" s="11" t="s">
        <v>41</v>
      </c>
      <c r="C9" s="11">
        <v>1</v>
      </c>
      <c r="D9" s="11">
        <v>6</v>
      </c>
      <c r="E9" s="11" t="s">
        <v>27</v>
      </c>
      <c r="F9" s="11" t="s">
        <v>39</v>
      </c>
      <c r="G9" s="12">
        <v>15.72</v>
      </c>
      <c r="H9" s="13">
        <v>135.7003816793893</v>
      </c>
      <c r="I9" s="11" t="s">
        <v>40</v>
      </c>
      <c r="J9" s="11" t="s">
        <v>30</v>
      </c>
      <c r="K9" s="7">
        <f>INDEX(Benchmark!$H$5:$H$807,MATCH(I9,Benchmark!$A$5:$A$807,0))</f>
        <v>132.44401544401541</v>
      </c>
      <c r="L9" s="14">
        <f t="shared" si="0"/>
        <v>2.4586737456252727E-2</v>
      </c>
      <c r="M9" s="17">
        <f>IF(L9&gt;Benchmark!$B$2,1,IF(L9&lt;-Benchmark!$B$2,5,3))</f>
        <v>3</v>
      </c>
      <c r="N9" s="3" t="s">
        <v>31</v>
      </c>
    </row>
    <row r="10" spans="1:14" x14ac:dyDescent="0.35">
      <c r="A10" s="11" t="s">
        <v>11</v>
      </c>
      <c r="B10" s="11" t="s">
        <v>42</v>
      </c>
      <c r="C10" s="11">
        <v>1</v>
      </c>
      <c r="D10" s="11">
        <v>4</v>
      </c>
      <c r="E10" s="11" t="s">
        <v>27</v>
      </c>
      <c r="F10" s="11" t="s">
        <v>43</v>
      </c>
      <c r="G10" s="12">
        <v>7.86</v>
      </c>
      <c r="H10" s="13">
        <v>142.45292620865141</v>
      </c>
      <c r="I10" s="11" t="s">
        <v>44</v>
      </c>
      <c r="J10" s="11" t="s">
        <v>30</v>
      </c>
      <c r="K10" s="7">
        <f>INDEX(Benchmark!$H$5:$H$807,MATCH(I10,Benchmark!$A$5:$A$807,0))</f>
        <v>118.6146621100209</v>
      </c>
      <c r="L10" s="14">
        <f t="shared" si="0"/>
        <v>0.20097232226248174</v>
      </c>
      <c r="M10" s="16">
        <f>IF(L10&gt;Benchmark!$B$2,1,IF(L10&lt;-Benchmark!$B$2,5,3))</f>
        <v>1</v>
      </c>
      <c r="N10" s="3" t="s">
        <v>31</v>
      </c>
    </row>
    <row r="11" spans="1:14" x14ac:dyDescent="0.35">
      <c r="A11" s="11" t="s">
        <v>11</v>
      </c>
      <c r="B11" s="11" t="s">
        <v>45</v>
      </c>
      <c r="C11" s="11">
        <v>1</v>
      </c>
      <c r="D11" s="11">
        <v>1</v>
      </c>
      <c r="E11" s="11" t="s">
        <v>34</v>
      </c>
      <c r="F11" s="11" t="s">
        <v>28</v>
      </c>
      <c r="G11" s="12">
        <v>0.7</v>
      </c>
      <c r="H11" s="13">
        <v>137.69999999999999</v>
      </c>
      <c r="I11" s="11" t="s">
        <v>46</v>
      </c>
      <c r="J11" s="11" t="s">
        <v>30</v>
      </c>
      <c r="K11" s="7">
        <f>INDEX(Benchmark!$H$5:$H$807,MATCH(I11,Benchmark!$A$5:$A$807,0))</f>
        <v>132.55534709193239</v>
      </c>
      <c r="L11" s="14">
        <f t="shared" si="0"/>
        <v>3.8811357074110209E-2</v>
      </c>
      <c r="M11" s="17">
        <f>IF(L11&gt;Benchmark!$B$2,1,IF(L11&lt;-Benchmark!$B$2,5,3))</f>
        <v>3</v>
      </c>
      <c r="N11" s="3" t="s">
        <v>31</v>
      </c>
    </row>
    <row r="12" spans="1:14" x14ac:dyDescent="0.35">
      <c r="A12" s="11" t="s">
        <v>11</v>
      </c>
      <c r="B12" s="11" t="s">
        <v>47</v>
      </c>
      <c r="C12" s="11">
        <v>2</v>
      </c>
      <c r="D12" s="11">
        <v>2</v>
      </c>
      <c r="E12" s="11" t="s">
        <v>48</v>
      </c>
      <c r="F12" s="11" t="s">
        <v>39</v>
      </c>
      <c r="G12" s="12">
        <v>17.82</v>
      </c>
      <c r="H12" s="13">
        <v>97.295735129068461</v>
      </c>
      <c r="I12" s="11" t="s">
        <v>49</v>
      </c>
      <c r="J12" s="11" t="s">
        <v>30</v>
      </c>
      <c r="K12" s="7">
        <f>INDEX(Benchmark!$H$5:$H$807,MATCH(I12,Benchmark!$A$5:$A$807,0))</f>
        <v>132.03967168262659</v>
      </c>
      <c r="L12" s="14">
        <f t="shared" si="0"/>
        <v>-0.26313255789570122</v>
      </c>
      <c r="M12" s="15">
        <f>IF(L12&gt;Benchmark!$B$2,1,IF(L12&lt;-Benchmark!$B$2,5,3))</f>
        <v>5</v>
      </c>
      <c r="N12" s="3" t="s">
        <v>31</v>
      </c>
    </row>
    <row r="13" spans="1:14" x14ac:dyDescent="0.35">
      <c r="A13" s="11" t="s">
        <v>11</v>
      </c>
      <c r="B13" s="11" t="s">
        <v>50</v>
      </c>
      <c r="C13" s="11">
        <v>2</v>
      </c>
      <c r="D13" s="11">
        <v>5</v>
      </c>
      <c r="E13" s="11" t="s">
        <v>34</v>
      </c>
      <c r="F13" s="11" t="s">
        <v>39</v>
      </c>
      <c r="G13" s="12">
        <v>9.9700000000000006</v>
      </c>
      <c r="H13" s="13">
        <v>108.7703109327984</v>
      </c>
      <c r="I13" s="11" t="s">
        <v>51</v>
      </c>
      <c r="J13" s="11" t="s">
        <v>30</v>
      </c>
      <c r="K13" s="7">
        <f>INDEX(Benchmark!$H$5:$H$807,MATCH(I13,Benchmark!$A$5:$A$807,0))</f>
        <v>134.7097020626432</v>
      </c>
      <c r="L13" s="14">
        <f t="shared" si="0"/>
        <v>-0.19255770544115947</v>
      </c>
      <c r="M13" s="15">
        <f>IF(L13&gt;Benchmark!$B$2,1,IF(L13&lt;-Benchmark!$B$2,5,3))</f>
        <v>5</v>
      </c>
      <c r="N13" s="3" t="s">
        <v>31</v>
      </c>
    </row>
    <row r="14" spans="1:14" x14ac:dyDescent="0.35">
      <c r="A14" s="11" t="s">
        <v>11</v>
      </c>
      <c r="B14" s="11" t="s">
        <v>52</v>
      </c>
      <c r="C14" s="11">
        <v>2</v>
      </c>
      <c r="D14" s="11">
        <v>5</v>
      </c>
      <c r="E14" s="11" t="s">
        <v>53</v>
      </c>
      <c r="F14" s="11" t="s">
        <v>54</v>
      </c>
      <c r="G14" s="12">
        <v>17.62</v>
      </c>
      <c r="H14" s="13">
        <v>92.202610669693513</v>
      </c>
      <c r="I14" s="11" t="s">
        <v>55</v>
      </c>
      <c r="J14" s="11" t="s">
        <v>30</v>
      </c>
      <c r="K14" s="7">
        <f>INDEX(Benchmark!$H$5:$H$807,MATCH(I14,Benchmark!$A$5:$A$807,0))</f>
        <v>108.2167919977298</v>
      </c>
      <c r="L14" s="14">
        <f t="shared" si="0"/>
        <v>-0.14798240672641849</v>
      </c>
      <c r="M14" s="15">
        <f>IF(L14&gt;Benchmark!$B$2,1,IF(L14&lt;-Benchmark!$B$2,5,3))</f>
        <v>5</v>
      </c>
      <c r="N14" s="3" t="s">
        <v>31</v>
      </c>
    </row>
    <row r="15" spans="1:14" x14ac:dyDescent="0.35">
      <c r="A15" s="11" t="s">
        <v>11</v>
      </c>
      <c r="B15" s="11" t="s">
        <v>56</v>
      </c>
      <c r="C15" s="11">
        <v>2</v>
      </c>
      <c r="D15" s="11">
        <v>3</v>
      </c>
      <c r="E15" s="11" t="s">
        <v>48</v>
      </c>
      <c r="F15" s="11" t="s">
        <v>39</v>
      </c>
      <c r="G15" s="12">
        <v>5.23</v>
      </c>
      <c r="H15" s="13">
        <v>85.550669216061181</v>
      </c>
      <c r="I15" s="11" t="s">
        <v>49</v>
      </c>
      <c r="J15" s="11" t="s">
        <v>30</v>
      </c>
      <c r="K15" s="7">
        <f>INDEX(Benchmark!$H$5:$H$807,MATCH(I15,Benchmark!$A$5:$A$807,0))</f>
        <v>132.03967168262659</v>
      </c>
      <c r="L15" s="14">
        <f t="shared" si="0"/>
        <v>-0.3520835963475234</v>
      </c>
      <c r="M15" s="15">
        <f>IF(L15&gt;Benchmark!$B$2,1,IF(L15&lt;-Benchmark!$B$2,5,3))</f>
        <v>5</v>
      </c>
      <c r="N15" s="3" t="s">
        <v>31</v>
      </c>
    </row>
    <row r="16" spans="1:14" x14ac:dyDescent="0.35">
      <c r="A16" s="11" t="s">
        <v>11</v>
      </c>
      <c r="B16" s="11" t="s">
        <v>57</v>
      </c>
      <c r="C16" s="11">
        <v>2</v>
      </c>
      <c r="D16" s="11">
        <v>4</v>
      </c>
      <c r="E16" s="11" t="s">
        <v>27</v>
      </c>
      <c r="F16" s="11" t="s">
        <v>28</v>
      </c>
      <c r="G16" s="12">
        <v>8.32</v>
      </c>
      <c r="H16" s="13">
        <v>100.3653846153846</v>
      </c>
      <c r="I16" s="11" t="s">
        <v>29</v>
      </c>
      <c r="J16" s="11" t="s">
        <v>30</v>
      </c>
      <c r="K16" s="7">
        <f>INDEX(Benchmark!$H$5:$H$807,MATCH(I16,Benchmark!$A$5:$A$807,0))</f>
        <v>129.66292797447881</v>
      </c>
      <c r="L16" s="14">
        <f t="shared" si="0"/>
        <v>-0.22595157935089016</v>
      </c>
      <c r="M16" s="15">
        <f>IF(L16&gt;Benchmark!$B$2,1,IF(L16&lt;-Benchmark!$B$2,5,3))</f>
        <v>5</v>
      </c>
      <c r="N16" s="3" t="s">
        <v>31</v>
      </c>
    </row>
    <row r="17" spans="1:14" x14ac:dyDescent="0.35">
      <c r="A17" s="11" t="s">
        <v>11</v>
      </c>
      <c r="B17" s="11" t="s">
        <v>58</v>
      </c>
      <c r="C17" s="11">
        <v>2</v>
      </c>
      <c r="D17" s="11">
        <v>5</v>
      </c>
      <c r="E17" s="11" t="s">
        <v>34</v>
      </c>
      <c r="F17" s="11" t="s">
        <v>59</v>
      </c>
      <c r="G17" s="12">
        <v>6.33</v>
      </c>
      <c r="H17" s="13">
        <v>135.07424960505529</v>
      </c>
      <c r="I17" s="11" t="s">
        <v>60</v>
      </c>
      <c r="J17" s="11" t="s">
        <v>30</v>
      </c>
      <c r="K17" s="7">
        <f>INDEX(Benchmark!$H$5:$H$807,MATCH(I17,Benchmark!$A$5:$A$807,0))</f>
        <v>161.8744075829384</v>
      </c>
      <c r="L17" s="14">
        <f t="shared" si="0"/>
        <v>-0.16556142739334334</v>
      </c>
      <c r="M17" s="15">
        <f>IF(L17&gt;Benchmark!$B$2,1,IF(L17&lt;-Benchmark!$B$2,5,3))</f>
        <v>5</v>
      </c>
      <c r="N17" s="3" t="s">
        <v>31</v>
      </c>
    </row>
    <row r="18" spans="1:14" x14ac:dyDescent="0.35">
      <c r="A18" s="11" t="s">
        <v>11</v>
      </c>
      <c r="B18" s="11" t="s">
        <v>61</v>
      </c>
      <c r="C18" s="11">
        <v>2</v>
      </c>
      <c r="D18" s="11">
        <v>2</v>
      </c>
      <c r="E18" s="11" t="s">
        <v>48</v>
      </c>
      <c r="F18" s="11" t="s">
        <v>62</v>
      </c>
      <c r="G18" s="12">
        <v>16.22</v>
      </c>
      <c r="H18" s="13">
        <v>102.12700369913691</v>
      </c>
      <c r="I18" s="11" t="s">
        <v>63</v>
      </c>
      <c r="J18" s="11" t="s">
        <v>30</v>
      </c>
      <c r="K18" s="7">
        <f>INDEX(Benchmark!$H$5:$H$807,MATCH(I18,Benchmark!$A$5:$A$807,0))</f>
        <v>137.65788021464641</v>
      </c>
      <c r="L18" s="14">
        <f t="shared" si="0"/>
        <v>-0.25811000765162961</v>
      </c>
      <c r="M18" s="15">
        <f>IF(L18&gt;Benchmark!$B$2,1,IF(L18&lt;-Benchmark!$B$2,5,3))</f>
        <v>5</v>
      </c>
      <c r="N18" s="3" t="s">
        <v>31</v>
      </c>
    </row>
    <row r="19" spans="1:14" x14ac:dyDescent="0.35">
      <c r="A19" s="11" t="s">
        <v>11</v>
      </c>
      <c r="B19" s="11" t="s">
        <v>64</v>
      </c>
      <c r="C19" s="11">
        <v>2</v>
      </c>
      <c r="D19" s="11">
        <v>2</v>
      </c>
      <c r="E19" s="11" t="s">
        <v>27</v>
      </c>
      <c r="F19" s="11" t="s">
        <v>62</v>
      </c>
      <c r="G19" s="12">
        <v>5.55</v>
      </c>
      <c r="H19" s="13">
        <v>152.18378378378381</v>
      </c>
      <c r="I19" s="11" t="s">
        <v>65</v>
      </c>
      <c r="J19" s="11" t="s">
        <v>30</v>
      </c>
      <c r="K19" s="7">
        <f>INDEX(Benchmark!$H$5:$H$807,MATCH(I19,Benchmark!$A$5:$A$807,0))</f>
        <v>136.9924703665755</v>
      </c>
      <c r="L19" s="14">
        <f t="shared" si="0"/>
        <v>0.11089159408950122</v>
      </c>
      <c r="M19" s="16">
        <f>IF(L19&gt;Benchmark!$B$2,1,IF(L19&lt;-Benchmark!$B$2,5,3))</f>
        <v>1</v>
      </c>
      <c r="N19" s="3" t="s">
        <v>31</v>
      </c>
    </row>
    <row r="20" spans="1:14" x14ac:dyDescent="0.35">
      <c r="A20" s="11" t="s">
        <v>11</v>
      </c>
      <c r="B20" s="11" t="s">
        <v>66</v>
      </c>
      <c r="C20" s="11">
        <v>2</v>
      </c>
      <c r="D20" s="11">
        <v>5</v>
      </c>
      <c r="E20" s="11" t="s">
        <v>34</v>
      </c>
      <c r="F20" s="11" t="s">
        <v>28</v>
      </c>
      <c r="G20" s="12">
        <v>10.66</v>
      </c>
      <c r="H20" s="13">
        <v>96.292682926829272</v>
      </c>
      <c r="I20" s="11" t="s">
        <v>46</v>
      </c>
      <c r="J20" s="11" t="s">
        <v>30</v>
      </c>
      <c r="K20" s="7">
        <f>INDEX(Benchmark!$H$5:$H$807,MATCH(I20,Benchmark!$A$5:$A$807,0))</f>
        <v>132.55534709193239</v>
      </c>
      <c r="L20" s="14">
        <f t="shared" si="0"/>
        <v>-0.27356621185529029</v>
      </c>
      <c r="M20" s="15">
        <f>IF(L20&gt;Benchmark!$B$2,1,IF(L20&lt;-Benchmark!$B$2,5,3))</f>
        <v>5</v>
      </c>
      <c r="N20" s="3" t="s">
        <v>31</v>
      </c>
    </row>
    <row r="21" spans="1:14" x14ac:dyDescent="0.35">
      <c r="A21" s="11" t="s">
        <v>11</v>
      </c>
      <c r="B21" s="11" t="s">
        <v>67</v>
      </c>
      <c r="C21" s="11">
        <v>2</v>
      </c>
      <c r="D21" s="11">
        <v>5</v>
      </c>
      <c r="E21" s="11" t="s">
        <v>27</v>
      </c>
      <c r="F21" s="11" t="s">
        <v>35</v>
      </c>
      <c r="G21" s="12">
        <v>19.2</v>
      </c>
      <c r="H21" s="13">
        <v>142.4354166666667</v>
      </c>
      <c r="I21" s="11" t="s">
        <v>68</v>
      </c>
      <c r="J21" s="11" t="s">
        <v>30</v>
      </c>
      <c r="K21" s="7">
        <f>INDEX(Benchmark!$H$5:$H$807,MATCH(I21,Benchmark!$A$5:$A$807,0))</f>
        <v>149.56687408187591</v>
      </c>
      <c r="L21" s="14">
        <f t="shared" si="0"/>
        <v>-4.7680727828177449E-2</v>
      </c>
      <c r="M21" s="17">
        <f>IF(L21&gt;Benchmark!$B$2,1,IF(L21&lt;-Benchmark!$B$2,5,3))</f>
        <v>3</v>
      </c>
      <c r="N21" s="3" t="s">
        <v>31</v>
      </c>
    </row>
    <row r="22" spans="1:14" x14ac:dyDescent="0.35">
      <c r="A22" s="11" t="s">
        <v>11</v>
      </c>
      <c r="B22" s="11" t="s">
        <v>69</v>
      </c>
      <c r="C22" s="11">
        <v>2</v>
      </c>
      <c r="D22" s="11">
        <v>4</v>
      </c>
      <c r="E22" s="11" t="s">
        <v>27</v>
      </c>
      <c r="F22" s="11" t="s">
        <v>39</v>
      </c>
      <c r="G22" s="12">
        <v>2.34</v>
      </c>
      <c r="H22" s="13">
        <v>122.86752136752141</v>
      </c>
      <c r="I22" s="11" t="s">
        <v>40</v>
      </c>
      <c r="J22" s="11" t="s">
        <v>30</v>
      </c>
      <c r="K22" s="7">
        <f>INDEX(Benchmark!$H$5:$H$807,MATCH(I22,Benchmark!$A$5:$A$807,0))</f>
        <v>132.44401544401541</v>
      </c>
      <c r="L22" s="14">
        <f t="shared" si="0"/>
        <v>-7.2305978072237043E-2</v>
      </c>
      <c r="M22" s="15">
        <f>IF(L22&gt;Benchmark!$B$2,1,IF(L22&lt;-Benchmark!$B$2,5,3))</f>
        <v>5</v>
      </c>
      <c r="N22" s="3" t="s">
        <v>31</v>
      </c>
    </row>
    <row r="23" spans="1:14" x14ac:dyDescent="0.35">
      <c r="A23" s="11" t="s">
        <v>11</v>
      </c>
      <c r="B23" s="11" t="s">
        <v>70</v>
      </c>
      <c r="C23" s="11">
        <v>2</v>
      </c>
      <c r="D23" s="11">
        <v>2</v>
      </c>
      <c r="E23" s="11" t="s">
        <v>48</v>
      </c>
      <c r="F23" s="11" t="s">
        <v>39</v>
      </c>
      <c r="G23" s="12">
        <v>1.69</v>
      </c>
      <c r="H23" s="13">
        <v>109.1715976331361</v>
      </c>
      <c r="I23" s="11" t="s">
        <v>49</v>
      </c>
      <c r="J23" s="11" t="s">
        <v>30</v>
      </c>
      <c r="K23" s="7">
        <f>INDEX(Benchmark!$H$5:$H$807,MATCH(I23,Benchmark!$A$5:$A$807,0))</f>
        <v>132.03967168262659</v>
      </c>
      <c r="L23" s="14">
        <f t="shared" si="0"/>
        <v>-0.17319093389187368</v>
      </c>
      <c r="M23" s="15">
        <f>IF(L23&gt;Benchmark!$B$2,1,IF(L23&lt;-Benchmark!$B$2,5,3))</f>
        <v>5</v>
      </c>
      <c r="N23" s="3" t="s">
        <v>31</v>
      </c>
    </row>
    <row r="24" spans="1:14" x14ac:dyDescent="0.35">
      <c r="A24" s="11" t="s">
        <v>11</v>
      </c>
      <c r="B24" s="11" t="s">
        <v>71</v>
      </c>
      <c r="C24" s="11">
        <v>2</v>
      </c>
      <c r="D24" s="11">
        <v>5</v>
      </c>
      <c r="E24" s="11" t="s">
        <v>48</v>
      </c>
      <c r="F24" s="11" t="s">
        <v>39</v>
      </c>
      <c r="G24" s="12">
        <v>14.62</v>
      </c>
      <c r="H24" s="13">
        <v>112.6894664842681</v>
      </c>
      <c r="I24" s="11" t="s">
        <v>49</v>
      </c>
      <c r="J24" s="11" t="s">
        <v>30</v>
      </c>
      <c r="K24" s="7">
        <f>INDEX(Benchmark!$H$5:$H$807,MATCH(I24,Benchmark!$A$5:$A$807,0))</f>
        <v>132.03967168262659</v>
      </c>
      <c r="L24" s="14">
        <f t="shared" si="0"/>
        <v>-0.14654841951492481</v>
      </c>
      <c r="M24" s="15">
        <f>IF(L24&gt;Benchmark!$B$2,1,IF(L24&lt;-Benchmark!$B$2,5,3))</f>
        <v>5</v>
      </c>
      <c r="N24" s="3" t="s">
        <v>31</v>
      </c>
    </row>
    <row r="25" spans="1:14" x14ac:dyDescent="0.35">
      <c r="A25" s="11" t="s">
        <v>11</v>
      </c>
      <c r="B25" s="11" t="s">
        <v>72</v>
      </c>
      <c r="C25" s="11">
        <v>2</v>
      </c>
      <c r="D25" s="11">
        <v>2</v>
      </c>
      <c r="E25" s="11" t="s">
        <v>48</v>
      </c>
      <c r="F25" s="11" t="s">
        <v>73</v>
      </c>
      <c r="G25" s="12">
        <v>8.52</v>
      </c>
      <c r="H25" s="13">
        <v>113.7183098591549</v>
      </c>
      <c r="I25" s="11" t="s">
        <v>74</v>
      </c>
      <c r="J25" s="11" t="s">
        <v>37</v>
      </c>
      <c r="K25" s="7">
        <f>INDEX(Benchmark!$H$5:$H$807,MATCH(I25,Benchmark!$A$5:$A$807,0))</f>
        <v>131.10214067278289</v>
      </c>
      <c r="L25" s="14">
        <f t="shared" si="0"/>
        <v>-0.13259761224659328</v>
      </c>
      <c r="M25" s="15">
        <f>IF(L25&gt;Benchmark!$B$2,1,IF(L25&lt;-Benchmark!$B$2,5,3))</f>
        <v>5</v>
      </c>
      <c r="N25" s="3" t="s">
        <v>31</v>
      </c>
    </row>
    <row r="26" spans="1:14" x14ac:dyDescent="0.35">
      <c r="A26" s="11" t="s">
        <v>11</v>
      </c>
      <c r="B26" s="11" t="s">
        <v>75</v>
      </c>
      <c r="C26" s="11">
        <v>2</v>
      </c>
      <c r="D26" s="11">
        <v>3</v>
      </c>
      <c r="E26" s="11" t="s">
        <v>27</v>
      </c>
      <c r="F26" s="11" t="s">
        <v>39</v>
      </c>
      <c r="G26" s="12">
        <v>15.43</v>
      </c>
      <c r="H26" s="13">
        <v>143.68438107582631</v>
      </c>
      <c r="I26" s="11" t="s">
        <v>40</v>
      </c>
      <c r="J26" s="11" t="s">
        <v>30</v>
      </c>
      <c r="K26" s="7">
        <f>INDEX(Benchmark!$H$5:$H$807,MATCH(I26,Benchmark!$A$5:$A$807,0))</f>
        <v>132.44401544401541</v>
      </c>
      <c r="L26" s="14">
        <f t="shared" si="0"/>
        <v>8.4868807353264186E-2</v>
      </c>
      <c r="M26" s="16">
        <f>IF(L26&gt;Benchmark!$B$2,1,IF(L26&lt;-Benchmark!$B$2,5,3))</f>
        <v>1</v>
      </c>
      <c r="N26" s="3" t="s">
        <v>31</v>
      </c>
    </row>
    <row r="27" spans="1:14" x14ac:dyDescent="0.35">
      <c r="A27" s="11" t="s">
        <v>11</v>
      </c>
      <c r="B27" s="11" t="s">
        <v>76</v>
      </c>
      <c r="C27" s="11">
        <v>2</v>
      </c>
      <c r="D27" s="11">
        <v>1</v>
      </c>
      <c r="E27" s="11" t="s">
        <v>27</v>
      </c>
      <c r="F27" s="11" t="s">
        <v>39</v>
      </c>
      <c r="G27" s="12">
        <v>8.07</v>
      </c>
      <c r="H27" s="13">
        <v>105.7410161090458</v>
      </c>
      <c r="I27" s="11" t="s">
        <v>40</v>
      </c>
      <c r="J27" s="11" t="s">
        <v>30</v>
      </c>
      <c r="K27" s="7">
        <f>INDEX(Benchmark!$H$5:$H$807,MATCH(I27,Benchmark!$A$5:$A$807,0))</f>
        <v>132.44401544401541</v>
      </c>
      <c r="L27" s="14">
        <f t="shared" si="0"/>
        <v>-0.20161725877495063</v>
      </c>
      <c r="M27" s="15">
        <f>IF(L27&gt;Benchmark!$B$2,1,IF(L27&lt;-Benchmark!$B$2,5,3))</f>
        <v>5</v>
      </c>
      <c r="N27" s="3" t="s">
        <v>31</v>
      </c>
    </row>
    <row r="28" spans="1:14" x14ac:dyDescent="0.35">
      <c r="A28" s="11" t="s">
        <v>11</v>
      </c>
      <c r="B28" s="11" t="s">
        <v>77</v>
      </c>
      <c r="C28" s="11">
        <v>2</v>
      </c>
      <c r="D28" s="11">
        <v>2</v>
      </c>
      <c r="E28" s="11" t="s">
        <v>78</v>
      </c>
      <c r="F28" s="11" t="s">
        <v>79</v>
      </c>
      <c r="G28" s="12">
        <v>9.27</v>
      </c>
      <c r="H28" s="13">
        <v>141.7281553398058</v>
      </c>
      <c r="I28" s="11" t="s">
        <v>80</v>
      </c>
      <c r="J28" s="11" t="s">
        <v>37</v>
      </c>
      <c r="K28" s="7">
        <f>INDEX(Benchmark!$H$5:$H$807,MATCH(I28,Benchmark!$A$5:$A$807,0))</f>
        <v>110.9357798165138</v>
      </c>
      <c r="L28" s="14">
        <f t="shared" si="0"/>
        <v>0.27756937909682655</v>
      </c>
      <c r="M28" s="16">
        <f>IF(L28&gt;Benchmark!$B$2,1,IF(L28&lt;-Benchmark!$B$2,5,3))</f>
        <v>1</v>
      </c>
      <c r="N28" s="3" t="s">
        <v>31</v>
      </c>
    </row>
    <row r="29" spans="1:14" x14ac:dyDescent="0.35">
      <c r="A29" s="11" t="s">
        <v>11</v>
      </c>
      <c r="B29" s="11" t="s">
        <v>81</v>
      </c>
      <c r="C29" s="11">
        <v>2</v>
      </c>
      <c r="D29" s="11">
        <v>5</v>
      </c>
      <c r="E29" s="11" t="s">
        <v>53</v>
      </c>
      <c r="F29" s="11" t="s">
        <v>79</v>
      </c>
      <c r="G29" s="12">
        <v>6.01</v>
      </c>
      <c r="H29" s="13">
        <v>99.535773710482545</v>
      </c>
      <c r="I29" s="11" t="s">
        <v>82</v>
      </c>
      <c r="J29" s="11" t="s">
        <v>37</v>
      </c>
      <c r="K29" s="7">
        <f>INDEX(Benchmark!$H$5:$H$807,MATCH(I29,Benchmark!$A$5:$A$807,0))</f>
        <v>117.13587487781039</v>
      </c>
      <c r="L29" s="14">
        <f t="shared" si="0"/>
        <v>-0.15025372189081521</v>
      </c>
      <c r="M29" s="15">
        <f>IF(L29&gt;Benchmark!$B$2,1,IF(L29&lt;-Benchmark!$B$2,5,3))</f>
        <v>5</v>
      </c>
      <c r="N29" s="3" t="s">
        <v>31</v>
      </c>
    </row>
    <row r="30" spans="1:14" x14ac:dyDescent="0.35">
      <c r="A30" s="11" t="s">
        <v>11</v>
      </c>
      <c r="B30" s="11" t="s">
        <v>83</v>
      </c>
      <c r="C30" s="11">
        <v>2</v>
      </c>
      <c r="D30" s="11">
        <v>2</v>
      </c>
      <c r="E30" s="11" t="s">
        <v>48</v>
      </c>
      <c r="F30" s="11" t="s">
        <v>84</v>
      </c>
      <c r="G30" s="12">
        <v>6.55</v>
      </c>
      <c r="H30" s="13">
        <v>91.543511450381686</v>
      </c>
      <c r="I30" s="11" t="s">
        <v>85</v>
      </c>
      <c r="J30" s="11" t="s">
        <v>30</v>
      </c>
      <c r="K30" s="7">
        <f>INDEX(Benchmark!$H$5:$H$807,MATCH(I30,Benchmark!$A$5:$A$807,0))</f>
        <v>131.0681628892149</v>
      </c>
      <c r="L30" s="14">
        <f t="shared" si="0"/>
        <v>-0.30155798759643371</v>
      </c>
      <c r="M30" s="15">
        <f>IF(L30&gt;Benchmark!$B$2,1,IF(L30&lt;-Benchmark!$B$2,5,3))</f>
        <v>5</v>
      </c>
      <c r="N30" s="3" t="s">
        <v>31</v>
      </c>
    </row>
    <row r="31" spans="1:14" x14ac:dyDescent="0.35">
      <c r="A31" s="11" t="s">
        <v>11</v>
      </c>
      <c r="B31" s="11" t="s">
        <v>86</v>
      </c>
      <c r="C31" s="11">
        <v>2</v>
      </c>
      <c r="D31" s="11">
        <v>6</v>
      </c>
      <c r="E31" s="11" t="s">
        <v>27</v>
      </c>
      <c r="F31" s="11" t="s">
        <v>39</v>
      </c>
      <c r="G31" s="12">
        <v>3.63</v>
      </c>
      <c r="H31" s="13">
        <v>99.757575757575765</v>
      </c>
      <c r="I31" s="11" t="s">
        <v>40</v>
      </c>
      <c r="J31" s="11" t="s">
        <v>30</v>
      </c>
      <c r="K31" s="7">
        <f>INDEX(Benchmark!$H$5:$H$807,MATCH(I31,Benchmark!$A$5:$A$807,0))</f>
        <v>132.44401544401541</v>
      </c>
      <c r="L31" s="14">
        <f t="shared" si="0"/>
        <v>-0.24679438762755068</v>
      </c>
      <c r="M31" s="15">
        <f>IF(L31&gt;Benchmark!$B$2,1,IF(L31&lt;-Benchmark!$B$2,5,3))</f>
        <v>5</v>
      </c>
      <c r="N31" s="3" t="s">
        <v>31</v>
      </c>
    </row>
    <row r="32" spans="1:14" x14ac:dyDescent="0.35">
      <c r="A32" s="11" t="s">
        <v>11</v>
      </c>
      <c r="B32" s="11" t="s">
        <v>87</v>
      </c>
      <c r="C32" s="11">
        <v>2</v>
      </c>
      <c r="D32" s="11">
        <v>6</v>
      </c>
      <c r="E32" s="11" t="s">
        <v>88</v>
      </c>
      <c r="F32" s="11" t="s">
        <v>89</v>
      </c>
      <c r="G32" s="12">
        <v>16.38</v>
      </c>
      <c r="H32" s="13">
        <v>105.68070818070819</v>
      </c>
      <c r="I32" s="11" t="s">
        <v>90</v>
      </c>
      <c r="J32" s="11" t="s">
        <v>30</v>
      </c>
      <c r="K32" s="7">
        <f>INDEX(Benchmark!$H$5:$H$807,MATCH(I32,Benchmark!$A$5:$A$807,0))</f>
        <v>128.02948025628439</v>
      </c>
      <c r="L32" s="14">
        <f t="shared" si="0"/>
        <v>-0.17455957823806911</v>
      </c>
      <c r="M32" s="15">
        <f>IF(L32&gt;Benchmark!$B$2,1,IF(L32&lt;-Benchmark!$B$2,5,3))</f>
        <v>5</v>
      </c>
      <c r="N32" s="3" t="s">
        <v>31</v>
      </c>
    </row>
    <row r="33" spans="1:14" x14ac:dyDescent="0.35">
      <c r="A33" s="11" t="s">
        <v>11</v>
      </c>
      <c r="B33" s="11" t="s">
        <v>91</v>
      </c>
      <c r="C33" s="11">
        <v>2</v>
      </c>
      <c r="D33" s="11">
        <v>2</v>
      </c>
      <c r="E33" s="11" t="s">
        <v>48</v>
      </c>
      <c r="F33" s="11" t="s">
        <v>84</v>
      </c>
      <c r="G33" s="12">
        <v>20.97</v>
      </c>
      <c r="H33" s="13">
        <v>104.8726752503576</v>
      </c>
      <c r="I33" s="11" t="s">
        <v>85</v>
      </c>
      <c r="J33" s="11" t="s">
        <v>30</v>
      </c>
      <c r="K33" s="7">
        <f>INDEX(Benchmark!$H$5:$H$807,MATCH(I33,Benchmark!$A$5:$A$807,0))</f>
        <v>131.0681628892149</v>
      </c>
      <c r="L33" s="14">
        <f t="shared" si="0"/>
        <v>-0.1998615610489558</v>
      </c>
      <c r="M33" s="15">
        <f>IF(L33&gt;Benchmark!$B$2,1,IF(L33&lt;-Benchmark!$B$2,5,3))</f>
        <v>5</v>
      </c>
      <c r="N33" s="3" t="s">
        <v>31</v>
      </c>
    </row>
    <row r="34" spans="1:14" x14ac:dyDescent="0.35">
      <c r="A34" s="11" t="s">
        <v>11</v>
      </c>
      <c r="B34" s="11" t="s">
        <v>92</v>
      </c>
      <c r="C34" s="11">
        <v>2</v>
      </c>
      <c r="D34" s="11">
        <v>1</v>
      </c>
      <c r="E34" s="11" t="s">
        <v>78</v>
      </c>
      <c r="F34" s="11" t="s">
        <v>93</v>
      </c>
      <c r="G34" s="12">
        <v>8.52</v>
      </c>
      <c r="H34" s="13">
        <v>121.64201877934271</v>
      </c>
      <c r="I34" s="11" t="s">
        <v>94</v>
      </c>
      <c r="J34" s="11" t="s">
        <v>30</v>
      </c>
      <c r="K34" s="7">
        <f>INDEX(Benchmark!$H$5:$H$807,MATCH(I34,Benchmark!$A$5:$A$807,0))</f>
        <v>110.9357798165138</v>
      </c>
      <c r="L34" s="14">
        <f t="shared" si="0"/>
        <v>9.6508439211739239E-2</v>
      </c>
      <c r="M34" s="16">
        <f>IF(L34&gt;Benchmark!$B$2,1,IF(L34&lt;-Benchmark!$B$2,5,3))</f>
        <v>1</v>
      </c>
      <c r="N34" s="3" t="s">
        <v>31</v>
      </c>
    </row>
    <row r="35" spans="1:14" x14ac:dyDescent="0.35">
      <c r="A35" s="11" t="s">
        <v>11</v>
      </c>
      <c r="B35" s="11" t="s">
        <v>95</v>
      </c>
      <c r="C35" s="11">
        <v>2</v>
      </c>
      <c r="D35" s="11">
        <v>1</v>
      </c>
      <c r="E35" s="11" t="s">
        <v>34</v>
      </c>
      <c r="F35" s="11" t="s">
        <v>84</v>
      </c>
      <c r="G35" s="12">
        <v>5.36</v>
      </c>
      <c r="H35" s="13">
        <v>102.9402985074627</v>
      </c>
      <c r="I35" s="11" t="s">
        <v>96</v>
      </c>
      <c r="J35" s="11" t="s">
        <v>30</v>
      </c>
      <c r="K35" s="7">
        <f>INDEX(Benchmark!$H$5:$H$807,MATCH(I35,Benchmark!$A$5:$A$807,0))</f>
        <v>126.5322222222222</v>
      </c>
      <c r="L35" s="14">
        <f t="shared" si="0"/>
        <v>-0.186449927934769</v>
      </c>
      <c r="M35" s="15">
        <f>IF(L35&gt;Benchmark!$B$2,1,IF(L35&lt;-Benchmark!$B$2,5,3))</f>
        <v>5</v>
      </c>
      <c r="N35" s="3" t="s">
        <v>31</v>
      </c>
    </row>
    <row r="36" spans="1:14" x14ac:dyDescent="0.35">
      <c r="A36" s="11" t="s">
        <v>11</v>
      </c>
      <c r="B36" s="11" t="s">
        <v>97</v>
      </c>
      <c r="C36" s="11">
        <v>2</v>
      </c>
      <c r="D36" s="11">
        <v>2</v>
      </c>
      <c r="E36" s="11" t="s">
        <v>78</v>
      </c>
      <c r="F36" s="11" t="s">
        <v>43</v>
      </c>
      <c r="G36" s="12">
        <v>2.12</v>
      </c>
      <c r="H36" s="13">
        <v>96.646226415094333</v>
      </c>
      <c r="I36" s="11" t="s">
        <v>80</v>
      </c>
      <c r="J36" s="11" t="s">
        <v>37</v>
      </c>
      <c r="K36" s="7">
        <f>INDEX(Benchmark!$H$5:$H$807,MATCH(I36,Benchmark!$A$5:$A$807,0))</f>
        <v>110.9357798165138</v>
      </c>
      <c r="L36" s="14">
        <f t="shared" si="0"/>
        <v>-0.12880923922880594</v>
      </c>
      <c r="M36" s="15">
        <f>IF(L36&gt;Benchmark!$B$2,1,IF(L36&lt;-Benchmark!$B$2,5,3))</f>
        <v>5</v>
      </c>
      <c r="N36" s="3" t="s">
        <v>31</v>
      </c>
    </row>
    <row r="37" spans="1:14" x14ac:dyDescent="0.35">
      <c r="A37" s="11" t="s">
        <v>11</v>
      </c>
      <c r="B37" s="11" t="s">
        <v>98</v>
      </c>
      <c r="C37" s="11">
        <v>2</v>
      </c>
      <c r="D37" s="11">
        <v>1</v>
      </c>
      <c r="E37" s="11" t="s">
        <v>34</v>
      </c>
      <c r="F37" s="11" t="s">
        <v>99</v>
      </c>
      <c r="G37" s="12">
        <v>9.32</v>
      </c>
      <c r="H37" s="13">
        <v>138.92596566523599</v>
      </c>
      <c r="I37" s="11" t="s">
        <v>36</v>
      </c>
      <c r="J37" s="11" t="s">
        <v>37</v>
      </c>
      <c r="K37" s="7">
        <f>INDEX(Benchmark!$H$5:$H$807,MATCH(I37,Benchmark!$A$5:$A$807,0))</f>
        <v>135.18231292517009</v>
      </c>
      <c r="L37" s="14">
        <f t="shared" si="0"/>
        <v>2.7693362090484452E-2</v>
      </c>
      <c r="M37" s="17">
        <f>IF(L37&gt;Benchmark!$B$2,1,IF(L37&lt;-Benchmark!$B$2,5,3))</f>
        <v>3</v>
      </c>
      <c r="N37" s="3" t="s">
        <v>31</v>
      </c>
    </row>
    <row r="38" spans="1:14" x14ac:dyDescent="0.35">
      <c r="A38" s="11" t="s">
        <v>11</v>
      </c>
      <c r="B38" s="11" t="s">
        <v>100</v>
      </c>
      <c r="C38" s="11">
        <v>2</v>
      </c>
      <c r="D38" s="11">
        <v>3</v>
      </c>
      <c r="E38" s="11" t="s">
        <v>78</v>
      </c>
      <c r="F38" s="11" t="s">
        <v>101</v>
      </c>
      <c r="G38" s="12">
        <v>13.33</v>
      </c>
      <c r="H38" s="13">
        <v>68.588147036759182</v>
      </c>
      <c r="I38" s="11" t="s">
        <v>80</v>
      </c>
      <c r="J38" s="11" t="s">
        <v>37</v>
      </c>
      <c r="K38" s="7">
        <f>INDEX(Benchmark!$H$5:$H$807,MATCH(I38,Benchmark!$A$5:$A$807,0))</f>
        <v>110.9357798165138</v>
      </c>
      <c r="L38" s="14">
        <f t="shared" si="0"/>
        <v>-0.38173105962564102</v>
      </c>
      <c r="M38" s="15">
        <f>IF(L38&gt;Benchmark!$B$2,1,IF(L38&lt;-Benchmark!$B$2,5,3))</f>
        <v>5</v>
      </c>
      <c r="N38" s="3" t="s">
        <v>31</v>
      </c>
    </row>
    <row r="39" spans="1:14" x14ac:dyDescent="0.35">
      <c r="A39" s="11" t="s">
        <v>11</v>
      </c>
      <c r="B39" s="11" t="s">
        <v>102</v>
      </c>
      <c r="C39" s="11">
        <v>2</v>
      </c>
      <c r="D39" s="11">
        <v>3</v>
      </c>
      <c r="E39" s="11" t="s">
        <v>78</v>
      </c>
      <c r="F39" s="11" t="s">
        <v>101</v>
      </c>
      <c r="G39" s="12">
        <v>4.08</v>
      </c>
      <c r="H39" s="13">
        <v>102.1813725490196</v>
      </c>
      <c r="I39" s="11" t="s">
        <v>80</v>
      </c>
      <c r="J39" s="11" t="s">
        <v>37</v>
      </c>
      <c r="K39" s="7">
        <f>INDEX(Benchmark!$H$5:$H$807,MATCH(I39,Benchmark!$A$5:$A$807,0))</f>
        <v>110.9357798165138</v>
      </c>
      <c r="L39" s="14">
        <f t="shared" si="0"/>
        <v>-7.8914190552172303E-2</v>
      </c>
      <c r="M39" s="15">
        <f>IF(L39&gt;Benchmark!$B$2,1,IF(L39&lt;-Benchmark!$B$2,5,3))</f>
        <v>5</v>
      </c>
      <c r="N39" s="3" t="s">
        <v>31</v>
      </c>
    </row>
    <row r="40" spans="1:14" x14ac:dyDescent="0.35">
      <c r="A40" s="11" t="s">
        <v>11</v>
      </c>
      <c r="B40" s="11" t="s">
        <v>103</v>
      </c>
      <c r="C40" s="11">
        <v>2</v>
      </c>
      <c r="D40" s="11">
        <v>6</v>
      </c>
      <c r="E40" s="11" t="s">
        <v>104</v>
      </c>
      <c r="F40" s="11" t="s">
        <v>99</v>
      </c>
      <c r="G40" s="12">
        <v>17.62</v>
      </c>
      <c r="H40" s="13">
        <v>86.485244040862653</v>
      </c>
      <c r="I40" s="11" t="s">
        <v>105</v>
      </c>
      <c r="J40" s="11" t="s">
        <v>30</v>
      </c>
      <c r="K40" s="7">
        <f>INDEX(Benchmark!$H$5:$H$807,MATCH(I40,Benchmark!$A$5:$A$807,0))</f>
        <v>92.959704880817256</v>
      </c>
      <c r="L40" s="14">
        <f t="shared" si="0"/>
        <v>-6.9648035654324092E-2</v>
      </c>
      <c r="M40" s="15">
        <f>IF(L40&gt;Benchmark!$B$2,1,IF(L40&lt;-Benchmark!$B$2,5,3))</f>
        <v>5</v>
      </c>
      <c r="N40" s="3" t="s">
        <v>31</v>
      </c>
    </row>
    <row r="41" spans="1:14" x14ac:dyDescent="0.35">
      <c r="A41" s="11" t="s">
        <v>11</v>
      </c>
      <c r="B41" s="11" t="s">
        <v>106</v>
      </c>
      <c r="C41" s="11">
        <v>2</v>
      </c>
      <c r="D41" s="11">
        <v>1</v>
      </c>
      <c r="E41" s="11" t="s">
        <v>34</v>
      </c>
      <c r="F41" s="11" t="s">
        <v>107</v>
      </c>
      <c r="G41" s="12">
        <v>9.02</v>
      </c>
      <c r="H41" s="13">
        <v>103.39800443458979</v>
      </c>
      <c r="I41" s="11" t="s">
        <v>36</v>
      </c>
      <c r="J41" s="11" t="s">
        <v>37</v>
      </c>
      <c r="K41" s="7">
        <f>INDEX(Benchmark!$H$5:$H$807,MATCH(I41,Benchmark!$A$5:$A$807,0))</f>
        <v>135.18231292517009</v>
      </c>
      <c r="L41" s="14">
        <f t="shared" si="0"/>
        <v>-0.23512179813178991</v>
      </c>
      <c r="M41" s="15">
        <f>IF(L41&gt;Benchmark!$B$2,1,IF(L41&lt;-Benchmark!$B$2,5,3))</f>
        <v>5</v>
      </c>
      <c r="N41" s="3" t="s">
        <v>31</v>
      </c>
    </row>
    <row r="42" spans="1:14" x14ac:dyDescent="0.35">
      <c r="A42" s="11" t="s">
        <v>11</v>
      </c>
      <c r="B42" s="11" t="s">
        <v>108</v>
      </c>
      <c r="C42" s="11">
        <v>2</v>
      </c>
      <c r="D42" s="11">
        <v>1</v>
      </c>
      <c r="E42" s="11" t="s">
        <v>34</v>
      </c>
      <c r="F42" s="11" t="s">
        <v>43</v>
      </c>
      <c r="G42" s="12">
        <v>2.2999999999999998</v>
      </c>
      <c r="H42" s="13">
        <v>131.8739130434783</v>
      </c>
      <c r="I42" s="11" t="s">
        <v>36</v>
      </c>
      <c r="J42" s="11" t="s">
        <v>37</v>
      </c>
      <c r="K42" s="7">
        <f>INDEX(Benchmark!$H$5:$H$807,MATCH(I42,Benchmark!$A$5:$A$807,0))</f>
        <v>135.18231292517009</v>
      </c>
      <c r="L42" s="14">
        <f t="shared" si="0"/>
        <v>-2.4473615002601368E-2</v>
      </c>
      <c r="M42" s="17">
        <f>IF(L42&gt;Benchmark!$B$2,1,IF(L42&lt;-Benchmark!$B$2,5,3))</f>
        <v>3</v>
      </c>
      <c r="N42" s="3" t="s">
        <v>31</v>
      </c>
    </row>
    <row r="43" spans="1:14" x14ac:dyDescent="0.35">
      <c r="A43" s="11" t="s">
        <v>11</v>
      </c>
      <c r="B43" s="11" t="s">
        <v>109</v>
      </c>
      <c r="C43" s="11">
        <v>2</v>
      </c>
      <c r="D43" s="11">
        <v>1</v>
      </c>
      <c r="E43" s="11" t="s">
        <v>48</v>
      </c>
      <c r="F43" s="11" t="s">
        <v>62</v>
      </c>
      <c r="G43" s="12">
        <v>1.84</v>
      </c>
      <c r="H43" s="13">
        <v>96.228260869565219</v>
      </c>
      <c r="I43" s="11" t="s">
        <v>63</v>
      </c>
      <c r="J43" s="11" t="s">
        <v>30</v>
      </c>
      <c r="K43" s="7">
        <f>INDEX(Benchmark!$H$5:$H$807,MATCH(I43,Benchmark!$A$5:$A$807,0))</f>
        <v>137.65788021464641</v>
      </c>
      <c r="L43" s="14">
        <f t="shared" si="0"/>
        <v>-0.30096075343075923</v>
      </c>
      <c r="M43" s="15">
        <f>IF(L43&gt;Benchmark!$B$2,1,IF(L43&lt;-Benchmark!$B$2,5,3))</f>
        <v>5</v>
      </c>
      <c r="N43" s="3" t="s">
        <v>31</v>
      </c>
    </row>
    <row r="44" spans="1:14" x14ac:dyDescent="0.35">
      <c r="A44" s="11" t="s">
        <v>11</v>
      </c>
      <c r="B44" s="11" t="s">
        <v>110</v>
      </c>
      <c r="C44" s="11">
        <v>2</v>
      </c>
      <c r="D44" s="11">
        <v>1</v>
      </c>
      <c r="E44" s="11" t="s">
        <v>34</v>
      </c>
      <c r="F44" s="11" t="s">
        <v>59</v>
      </c>
      <c r="G44" s="12">
        <v>0.2</v>
      </c>
      <c r="H44" s="13">
        <v>152.6</v>
      </c>
      <c r="I44" s="11" t="s">
        <v>60</v>
      </c>
      <c r="J44" s="11" t="s">
        <v>30</v>
      </c>
      <c r="K44" s="7">
        <f>INDEX(Benchmark!$H$5:$H$807,MATCH(I44,Benchmark!$A$5:$A$807,0))</f>
        <v>161.8744075829384</v>
      </c>
      <c r="L44" s="14">
        <f t="shared" si="0"/>
        <v>-5.7293847257396391E-2</v>
      </c>
      <c r="M44" s="15">
        <f>IF(L44&gt;Benchmark!$B$2,1,IF(L44&lt;-Benchmark!$B$2,5,3))</f>
        <v>5</v>
      </c>
      <c r="N44" s="3" t="s">
        <v>31</v>
      </c>
    </row>
    <row r="45" spans="1:14" x14ac:dyDescent="0.35">
      <c r="A45" s="11" t="s">
        <v>11</v>
      </c>
      <c r="B45" s="11" t="s">
        <v>111</v>
      </c>
      <c r="C45" s="11">
        <v>2</v>
      </c>
      <c r="D45" s="11">
        <v>4</v>
      </c>
      <c r="E45" s="11" t="s">
        <v>34</v>
      </c>
      <c r="F45" s="11" t="s">
        <v>28</v>
      </c>
      <c r="G45" s="12">
        <v>11.21</v>
      </c>
      <c r="H45" s="13">
        <v>142.5700267618198</v>
      </c>
      <c r="I45" s="11" t="s">
        <v>46</v>
      </c>
      <c r="J45" s="11" t="s">
        <v>30</v>
      </c>
      <c r="K45" s="7">
        <f>INDEX(Benchmark!$H$5:$H$807,MATCH(I45,Benchmark!$A$5:$A$807,0))</f>
        <v>132.55534709193239</v>
      </c>
      <c r="L45" s="14">
        <f t="shared" si="0"/>
        <v>7.5550929401149158E-2</v>
      </c>
      <c r="M45" s="16">
        <f>IF(L45&gt;Benchmark!$B$2,1,IF(L45&lt;-Benchmark!$B$2,5,3))</f>
        <v>1</v>
      </c>
      <c r="N45" s="3" t="s">
        <v>31</v>
      </c>
    </row>
    <row r="46" spans="1:14" x14ac:dyDescent="0.35">
      <c r="A46" s="11" t="s">
        <v>11</v>
      </c>
      <c r="B46" s="11" t="s">
        <v>112</v>
      </c>
      <c r="C46" s="11">
        <v>2</v>
      </c>
      <c r="D46" s="11">
        <v>5</v>
      </c>
      <c r="E46" s="11" t="s">
        <v>27</v>
      </c>
      <c r="F46" s="11" t="s">
        <v>39</v>
      </c>
      <c r="G46" s="12">
        <v>9.4</v>
      </c>
      <c r="H46" s="13">
        <v>121.3287234042553</v>
      </c>
      <c r="I46" s="11" t="s">
        <v>40</v>
      </c>
      <c r="J46" s="11" t="s">
        <v>30</v>
      </c>
      <c r="K46" s="7">
        <f>INDEX(Benchmark!$H$5:$H$807,MATCH(I46,Benchmark!$A$5:$A$807,0))</f>
        <v>132.44401544401541</v>
      </c>
      <c r="L46" s="14">
        <f t="shared" si="0"/>
        <v>-8.3924456703433181E-2</v>
      </c>
      <c r="M46" s="15">
        <f>IF(L46&gt;Benchmark!$B$2,1,IF(L46&lt;-Benchmark!$B$2,5,3))</f>
        <v>5</v>
      </c>
      <c r="N46" s="3" t="s">
        <v>31</v>
      </c>
    </row>
    <row r="47" spans="1:14" x14ac:dyDescent="0.35">
      <c r="A47" s="11" t="s">
        <v>11</v>
      </c>
      <c r="B47" s="11" t="s">
        <v>113</v>
      </c>
      <c r="C47" s="11">
        <v>2</v>
      </c>
      <c r="D47" s="11">
        <v>20</v>
      </c>
      <c r="E47" s="11" t="s">
        <v>114</v>
      </c>
      <c r="F47" s="11" t="s">
        <v>43</v>
      </c>
      <c r="G47" s="12">
        <v>2.88</v>
      </c>
      <c r="H47" s="13">
        <v>86.621527777777786</v>
      </c>
      <c r="I47" s="11" t="s">
        <v>115</v>
      </c>
      <c r="J47" s="11" t="s">
        <v>30</v>
      </c>
      <c r="K47" s="7">
        <f>INDEX(Benchmark!$H$5:$H$807,MATCH(I47,Benchmark!$A$5:$A$807,0))</f>
        <v>107.31196581196581</v>
      </c>
      <c r="L47" s="14">
        <f t="shared" si="0"/>
        <v>-0.19280643940902387</v>
      </c>
      <c r="M47" s="15">
        <f>IF(L47&gt;Benchmark!$B$2,1,IF(L47&lt;-Benchmark!$B$2,5,3))</f>
        <v>5</v>
      </c>
      <c r="N47" s="3" t="s">
        <v>31</v>
      </c>
    </row>
    <row r="48" spans="1:14" x14ac:dyDescent="0.35">
      <c r="A48" s="11" t="s">
        <v>11</v>
      </c>
      <c r="B48" s="11" t="s">
        <v>116</v>
      </c>
      <c r="C48" s="11">
        <v>2</v>
      </c>
      <c r="D48" s="11">
        <v>5</v>
      </c>
      <c r="E48" s="11" t="s">
        <v>27</v>
      </c>
      <c r="F48" s="11" t="s">
        <v>43</v>
      </c>
      <c r="G48" s="12">
        <v>3.68</v>
      </c>
      <c r="H48" s="13">
        <v>100.5380434782609</v>
      </c>
      <c r="I48" s="11" t="s">
        <v>44</v>
      </c>
      <c r="J48" s="11" t="s">
        <v>30</v>
      </c>
      <c r="K48" s="7">
        <f>INDEX(Benchmark!$H$5:$H$807,MATCH(I48,Benchmark!$A$5:$A$807,0))</f>
        <v>118.6146621100209</v>
      </c>
      <c r="L48" s="14">
        <f t="shared" si="0"/>
        <v>-0.15239784281468549</v>
      </c>
      <c r="M48" s="15">
        <f>IF(L48&gt;Benchmark!$B$2,1,IF(L48&lt;-Benchmark!$B$2,5,3))</f>
        <v>5</v>
      </c>
      <c r="N48" s="3" t="s">
        <v>31</v>
      </c>
    </row>
    <row r="49" spans="1:14" x14ac:dyDescent="0.35">
      <c r="A49" s="11" t="s">
        <v>11</v>
      </c>
      <c r="B49" s="11" t="s">
        <v>117</v>
      </c>
      <c r="C49" s="11">
        <v>2</v>
      </c>
      <c r="D49" s="11">
        <v>1</v>
      </c>
      <c r="E49" s="11" t="s">
        <v>78</v>
      </c>
      <c r="F49" s="11" t="s">
        <v>43</v>
      </c>
      <c r="G49" s="12">
        <v>2.71</v>
      </c>
      <c r="H49" s="13">
        <v>80.833948339483399</v>
      </c>
      <c r="I49" s="11" t="s">
        <v>80</v>
      </c>
      <c r="J49" s="11" t="s">
        <v>37</v>
      </c>
      <c r="K49" s="7">
        <f>INDEX(Benchmark!$H$5:$H$807,MATCH(I49,Benchmark!$A$5:$A$807,0))</f>
        <v>110.9357798165138</v>
      </c>
      <c r="L49" s="14">
        <f t="shared" si="0"/>
        <v>-0.27134466018824943</v>
      </c>
      <c r="M49" s="15">
        <f>IF(L49&gt;Benchmark!$B$2,1,IF(L49&lt;-Benchmark!$B$2,5,3))</f>
        <v>5</v>
      </c>
      <c r="N49" s="3" t="s">
        <v>31</v>
      </c>
    </row>
    <row r="50" spans="1:14" x14ac:dyDescent="0.35">
      <c r="A50" s="11" t="s">
        <v>11</v>
      </c>
      <c r="B50" s="11" t="s">
        <v>118</v>
      </c>
      <c r="C50" s="11">
        <v>2</v>
      </c>
      <c r="D50" s="11">
        <v>3</v>
      </c>
      <c r="E50" s="11" t="s">
        <v>34</v>
      </c>
      <c r="F50" s="11" t="s">
        <v>28</v>
      </c>
      <c r="G50" s="12">
        <v>1.56</v>
      </c>
      <c r="H50" s="13">
        <v>111.6346153846154</v>
      </c>
      <c r="I50" s="11" t="s">
        <v>46</v>
      </c>
      <c r="J50" s="11" t="s">
        <v>30</v>
      </c>
      <c r="K50" s="7">
        <f>INDEX(Benchmark!$H$5:$H$807,MATCH(I50,Benchmark!$A$5:$A$807,0))</f>
        <v>132.55534709193239</v>
      </c>
      <c r="L50" s="14">
        <f t="shared" si="0"/>
        <v>-0.15782638849572495</v>
      </c>
      <c r="M50" s="15">
        <f>IF(L50&gt;Benchmark!$B$2,1,IF(L50&lt;-Benchmark!$B$2,5,3))</f>
        <v>5</v>
      </c>
      <c r="N50" s="3" t="s">
        <v>31</v>
      </c>
    </row>
    <row r="51" spans="1:14" x14ac:dyDescent="0.35">
      <c r="A51" s="11" t="s">
        <v>11</v>
      </c>
      <c r="B51" s="11" t="s">
        <v>119</v>
      </c>
      <c r="C51" s="11">
        <v>2</v>
      </c>
      <c r="D51" s="11">
        <v>4</v>
      </c>
      <c r="E51" s="11" t="s">
        <v>27</v>
      </c>
      <c r="F51" s="11" t="s">
        <v>39</v>
      </c>
      <c r="G51" s="12">
        <v>7.15</v>
      </c>
      <c r="H51" s="13">
        <v>125.0097902097902</v>
      </c>
      <c r="I51" s="11" t="s">
        <v>40</v>
      </c>
      <c r="J51" s="11" t="s">
        <v>30</v>
      </c>
      <c r="K51" s="7">
        <f>INDEX(Benchmark!$H$5:$H$807,MATCH(I51,Benchmark!$A$5:$A$807,0))</f>
        <v>132.44401544401541</v>
      </c>
      <c r="L51" s="14">
        <f t="shared" si="0"/>
        <v>-5.6131077038869215E-2</v>
      </c>
      <c r="M51" s="15">
        <f>IF(L51&gt;Benchmark!$B$2,1,IF(L51&lt;-Benchmark!$B$2,5,3))</f>
        <v>5</v>
      </c>
      <c r="N51" s="3" t="s">
        <v>31</v>
      </c>
    </row>
    <row r="52" spans="1:14" x14ac:dyDescent="0.35">
      <c r="A52" s="11" t="s">
        <v>11</v>
      </c>
      <c r="B52" s="11" t="s">
        <v>120</v>
      </c>
      <c r="C52" s="11">
        <v>2</v>
      </c>
      <c r="D52" s="11">
        <v>4</v>
      </c>
      <c r="E52" s="11" t="s">
        <v>27</v>
      </c>
      <c r="F52" s="11" t="s">
        <v>28</v>
      </c>
      <c r="G52" s="12">
        <v>12.78</v>
      </c>
      <c r="H52" s="13">
        <v>110.3849765258216</v>
      </c>
      <c r="I52" s="11" t="s">
        <v>29</v>
      </c>
      <c r="J52" s="11" t="s">
        <v>30</v>
      </c>
      <c r="K52" s="7">
        <f>INDEX(Benchmark!$H$5:$H$807,MATCH(I52,Benchmark!$A$5:$A$807,0))</f>
        <v>129.66292797447881</v>
      </c>
      <c r="L52" s="14">
        <f t="shared" si="0"/>
        <v>-0.14867743425053326</v>
      </c>
      <c r="M52" s="15">
        <f>IF(L52&gt;Benchmark!$B$2,1,IF(L52&lt;-Benchmark!$B$2,5,3))</f>
        <v>5</v>
      </c>
      <c r="N52" s="3" t="s">
        <v>31</v>
      </c>
    </row>
    <row r="53" spans="1:14" x14ac:dyDescent="0.35">
      <c r="A53" s="11" t="s">
        <v>11</v>
      </c>
      <c r="B53" s="11" t="s">
        <v>121</v>
      </c>
      <c r="C53" s="11">
        <v>2</v>
      </c>
      <c r="D53" s="11">
        <v>5</v>
      </c>
      <c r="E53" s="11" t="s">
        <v>34</v>
      </c>
      <c r="F53" s="11" t="s">
        <v>122</v>
      </c>
      <c r="G53" s="12">
        <v>4.03</v>
      </c>
      <c r="H53" s="13">
        <v>88.972704714640187</v>
      </c>
      <c r="I53" s="11" t="s">
        <v>123</v>
      </c>
      <c r="J53" s="11" t="s">
        <v>30</v>
      </c>
      <c r="K53" s="7">
        <f>INDEX(Benchmark!$H$5:$H$807,MATCH(I53,Benchmark!$A$5:$A$807,0))</f>
        <v>124.916820702403</v>
      </c>
      <c r="L53" s="14">
        <f t="shared" si="0"/>
        <v>-0.28774440292068182</v>
      </c>
      <c r="M53" s="15">
        <f>IF(L53&gt;Benchmark!$B$2,1,IF(L53&lt;-Benchmark!$B$2,5,3))</f>
        <v>5</v>
      </c>
      <c r="N53" s="3" t="s">
        <v>31</v>
      </c>
    </row>
    <row r="54" spans="1:14" x14ac:dyDescent="0.35">
      <c r="A54" s="11" t="s">
        <v>11</v>
      </c>
      <c r="B54" s="11" t="s">
        <v>124</v>
      </c>
      <c r="C54" s="11">
        <v>2</v>
      </c>
      <c r="D54" s="11">
        <v>3</v>
      </c>
      <c r="E54" s="11" t="s">
        <v>34</v>
      </c>
      <c r="F54" s="11" t="s">
        <v>122</v>
      </c>
      <c r="G54" s="12">
        <v>12.09</v>
      </c>
      <c r="H54" s="13">
        <v>132.1166253101737</v>
      </c>
      <c r="I54" s="11" t="s">
        <v>123</v>
      </c>
      <c r="J54" s="11" t="s">
        <v>30</v>
      </c>
      <c r="K54" s="7">
        <f>INDEX(Benchmark!$H$5:$H$807,MATCH(I54,Benchmark!$A$5:$A$807,0))</f>
        <v>124.916820702403</v>
      </c>
      <c r="L54" s="14">
        <f t="shared" si="0"/>
        <v>5.7636790364071544E-2</v>
      </c>
      <c r="M54" s="16">
        <f>IF(L54&gt;Benchmark!$B$2,1,IF(L54&lt;-Benchmark!$B$2,5,3))</f>
        <v>1</v>
      </c>
      <c r="N54" s="3" t="s">
        <v>31</v>
      </c>
    </row>
    <row r="55" spans="1:14" x14ac:dyDescent="0.35">
      <c r="A55" s="11" t="s">
        <v>11</v>
      </c>
      <c r="B55" s="11" t="s">
        <v>125</v>
      </c>
      <c r="C55" s="11">
        <v>2</v>
      </c>
      <c r="D55" s="11">
        <v>3</v>
      </c>
      <c r="E55" s="11" t="s">
        <v>27</v>
      </c>
      <c r="F55" s="11" t="s">
        <v>122</v>
      </c>
      <c r="G55" s="12">
        <v>2.21</v>
      </c>
      <c r="H55" s="13">
        <v>110.8506787330317</v>
      </c>
      <c r="I55" s="11" t="s">
        <v>126</v>
      </c>
      <c r="J55" s="11" t="s">
        <v>30</v>
      </c>
      <c r="K55" s="7">
        <f>INDEX(Benchmark!$H$5:$H$807,MATCH(I55,Benchmark!$A$5:$A$807,0))</f>
        <v>124.5931034482759</v>
      </c>
      <c r="L55" s="14">
        <f t="shared" si="0"/>
        <v>-0.11029843815512053</v>
      </c>
      <c r="M55" s="15">
        <f>IF(L55&gt;Benchmark!$B$2,1,IF(L55&lt;-Benchmark!$B$2,5,3))</f>
        <v>5</v>
      </c>
      <c r="N55" s="3" t="s">
        <v>31</v>
      </c>
    </row>
    <row r="56" spans="1:14" x14ac:dyDescent="0.35">
      <c r="A56" s="11" t="s">
        <v>11</v>
      </c>
      <c r="B56" s="11" t="s">
        <v>127</v>
      </c>
      <c r="C56" s="11">
        <v>2</v>
      </c>
      <c r="D56" s="11">
        <v>5</v>
      </c>
      <c r="E56" s="11" t="s">
        <v>34</v>
      </c>
      <c r="F56" s="11" t="s">
        <v>122</v>
      </c>
      <c r="G56" s="12">
        <v>5.41</v>
      </c>
      <c r="H56" s="13">
        <v>120.4288354898336</v>
      </c>
      <c r="I56" s="11" t="s">
        <v>123</v>
      </c>
      <c r="J56" s="11" t="s">
        <v>30</v>
      </c>
      <c r="K56" s="7">
        <f>INDEX(Benchmark!$H$5:$H$807,MATCH(I56,Benchmark!$A$5:$A$807,0))</f>
        <v>124.916820702403</v>
      </c>
      <c r="L56" s="14">
        <f t="shared" si="0"/>
        <v>-3.5927789286771872E-2</v>
      </c>
      <c r="M56" s="17">
        <f>IF(L56&gt;Benchmark!$B$2,1,IF(L56&lt;-Benchmark!$B$2,5,3))</f>
        <v>3</v>
      </c>
      <c r="N56" s="3" t="s">
        <v>31</v>
      </c>
    </row>
    <row r="57" spans="1:14" x14ac:dyDescent="0.35">
      <c r="A57" s="11" t="s">
        <v>11</v>
      </c>
      <c r="B57" s="11" t="s">
        <v>128</v>
      </c>
      <c r="C57" s="11">
        <v>2</v>
      </c>
      <c r="D57" s="11">
        <v>1</v>
      </c>
      <c r="E57" s="11" t="s">
        <v>48</v>
      </c>
      <c r="F57" s="11" t="s">
        <v>122</v>
      </c>
      <c r="G57" s="12">
        <v>6.47</v>
      </c>
      <c r="H57" s="13">
        <v>97.027820710973728</v>
      </c>
      <c r="I57" s="11" t="s">
        <v>74</v>
      </c>
      <c r="J57" s="11" t="s">
        <v>37</v>
      </c>
      <c r="K57" s="7">
        <f>INDEX(Benchmark!$H$5:$H$807,MATCH(I57,Benchmark!$A$5:$A$807,0))</f>
        <v>131.10214067278289</v>
      </c>
      <c r="L57" s="14">
        <f t="shared" si="0"/>
        <v>-0.25990666351402358</v>
      </c>
      <c r="M57" s="15">
        <f>IF(L57&gt;Benchmark!$B$2,1,IF(L57&lt;-Benchmark!$B$2,5,3))</f>
        <v>5</v>
      </c>
      <c r="N57" s="3" t="s">
        <v>31</v>
      </c>
    </row>
    <row r="58" spans="1:14" x14ac:dyDescent="0.35">
      <c r="A58" s="11" t="s">
        <v>11</v>
      </c>
      <c r="B58" s="11" t="s">
        <v>129</v>
      </c>
      <c r="C58" s="11">
        <v>2</v>
      </c>
      <c r="D58" s="11">
        <v>1</v>
      </c>
      <c r="E58" s="11" t="s">
        <v>78</v>
      </c>
      <c r="F58" s="11" t="s">
        <v>62</v>
      </c>
      <c r="G58" s="12">
        <v>3.89</v>
      </c>
      <c r="H58" s="13">
        <v>141.9254498714653</v>
      </c>
      <c r="I58" s="11" t="s">
        <v>80</v>
      </c>
      <c r="J58" s="11" t="s">
        <v>37</v>
      </c>
      <c r="K58" s="7">
        <f>INDEX(Benchmark!$H$5:$H$807,MATCH(I58,Benchmark!$A$5:$A$807,0))</f>
        <v>110.9357798165138</v>
      </c>
      <c r="L58" s="14">
        <f t="shared" si="0"/>
        <v>0.27934783625452475</v>
      </c>
      <c r="M58" s="16">
        <f>IF(L58&gt;Benchmark!$B$2,1,IF(L58&lt;-Benchmark!$B$2,5,3))</f>
        <v>1</v>
      </c>
      <c r="N58" s="3" t="s">
        <v>31</v>
      </c>
    </row>
    <row r="59" spans="1:14" x14ac:dyDescent="0.35">
      <c r="A59" s="11" t="s">
        <v>11</v>
      </c>
      <c r="B59" s="11" t="s">
        <v>130</v>
      </c>
      <c r="C59" s="11">
        <v>2</v>
      </c>
      <c r="D59" s="11">
        <v>1</v>
      </c>
      <c r="E59" s="11" t="s">
        <v>78</v>
      </c>
      <c r="F59" s="11" t="s">
        <v>131</v>
      </c>
      <c r="G59" s="12">
        <v>1.42</v>
      </c>
      <c r="H59" s="13">
        <v>156.9647887323944</v>
      </c>
      <c r="I59" s="11" t="s">
        <v>132</v>
      </c>
      <c r="J59" s="11" t="s">
        <v>30</v>
      </c>
      <c r="K59" s="7">
        <f>INDEX(Benchmark!$H$5:$H$807,MATCH(I59,Benchmark!$A$5:$A$807,0))</f>
        <v>119.3536585365854</v>
      </c>
      <c r="L59" s="14">
        <f t="shared" si="0"/>
        <v>0.3151233959391373</v>
      </c>
      <c r="M59" s="16">
        <f>IF(L59&gt;Benchmark!$B$2,1,IF(L59&lt;-Benchmark!$B$2,5,3))</f>
        <v>1</v>
      </c>
      <c r="N59" s="3" t="s">
        <v>31</v>
      </c>
    </row>
    <row r="60" spans="1:14" x14ac:dyDescent="0.35">
      <c r="A60" s="11" t="s">
        <v>11</v>
      </c>
      <c r="B60" s="11" t="s">
        <v>133</v>
      </c>
      <c r="C60" s="11">
        <v>2</v>
      </c>
      <c r="D60" s="11">
        <v>6</v>
      </c>
      <c r="E60" s="11" t="s">
        <v>134</v>
      </c>
      <c r="F60" s="11" t="s">
        <v>62</v>
      </c>
      <c r="G60" s="12">
        <v>8.35</v>
      </c>
      <c r="H60" s="13">
        <v>92.011976047904184</v>
      </c>
      <c r="I60" s="11" t="s">
        <v>135</v>
      </c>
      <c r="J60" s="11" t="s">
        <v>30</v>
      </c>
      <c r="K60" s="7">
        <f>INDEX(Benchmark!$H$5:$H$807,MATCH(I60,Benchmark!$A$5:$A$807,0))</f>
        <v>116.5796407185629</v>
      </c>
      <c r="L60" s="14">
        <f t="shared" si="0"/>
        <v>-0.21073717948717974</v>
      </c>
      <c r="M60" s="15">
        <f>IF(L60&gt;Benchmark!$B$2,1,IF(L60&lt;-Benchmark!$B$2,5,3))</f>
        <v>5</v>
      </c>
      <c r="N60" s="3" t="s">
        <v>31</v>
      </c>
    </row>
    <row r="61" spans="1:14" x14ac:dyDescent="0.35">
      <c r="A61" s="11" t="s">
        <v>11</v>
      </c>
      <c r="B61" s="11" t="s">
        <v>136</v>
      </c>
      <c r="C61" s="11">
        <v>2</v>
      </c>
      <c r="D61" s="11">
        <v>6</v>
      </c>
      <c r="E61" s="11" t="s">
        <v>27</v>
      </c>
      <c r="F61" s="11" t="s">
        <v>59</v>
      </c>
      <c r="G61" s="12">
        <v>12.19</v>
      </c>
      <c r="H61" s="13">
        <v>123.48400328137819</v>
      </c>
      <c r="I61" s="11" t="s">
        <v>137</v>
      </c>
      <c r="J61" s="11" t="s">
        <v>30</v>
      </c>
      <c r="K61" s="7">
        <f>INDEX(Benchmark!$H$5:$H$807,MATCH(I61,Benchmark!$A$5:$A$807,0))</f>
        <v>145.54881050041021</v>
      </c>
      <c r="L61" s="14">
        <f t="shared" si="0"/>
        <v>-0.15159730363423229</v>
      </c>
      <c r="M61" s="15">
        <f>IF(L61&gt;Benchmark!$B$2,1,IF(L61&lt;-Benchmark!$B$2,5,3))</f>
        <v>5</v>
      </c>
      <c r="N61" s="3" t="s">
        <v>31</v>
      </c>
    </row>
    <row r="62" spans="1:14" x14ac:dyDescent="0.35">
      <c r="A62" s="11" t="s">
        <v>11</v>
      </c>
      <c r="B62" s="11" t="s">
        <v>138</v>
      </c>
      <c r="C62" s="11">
        <v>2</v>
      </c>
      <c r="D62" s="11">
        <v>4</v>
      </c>
      <c r="E62" s="11" t="s">
        <v>27</v>
      </c>
      <c r="F62" s="11" t="s">
        <v>28</v>
      </c>
      <c r="G62" s="12">
        <v>15.72</v>
      </c>
      <c r="H62" s="13">
        <v>130.94083969465649</v>
      </c>
      <c r="I62" s="11" t="s">
        <v>29</v>
      </c>
      <c r="J62" s="11" t="s">
        <v>30</v>
      </c>
      <c r="K62" s="7">
        <f>INDEX(Benchmark!$H$5:$H$807,MATCH(I62,Benchmark!$A$5:$A$807,0))</f>
        <v>129.66292797447881</v>
      </c>
      <c r="L62" s="14">
        <f t="shared" si="0"/>
        <v>9.8556444786532804E-3</v>
      </c>
      <c r="M62" s="17">
        <f>IF(L62&gt;Benchmark!$B$2,1,IF(L62&lt;-Benchmark!$B$2,5,3))</f>
        <v>3</v>
      </c>
      <c r="N62" s="3" t="s">
        <v>31</v>
      </c>
    </row>
    <row r="63" spans="1:14" x14ac:dyDescent="0.35">
      <c r="A63" s="11" t="s">
        <v>11</v>
      </c>
      <c r="B63" s="11" t="s">
        <v>139</v>
      </c>
      <c r="C63" s="11">
        <v>2</v>
      </c>
      <c r="D63" s="11">
        <v>8</v>
      </c>
      <c r="E63" s="11" t="s">
        <v>88</v>
      </c>
      <c r="F63" s="11" t="s">
        <v>39</v>
      </c>
      <c r="G63" s="12">
        <v>19.54</v>
      </c>
      <c r="H63" s="13">
        <v>110.7789150460594</v>
      </c>
      <c r="I63" s="11" t="s">
        <v>140</v>
      </c>
      <c r="J63" s="11" t="s">
        <v>30</v>
      </c>
      <c r="K63" s="7">
        <f>INDEX(Benchmark!$H$5:$H$807,MATCH(I63,Benchmark!$A$5:$A$807,0))</f>
        <v>121.38787286830549</v>
      </c>
      <c r="L63" s="14">
        <f t="shared" si="0"/>
        <v>-8.7397180390135221E-2</v>
      </c>
      <c r="M63" s="15">
        <f>IF(L63&gt;Benchmark!$B$2,1,IF(L63&lt;-Benchmark!$B$2,5,3))</f>
        <v>5</v>
      </c>
      <c r="N63" s="3" t="s">
        <v>31</v>
      </c>
    </row>
    <row r="64" spans="1:14" x14ac:dyDescent="0.35">
      <c r="A64" s="11" t="s">
        <v>11</v>
      </c>
      <c r="B64" s="11" t="s">
        <v>141</v>
      </c>
      <c r="C64" s="11">
        <v>2</v>
      </c>
      <c r="D64" s="11">
        <v>4</v>
      </c>
      <c r="E64" s="11" t="s">
        <v>27</v>
      </c>
      <c r="F64" s="11" t="s">
        <v>59</v>
      </c>
      <c r="G64" s="12">
        <v>12.99</v>
      </c>
      <c r="H64" s="13">
        <v>120.044649730562</v>
      </c>
      <c r="I64" s="11" t="s">
        <v>137</v>
      </c>
      <c r="J64" s="11" t="s">
        <v>30</v>
      </c>
      <c r="K64" s="7">
        <f>INDEX(Benchmark!$H$5:$H$807,MATCH(I64,Benchmark!$A$5:$A$807,0))</f>
        <v>145.54881050041021</v>
      </c>
      <c r="L64" s="14">
        <f t="shared" si="0"/>
        <v>-0.17522754519368833</v>
      </c>
      <c r="M64" s="15">
        <f>IF(L64&gt;Benchmark!$B$2,1,IF(L64&lt;-Benchmark!$B$2,5,3))</f>
        <v>5</v>
      </c>
      <c r="N64" s="3" t="s">
        <v>31</v>
      </c>
    </row>
    <row r="65" spans="1:14" x14ac:dyDescent="0.35">
      <c r="A65" s="11" t="s">
        <v>11</v>
      </c>
      <c r="B65" s="11" t="s">
        <v>142</v>
      </c>
      <c r="C65" s="11">
        <v>2</v>
      </c>
      <c r="D65" s="11">
        <v>4</v>
      </c>
      <c r="E65" s="11" t="s">
        <v>27</v>
      </c>
      <c r="F65" s="11" t="s">
        <v>143</v>
      </c>
      <c r="G65" s="12">
        <v>7.87</v>
      </c>
      <c r="H65" s="13">
        <v>118.6149936467598</v>
      </c>
      <c r="I65" s="11" t="s">
        <v>144</v>
      </c>
      <c r="J65" s="11" t="s">
        <v>37</v>
      </c>
      <c r="K65" s="7">
        <f>INDEX(Benchmark!$H$5:$H$807,MATCH(I65,Benchmark!$A$5:$A$807,0))</f>
        <v>131.49167927382749</v>
      </c>
      <c r="L65" s="14">
        <f t="shared" si="0"/>
        <v>-9.7927760130375852E-2</v>
      </c>
      <c r="M65" s="15">
        <f>IF(L65&gt;Benchmark!$B$2,1,IF(L65&lt;-Benchmark!$B$2,5,3))</f>
        <v>5</v>
      </c>
      <c r="N65" s="3" t="s">
        <v>31</v>
      </c>
    </row>
    <row r="66" spans="1:14" x14ac:dyDescent="0.35">
      <c r="A66" s="11" t="s">
        <v>11</v>
      </c>
      <c r="B66" s="11" t="s">
        <v>145</v>
      </c>
      <c r="C66" s="11">
        <v>2</v>
      </c>
      <c r="D66" s="11">
        <v>6</v>
      </c>
      <c r="E66" s="11" t="s">
        <v>146</v>
      </c>
      <c r="F66" s="11" t="s">
        <v>147</v>
      </c>
      <c r="G66" s="12">
        <v>5.88</v>
      </c>
      <c r="H66" s="13">
        <v>62.880952380952387</v>
      </c>
      <c r="I66" s="11" t="s">
        <v>148</v>
      </c>
      <c r="J66" s="11" t="s">
        <v>30</v>
      </c>
      <c r="K66" s="7">
        <f>INDEX(Benchmark!$H$5:$H$807,MATCH(I66,Benchmark!$A$5:$A$807,0))</f>
        <v>86.754464285714278</v>
      </c>
      <c r="L66" s="14">
        <f t="shared" si="0"/>
        <v>-0.27518482306729086</v>
      </c>
      <c r="M66" s="15">
        <f>IF(L66&gt;Benchmark!$B$2,1,IF(L66&lt;-Benchmark!$B$2,5,3))</f>
        <v>5</v>
      </c>
      <c r="N66" s="3" t="s">
        <v>31</v>
      </c>
    </row>
    <row r="67" spans="1:14" x14ac:dyDescent="0.35">
      <c r="A67" s="11" t="s">
        <v>11</v>
      </c>
      <c r="B67" s="11" t="s">
        <v>149</v>
      </c>
      <c r="C67" s="11">
        <v>2</v>
      </c>
      <c r="D67" s="11">
        <v>8</v>
      </c>
      <c r="E67" s="11" t="s">
        <v>150</v>
      </c>
      <c r="F67" s="11" t="s">
        <v>43</v>
      </c>
      <c r="G67" s="12">
        <v>13.93</v>
      </c>
      <c r="H67" s="13">
        <v>86.018664752333095</v>
      </c>
      <c r="I67" s="11" t="s">
        <v>151</v>
      </c>
      <c r="J67" s="11" t="s">
        <v>30</v>
      </c>
      <c r="K67" s="7">
        <f>INDEX(Benchmark!$H$5:$H$807,MATCH(I67,Benchmark!$A$5:$A$807,0))</f>
        <v>94.177993527508093</v>
      </c>
      <c r="L67" s="14">
        <f t="shared" si="0"/>
        <v>-8.6637318014125775E-2</v>
      </c>
      <c r="M67" s="15">
        <f>IF(L67&gt;Benchmark!$B$2,1,IF(L67&lt;-Benchmark!$B$2,5,3))</f>
        <v>5</v>
      </c>
      <c r="N67" s="3" t="s">
        <v>31</v>
      </c>
    </row>
    <row r="68" spans="1:14" x14ac:dyDescent="0.35">
      <c r="A68" s="11" t="s">
        <v>11</v>
      </c>
      <c r="B68" s="11" t="s">
        <v>152</v>
      </c>
      <c r="C68" s="11">
        <v>2</v>
      </c>
      <c r="D68" s="11">
        <v>1</v>
      </c>
      <c r="E68" s="11" t="s">
        <v>34</v>
      </c>
      <c r="F68" s="11" t="s">
        <v>84</v>
      </c>
      <c r="G68" s="12">
        <v>7.4</v>
      </c>
      <c r="H68" s="13">
        <v>105.6216216216216</v>
      </c>
      <c r="I68" s="11" t="s">
        <v>96</v>
      </c>
      <c r="J68" s="11" t="s">
        <v>30</v>
      </c>
      <c r="K68" s="7">
        <f>INDEX(Benchmark!$H$5:$H$807,MATCH(I68,Benchmark!$A$5:$A$807,0))</f>
        <v>126.5322222222222</v>
      </c>
      <c r="L68" s="14">
        <f t="shared" si="0"/>
        <v>-0.1652590955359684</v>
      </c>
      <c r="M68" s="15">
        <f>IF(L68&gt;Benchmark!$B$2,1,IF(L68&lt;-Benchmark!$B$2,5,3))</f>
        <v>5</v>
      </c>
      <c r="N68" s="3" t="s">
        <v>31</v>
      </c>
    </row>
    <row r="69" spans="1:14" x14ac:dyDescent="0.35">
      <c r="A69" s="11" t="s">
        <v>11</v>
      </c>
      <c r="B69" s="11" t="s">
        <v>153</v>
      </c>
      <c r="C69" s="11">
        <v>2</v>
      </c>
      <c r="D69" s="11">
        <v>6</v>
      </c>
      <c r="E69" s="11" t="s">
        <v>27</v>
      </c>
      <c r="F69" s="11" t="s">
        <v>84</v>
      </c>
      <c r="G69" s="12">
        <v>7</v>
      </c>
      <c r="H69" s="13">
        <v>114.7428571428571</v>
      </c>
      <c r="I69" s="11" t="s">
        <v>154</v>
      </c>
      <c r="J69" s="11" t="s">
        <v>30</v>
      </c>
      <c r="K69" s="7">
        <f>INDEX(Benchmark!$H$5:$H$807,MATCH(I69,Benchmark!$A$5:$A$807,0))</f>
        <v>125.7999199629302</v>
      </c>
      <c r="L69" s="14">
        <f t="shared" ref="L69:L132" si="1">H69/K69-1</f>
        <v>-8.7894037002021252E-2</v>
      </c>
      <c r="M69" s="15">
        <f>IF(L69&gt;Benchmark!$B$2,1,IF(L69&lt;-Benchmark!$B$2,5,3))</f>
        <v>5</v>
      </c>
      <c r="N69" s="3" t="s">
        <v>31</v>
      </c>
    </row>
    <row r="70" spans="1:14" x14ac:dyDescent="0.35">
      <c r="A70" s="11" t="s">
        <v>11</v>
      </c>
      <c r="B70" s="11" t="s">
        <v>155</v>
      </c>
      <c r="C70" s="11">
        <v>3</v>
      </c>
      <c r="D70" s="11">
        <v>8</v>
      </c>
      <c r="E70" s="11" t="s">
        <v>156</v>
      </c>
      <c r="F70" s="11" t="s">
        <v>39</v>
      </c>
      <c r="G70" s="12">
        <v>1.41</v>
      </c>
      <c r="H70" s="13">
        <v>90.539007092198588</v>
      </c>
      <c r="I70" s="11" t="s">
        <v>157</v>
      </c>
      <c r="J70" s="11" t="s">
        <v>37</v>
      </c>
      <c r="K70" s="7">
        <f>INDEX(Benchmark!$H$5:$H$807,MATCH(I70,Benchmark!$A$5:$A$807,0))</f>
        <v>105.46257661480431</v>
      </c>
      <c r="L70" s="14">
        <f t="shared" si="1"/>
        <v>-0.14150583080397472</v>
      </c>
      <c r="M70" s="15">
        <f>IF(L70&gt;Benchmark!$B$2,1,IF(L70&lt;-Benchmark!$B$2,5,3))</f>
        <v>5</v>
      </c>
      <c r="N70" s="3" t="s">
        <v>31</v>
      </c>
    </row>
    <row r="71" spans="1:14" x14ac:dyDescent="0.35">
      <c r="A71" s="11" t="s">
        <v>11</v>
      </c>
      <c r="B71" s="11" t="s">
        <v>158</v>
      </c>
      <c r="C71" s="11">
        <v>3</v>
      </c>
      <c r="D71" s="11">
        <v>6</v>
      </c>
      <c r="E71" s="11" t="s">
        <v>27</v>
      </c>
      <c r="F71" s="11" t="s">
        <v>39</v>
      </c>
      <c r="G71" s="12">
        <v>14.84</v>
      </c>
      <c r="H71" s="13">
        <v>88.281671159029642</v>
      </c>
      <c r="I71" s="11" t="s">
        <v>40</v>
      </c>
      <c r="J71" s="11" t="s">
        <v>30</v>
      </c>
      <c r="K71" s="7">
        <f>INDEX(Benchmark!$H$5:$H$807,MATCH(I71,Benchmark!$A$5:$A$807,0))</f>
        <v>132.44401544401541</v>
      </c>
      <c r="L71" s="14">
        <f t="shared" si="1"/>
        <v>-0.33344159898001091</v>
      </c>
      <c r="M71" s="15">
        <f>IF(L71&gt;Benchmark!$B$2,1,IF(L71&lt;-Benchmark!$B$2,5,3))</f>
        <v>5</v>
      </c>
      <c r="N71" s="3" t="s">
        <v>31</v>
      </c>
    </row>
    <row r="72" spans="1:14" x14ac:dyDescent="0.35">
      <c r="A72" s="11" t="s">
        <v>11</v>
      </c>
      <c r="B72" s="11" t="s">
        <v>159</v>
      </c>
      <c r="C72" s="11">
        <v>3</v>
      </c>
      <c r="D72" s="11">
        <v>3</v>
      </c>
      <c r="E72" s="11" t="s">
        <v>27</v>
      </c>
      <c r="F72" s="11" t="s">
        <v>39</v>
      </c>
      <c r="G72" s="12">
        <v>0.6</v>
      </c>
      <c r="H72" s="13">
        <v>65.666666666666671</v>
      </c>
      <c r="I72" s="11" t="s">
        <v>40</v>
      </c>
      <c r="J72" s="11" t="s">
        <v>30</v>
      </c>
      <c r="K72" s="7">
        <f>INDEX(Benchmark!$H$5:$H$807,MATCH(I72,Benchmark!$A$5:$A$807,0))</f>
        <v>132.44401544401541</v>
      </c>
      <c r="L72" s="14">
        <f t="shared" si="1"/>
        <v>-0.50419302490549889</v>
      </c>
      <c r="M72" s="15">
        <f>IF(L72&gt;Benchmark!$B$2,1,IF(L72&lt;-Benchmark!$B$2,5,3))</f>
        <v>5</v>
      </c>
      <c r="N72" s="3" t="s">
        <v>31</v>
      </c>
    </row>
    <row r="73" spans="1:14" x14ac:dyDescent="0.35">
      <c r="A73" s="11" t="s">
        <v>11</v>
      </c>
      <c r="B73" s="11" t="s">
        <v>160</v>
      </c>
      <c r="C73" s="11">
        <v>3</v>
      </c>
      <c r="D73" s="11">
        <v>2</v>
      </c>
      <c r="E73" s="11" t="s">
        <v>27</v>
      </c>
      <c r="F73" s="11" t="s">
        <v>39</v>
      </c>
      <c r="G73" s="12">
        <v>1.5</v>
      </c>
      <c r="H73" s="13">
        <v>125.22</v>
      </c>
      <c r="I73" s="11" t="s">
        <v>40</v>
      </c>
      <c r="J73" s="11" t="s">
        <v>30</v>
      </c>
      <c r="K73" s="7">
        <f>INDEX(Benchmark!$H$5:$H$807,MATCH(I73,Benchmark!$A$5:$A$807,0))</f>
        <v>132.44401544401541</v>
      </c>
      <c r="L73" s="14">
        <f t="shared" si="1"/>
        <v>-5.4543917441622902E-2</v>
      </c>
      <c r="M73" s="15">
        <f>IF(L73&gt;Benchmark!$B$2,1,IF(L73&lt;-Benchmark!$B$2,5,3))</f>
        <v>5</v>
      </c>
      <c r="N73" s="3" t="s">
        <v>31</v>
      </c>
    </row>
    <row r="74" spans="1:14" x14ac:dyDescent="0.35">
      <c r="A74" s="11" t="s">
        <v>11</v>
      </c>
      <c r="B74" s="11" t="s">
        <v>161</v>
      </c>
      <c r="C74" s="11">
        <v>3</v>
      </c>
      <c r="D74" s="11">
        <v>3</v>
      </c>
      <c r="E74" s="11" t="s">
        <v>34</v>
      </c>
      <c r="F74" s="11" t="s">
        <v>62</v>
      </c>
      <c r="G74" s="12">
        <v>10.77</v>
      </c>
      <c r="H74" s="13">
        <v>113.6128133704735</v>
      </c>
      <c r="I74" s="11" t="s">
        <v>162</v>
      </c>
      <c r="J74" s="11" t="s">
        <v>30</v>
      </c>
      <c r="K74" s="7">
        <f>INDEX(Benchmark!$H$5:$H$807,MATCH(I74,Benchmark!$A$5:$A$807,0))</f>
        <v>146.4499351604384</v>
      </c>
      <c r="L74" s="14">
        <f t="shared" si="1"/>
        <v>-0.22422080114949361</v>
      </c>
      <c r="M74" s="15">
        <f>IF(L74&gt;Benchmark!$B$2,1,IF(L74&lt;-Benchmark!$B$2,5,3))</f>
        <v>5</v>
      </c>
      <c r="N74" s="3" t="s">
        <v>31</v>
      </c>
    </row>
    <row r="75" spans="1:14" x14ac:dyDescent="0.35">
      <c r="A75" s="11" t="s">
        <v>11</v>
      </c>
      <c r="B75" s="11" t="s">
        <v>163</v>
      </c>
      <c r="C75" s="11">
        <v>3</v>
      </c>
      <c r="D75" s="11">
        <v>3</v>
      </c>
      <c r="E75" s="11" t="s">
        <v>88</v>
      </c>
      <c r="F75" s="11" t="s">
        <v>28</v>
      </c>
      <c r="G75" s="12">
        <v>14.35</v>
      </c>
      <c r="H75" s="13">
        <v>132.21951219512201</v>
      </c>
      <c r="I75" s="11" t="s">
        <v>164</v>
      </c>
      <c r="J75" s="11" t="s">
        <v>30</v>
      </c>
      <c r="K75" s="7">
        <f>INDEX(Benchmark!$H$5:$H$807,MATCH(I75,Benchmark!$A$5:$A$807,0))</f>
        <v>119.49786485666441</v>
      </c>
      <c r="L75" s="14">
        <f t="shared" si="1"/>
        <v>0.10645920204278947</v>
      </c>
      <c r="M75" s="16">
        <f>IF(L75&gt;Benchmark!$B$2,1,IF(L75&lt;-Benchmark!$B$2,5,3))</f>
        <v>1</v>
      </c>
      <c r="N75" s="3" t="s">
        <v>31</v>
      </c>
    </row>
    <row r="76" spans="1:14" x14ac:dyDescent="0.35">
      <c r="A76" s="11" t="s">
        <v>11</v>
      </c>
      <c r="B76" s="11" t="s">
        <v>165</v>
      </c>
      <c r="C76" s="11">
        <v>3</v>
      </c>
      <c r="D76" s="11">
        <v>5</v>
      </c>
      <c r="E76" s="11" t="s">
        <v>34</v>
      </c>
      <c r="F76" s="11" t="s">
        <v>62</v>
      </c>
      <c r="G76" s="12">
        <v>17.09</v>
      </c>
      <c r="H76" s="13">
        <v>92.83733177296665</v>
      </c>
      <c r="I76" s="11" t="s">
        <v>162</v>
      </c>
      <c r="J76" s="11" t="s">
        <v>30</v>
      </c>
      <c r="K76" s="7">
        <f>INDEX(Benchmark!$H$5:$H$807,MATCH(I76,Benchmark!$A$5:$A$807,0))</f>
        <v>146.4499351604384</v>
      </c>
      <c r="L76" s="14">
        <f t="shared" si="1"/>
        <v>-0.36608144161168954</v>
      </c>
      <c r="M76" s="15">
        <f>IF(L76&gt;Benchmark!$B$2,1,IF(L76&lt;-Benchmark!$B$2,5,3))</f>
        <v>5</v>
      </c>
      <c r="N76" s="3" t="s">
        <v>31</v>
      </c>
    </row>
    <row r="77" spans="1:14" x14ac:dyDescent="0.35">
      <c r="A77" s="11" t="s">
        <v>11</v>
      </c>
      <c r="B77" s="11" t="s">
        <v>166</v>
      </c>
      <c r="C77" s="11">
        <v>3</v>
      </c>
      <c r="D77" s="11">
        <v>4</v>
      </c>
      <c r="E77" s="11" t="s">
        <v>27</v>
      </c>
      <c r="F77" s="11" t="s">
        <v>59</v>
      </c>
      <c r="G77" s="12">
        <v>11.88</v>
      </c>
      <c r="H77" s="13">
        <v>106.4814814814815</v>
      </c>
      <c r="I77" s="11" t="s">
        <v>137</v>
      </c>
      <c r="J77" s="11" t="s">
        <v>30</v>
      </c>
      <c r="K77" s="7">
        <f>INDEX(Benchmark!$H$5:$H$807,MATCH(I77,Benchmark!$A$5:$A$807,0))</f>
        <v>145.54881050041021</v>
      </c>
      <c r="L77" s="14">
        <f t="shared" si="1"/>
        <v>-0.26841393539810898</v>
      </c>
      <c r="M77" s="15">
        <f>IF(L77&gt;Benchmark!$B$2,1,IF(L77&lt;-Benchmark!$B$2,5,3))</f>
        <v>5</v>
      </c>
      <c r="N77" s="3" t="s">
        <v>31</v>
      </c>
    </row>
    <row r="78" spans="1:14" x14ac:dyDescent="0.35">
      <c r="A78" s="11" t="s">
        <v>11</v>
      </c>
      <c r="B78" s="11" t="s">
        <v>167</v>
      </c>
      <c r="C78" s="11">
        <v>3</v>
      </c>
      <c r="D78" s="11">
        <v>3</v>
      </c>
      <c r="E78" s="11" t="s">
        <v>48</v>
      </c>
      <c r="F78" s="11" t="s">
        <v>39</v>
      </c>
      <c r="G78" s="12">
        <v>19.36</v>
      </c>
      <c r="H78" s="13">
        <v>110.60898760330581</v>
      </c>
      <c r="I78" s="11" t="s">
        <v>49</v>
      </c>
      <c r="J78" s="11" t="s">
        <v>30</v>
      </c>
      <c r="K78" s="7">
        <f>INDEX(Benchmark!$H$5:$H$807,MATCH(I78,Benchmark!$A$5:$A$807,0))</f>
        <v>132.03967168262659</v>
      </c>
      <c r="L78" s="14">
        <f t="shared" si="1"/>
        <v>-0.16230488766158124</v>
      </c>
      <c r="M78" s="15">
        <f>IF(L78&gt;Benchmark!$B$2,1,IF(L78&lt;-Benchmark!$B$2,5,3))</f>
        <v>5</v>
      </c>
      <c r="N78" s="3" t="s">
        <v>31</v>
      </c>
    </row>
    <row r="79" spans="1:14" x14ac:dyDescent="0.35">
      <c r="A79" s="11" t="s">
        <v>11</v>
      </c>
      <c r="B79" s="11" t="s">
        <v>168</v>
      </c>
      <c r="C79" s="11">
        <v>3</v>
      </c>
      <c r="D79" s="11">
        <v>3</v>
      </c>
      <c r="E79" s="11" t="s">
        <v>27</v>
      </c>
      <c r="F79" s="11" t="s">
        <v>169</v>
      </c>
      <c r="G79" s="12">
        <v>11.79</v>
      </c>
      <c r="H79" s="13">
        <v>134.0254452926209</v>
      </c>
      <c r="I79" s="11" t="s">
        <v>170</v>
      </c>
      <c r="J79" s="11" t="s">
        <v>30</v>
      </c>
      <c r="K79" s="7">
        <f>INDEX(Benchmark!$H$5:$H$807,MATCH(I79,Benchmark!$A$5:$A$807,0))</f>
        <v>155.66381578947369</v>
      </c>
      <c r="L79" s="14">
        <f t="shared" si="1"/>
        <v>-0.1390070671665754</v>
      </c>
      <c r="M79" s="15">
        <f>IF(L79&gt;Benchmark!$B$2,1,IF(L79&lt;-Benchmark!$B$2,5,3))</f>
        <v>5</v>
      </c>
      <c r="N79" s="3" t="s">
        <v>31</v>
      </c>
    </row>
    <row r="80" spans="1:14" x14ac:dyDescent="0.35">
      <c r="A80" s="11" t="s">
        <v>11</v>
      </c>
      <c r="B80" s="11" t="s">
        <v>171</v>
      </c>
      <c r="C80" s="11">
        <v>3</v>
      </c>
      <c r="D80" s="11">
        <v>3</v>
      </c>
      <c r="E80" s="11" t="s">
        <v>27</v>
      </c>
      <c r="F80" s="11" t="s">
        <v>62</v>
      </c>
      <c r="G80" s="12">
        <v>4.3</v>
      </c>
      <c r="H80" s="13">
        <v>71.123255813953492</v>
      </c>
      <c r="I80" s="11" t="s">
        <v>65</v>
      </c>
      <c r="J80" s="11" t="s">
        <v>30</v>
      </c>
      <c r="K80" s="7">
        <f>INDEX(Benchmark!$H$5:$H$807,MATCH(I80,Benchmark!$A$5:$A$807,0))</f>
        <v>136.9924703665755</v>
      </c>
      <c r="L80" s="14">
        <f t="shared" si="1"/>
        <v>-0.48082361297934006</v>
      </c>
      <c r="M80" s="15">
        <f>IF(L80&gt;Benchmark!$B$2,1,IF(L80&lt;-Benchmark!$B$2,5,3))</f>
        <v>5</v>
      </c>
      <c r="N80" s="3" t="s">
        <v>31</v>
      </c>
    </row>
    <row r="81" spans="1:14" x14ac:dyDescent="0.35">
      <c r="A81" s="11" t="s">
        <v>11</v>
      </c>
      <c r="B81" s="11" t="s">
        <v>172</v>
      </c>
      <c r="C81" s="11">
        <v>3</v>
      </c>
      <c r="D81" s="11">
        <v>1</v>
      </c>
      <c r="E81" s="11" t="s">
        <v>88</v>
      </c>
      <c r="F81" s="11" t="s">
        <v>93</v>
      </c>
      <c r="G81" s="12">
        <v>10.89</v>
      </c>
      <c r="H81" s="13">
        <v>115.376492194674</v>
      </c>
      <c r="I81" s="11" t="s">
        <v>173</v>
      </c>
      <c r="J81" s="11" t="s">
        <v>30</v>
      </c>
      <c r="K81" s="7">
        <f>INDEX(Benchmark!$H$5:$H$807,MATCH(I81,Benchmark!$A$5:$A$807,0))</f>
        <v>85.703225806451599</v>
      </c>
      <c r="L81" s="14">
        <f t="shared" si="1"/>
        <v>0.34623278306040906</v>
      </c>
      <c r="M81" s="16">
        <f>IF(L81&gt;Benchmark!$B$2,1,IF(L81&lt;-Benchmark!$B$2,5,3))</f>
        <v>1</v>
      </c>
      <c r="N81" s="3" t="s">
        <v>31</v>
      </c>
    </row>
    <row r="82" spans="1:14" x14ac:dyDescent="0.35">
      <c r="A82" s="11" t="s">
        <v>11</v>
      </c>
      <c r="B82" s="11" t="s">
        <v>174</v>
      </c>
      <c r="C82" s="11">
        <v>3</v>
      </c>
      <c r="D82" s="11">
        <v>7</v>
      </c>
      <c r="E82" s="11" t="s">
        <v>104</v>
      </c>
      <c r="F82" s="11" t="s">
        <v>84</v>
      </c>
      <c r="G82" s="12">
        <v>7.07</v>
      </c>
      <c r="H82" s="13">
        <v>83.985855728429982</v>
      </c>
      <c r="I82" s="11" t="s">
        <v>175</v>
      </c>
      <c r="J82" s="11" t="s">
        <v>30</v>
      </c>
      <c r="K82" s="7">
        <f>INDEX(Benchmark!$H$5:$H$807,MATCH(I82,Benchmark!$A$5:$A$807,0))</f>
        <v>107.50926587244901</v>
      </c>
      <c r="L82" s="14">
        <f t="shared" si="1"/>
        <v>-0.21880356035476645</v>
      </c>
      <c r="M82" s="15">
        <f>IF(L82&gt;Benchmark!$B$2,1,IF(L82&lt;-Benchmark!$B$2,5,3))</f>
        <v>5</v>
      </c>
      <c r="N82" s="3" t="s">
        <v>31</v>
      </c>
    </row>
    <row r="83" spans="1:14" x14ac:dyDescent="0.35">
      <c r="A83" s="11" t="s">
        <v>11</v>
      </c>
      <c r="B83" s="11" t="s">
        <v>176</v>
      </c>
      <c r="C83" s="11">
        <v>3</v>
      </c>
      <c r="D83" s="11">
        <v>6</v>
      </c>
      <c r="E83" s="11" t="s">
        <v>104</v>
      </c>
      <c r="F83" s="11" t="s">
        <v>84</v>
      </c>
      <c r="G83" s="12">
        <v>3.62</v>
      </c>
      <c r="H83" s="13">
        <v>76.94198895027624</v>
      </c>
      <c r="I83" s="11" t="s">
        <v>175</v>
      </c>
      <c r="J83" s="11" t="s">
        <v>30</v>
      </c>
      <c r="K83" s="7">
        <f>INDEX(Benchmark!$H$5:$H$807,MATCH(I83,Benchmark!$A$5:$A$807,0))</f>
        <v>107.50926587244901</v>
      </c>
      <c r="L83" s="14">
        <f t="shared" si="1"/>
        <v>-0.28432225514811305</v>
      </c>
      <c r="M83" s="15">
        <f>IF(L83&gt;Benchmark!$B$2,1,IF(L83&lt;-Benchmark!$B$2,5,3))</f>
        <v>5</v>
      </c>
      <c r="N83" s="3" t="s">
        <v>31</v>
      </c>
    </row>
    <row r="84" spans="1:14" x14ac:dyDescent="0.35">
      <c r="A84" s="11" t="s">
        <v>11</v>
      </c>
      <c r="B84" s="11" t="s">
        <v>177</v>
      </c>
      <c r="C84" s="11">
        <v>3</v>
      </c>
      <c r="D84" s="11">
        <v>7</v>
      </c>
      <c r="E84" s="11" t="s">
        <v>104</v>
      </c>
      <c r="F84" s="11" t="s">
        <v>84</v>
      </c>
      <c r="G84" s="12">
        <v>2.1</v>
      </c>
      <c r="H84" s="13">
        <v>76.009523809523813</v>
      </c>
      <c r="I84" s="11" t="s">
        <v>175</v>
      </c>
      <c r="J84" s="11" t="s">
        <v>30</v>
      </c>
      <c r="K84" s="7">
        <f>INDEX(Benchmark!$H$5:$H$807,MATCH(I84,Benchmark!$A$5:$A$807,0))</f>
        <v>107.50926587244901</v>
      </c>
      <c r="L84" s="14">
        <f t="shared" si="1"/>
        <v>-0.292995601888837</v>
      </c>
      <c r="M84" s="15">
        <f>IF(L84&gt;Benchmark!$B$2,1,IF(L84&lt;-Benchmark!$B$2,5,3))</f>
        <v>5</v>
      </c>
      <c r="N84" s="3" t="s">
        <v>31</v>
      </c>
    </row>
    <row r="85" spans="1:14" x14ac:dyDescent="0.35">
      <c r="A85" s="11" t="s">
        <v>11</v>
      </c>
      <c r="B85" s="11" t="s">
        <v>178</v>
      </c>
      <c r="C85" s="11">
        <v>3</v>
      </c>
      <c r="D85" s="11">
        <v>3</v>
      </c>
      <c r="E85" s="11" t="s">
        <v>104</v>
      </c>
      <c r="F85" s="11" t="s">
        <v>93</v>
      </c>
      <c r="G85" s="12">
        <v>11.15</v>
      </c>
      <c r="H85" s="13">
        <v>75.132735426008963</v>
      </c>
      <c r="I85" s="11" t="s">
        <v>179</v>
      </c>
      <c r="J85" s="11" t="s">
        <v>30</v>
      </c>
      <c r="K85" s="7">
        <f>INDEX(Benchmark!$H$5:$H$807,MATCH(I85,Benchmark!$A$5:$A$807,0))</f>
        <v>82.615094339622644</v>
      </c>
      <c r="L85" s="14">
        <f t="shared" si="1"/>
        <v>-9.0568908423131811E-2</v>
      </c>
      <c r="M85" s="15">
        <f>IF(L85&gt;Benchmark!$B$2,1,IF(L85&lt;-Benchmark!$B$2,5,3))</f>
        <v>5</v>
      </c>
      <c r="N85" s="3" t="s">
        <v>31</v>
      </c>
    </row>
    <row r="86" spans="1:14" x14ac:dyDescent="0.35">
      <c r="A86" s="11" t="s">
        <v>11</v>
      </c>
      <c r="B86" s="11" t="s">
        <v>180</v>
      </c>
      <c r="C86" s="11">
        <v>3</v>
      </c>
      <c r="D86" s="11">
        <v>4</v>
      </c>
      <c r="E86" s="11" t="s">
        <v>104</v>
      </c>
      <c r="F86" s="11" t="s">
        <v>84</v>
      </c>
      <c r="G86" s="12">
        <v>11.42</v>
      </c>
      <c r="H86" s="13">
        <v>78.795971978984241</v>
      </c>
      <c r="I86" s="11" t="s">
        <v>175</v>
      </c>
      <c r="J86" s="11" t="s">
        <v>30</v>
      </c>
      <c r="K86" s="7">
        <f>INDEX(Benchmark!$H$5:$H$807,MATCH(I86,Benchmark!$A$5:$A$807,0))</f>
        <v>107.50926587244901</v>
      </c>
      <c r="L86" s="14">
        <f t="shared" si="1"/>
        <v>-0.26707738779958512</v>
      </c>
      <c r="M86" s="15">
        <f>IF(L86&gt;Benchmark!$B$2,1,IF(L86&lt;-Benchmark!$B$2,5,3))</f>
        <v>5</v>
      </c>
      <c r="N86" s="3" t="s">
        <v>31</v>
      </c>
    </row>
    <row r="87" spans="1:14" x14ac:dyDescent="0.35">
      <c r="A87" s="11" t="s">
        <v>11</v>
      </c>
      <c r="B87" s="11" t="s">
        <v>181</v>
      </c>
      <c r="C87" s="11">
        <v>3</v>
      </c>
      <c r="D87" s="11">
        <v>3</v>
      </c>
      <c r="E87" s="11" t="s">
        <v>104</v>
      </c>
      <c r="F87" s="11" t="s">
        <v>182</v>
      </c>
      <c r="G87" s="12">
        <v>8.1</v>
      </c>
      <c r="H87" s="13">
        <v>99.288888888888891</v>
      </c>
      <c r="I87" s="11" t="s">
        <v>183</v>
      </c>
      <c r="J87" s="11" t="s">
        <v>30</v>
      </c>
      <c r="K87" s="7">
        <f>INDEX(Benchmark!$H$5:$H$807,MATCH(I87,Benchmark!$A$5:$A$807,0))</f>
        <v>108.33835845896149</v>
      </c>
      <c r="L87" s="14">
        <f t="shared" si="1"/>
        <v>-8.352969067276883E-2</v>
      </c>
      <c r="M87" s="15">
        <f>IF(L87&gt;Benchmark!$B$2,1,IF(L87&lt;-Benchmark!$B$2,5,3))</f>
        <v>5</v>
      </c>
      <c r="N87" s="3" t="s">
        <v>31</v>
      </c>
    </row>
    <row r="88" spans="1:14" x14ac:dyDescent="0.35">
      <c r="A88" s="11" t="s">
        <v>11</v>
      </c>
      <c r="B88" s="11" t="s">
        <v>184</v>
      </c>
      <c r="C88" s="11">
        <v>3</v>
      </c>
      <c r="D88" s="11">
        <v>3</v>
      </c>
      <c r="E88" s="11" t="s">
        <v>78</v>
      </c>
      <c r="F88" s="11" t="s">
        <v>182</v>
      </c>
      <c r="G88" s="12">
        <v>10.52</v>
      </c>
      <c r="H88" s="13">
        <v>90.034220532319395</v>
      </c>
      <c r="I88" s="11" t="s">
        <v>80</v>
      </c>
      <c r="J88" s="11" t="s">
        <v>37</v>
      </c>
      <c r="K88" s="7">
        <f>INDEX(Benchmark!$H$5:$H$807,MATCH(I88,Benchmark!$A$5:$A$807,0))</f>
        <v>110.9357798165138</v>
      </c>
      <c r="L88" s="14">
        <f t="shared" si="1"/>
        <v>-0.18841134320023067</v>
      </c>
      <c r="M88" s="15">
        <f>IF(L88&gt;Benchmark!$B$2,1,IF(L88&lt;-Benchmark!$B$2,5,3))</f>
        <v>5</v>
      </c>
      <c r="N88" s="3" t="s">
        <v>31</v>
      </c>
    </row>
    <row r="89" spans="1:14" x14ac:dyDescent="0.35">
      <c r="A89" s="11" t="s">
        <v>11</v>
      </c>
      <c r="B89" s="11" t="s">
        <v>185</v>
      </c>
      <c r="C89" s="11">
        <v>3</v>
      </c>
      <c r="D89" s="11">
        <v>2</v>
      </c>
      <c r="E89" s="11" t="s">
        <v>78</v>
      </c>
      <c r="F89" s="11" t="s">
        <v>186</v>
      </c>
      <c r="G89" s="12">
        <v>13.49</v>
      </c>
      <c r="H89" s="13">
        <v>82.473684210526315</v>
      </c>
      <c r="I89" s="11" t="s">
        <v>80</v>
      </c>
      <c r="J89" s="11" t="s">
        <v>37</v>
      </c>
      <c r="K89" s="7">
        <f>INDEX(Benchmark!$H$5:$H$807,MATCH(I89,Benchmark!$A$5:$A$807,0))</f>
        <v>110.9357798165138</v>
      </c>
      <c r="L89" s="14">
        <f t="shared" si="1"/>
        <v>-0.25656371328586125</v>
      </c>
      <c r="M89" s="15">
        <f>IF(L89&gt;Benchmark!$B$2,1,IF(L89&lt;-Benchmark!$B$2,5,3))</f>
        <v>5</v>
      </c>
      <c r="N89" s="3" t="s">
        <v>31</v>
      </c>
    </row>
    <row r="90" spans="1:14" x14ac:dyDescent="0.35">
      <c r="A90" s="11" t="s">
        <v>11</v>
      </c>
      <c r="B90" s="11" t="s">
        <v>187</v>
      </c>
      <c r="C90" s="11">
        <v>3</v>
      </c>
      <c r="D90" s="11">
        <v>2</v>
      </c>
      <c r="E90" s="11" t="s">
        <v>78</v>
      </c>
      <c r="F90" s="11" t="s">
        <v>73</v>
      </c>
      <c r="G90" s="12">
        <v>0.97</v>
      </c>
      <c r="H90" s="13">
        <v>102.5360824742268</v>
      </c>
      <c r="I90" s="11" t="s">
        <v>80</v>
      </c>
      <c r="J90" s="11" t="s">
        <v>37</v>
      </c>
      <c r="K90" s="7">
        <f>INDEX(Benchmark!$H$5:$H$807,MATCH(I90,Benchmark!$A$5:$A$807,0))</f>
        <v>110.9357798165138</v>
      </c>
      <c r="L90" s="14">
        <f t="shared" si="1"/>
        <v>-7.5716755731829566E-2</v>
      </c>
      <c r="M90" s="15">
        <f>IF(L90&gt;Benchmark!$B$2,1,IF(L90&lt;-Benchmark!$B$2,5,3))</f>
        <v>5</v>
      </c>
      <c r="N90" s="3" t="s">
        <v>31</v>
      </c>
    </row>
    <row r="91" spans="1:14" x14ac:dyDescent="0.35">
      <c r="A91" s="11" t="s">
        <v>11</v>
      </c>
      <c r="B91" s="11" t="s">
        <v>188</v>
      </c>
      <c r="C91" s="11">
        <v>3</v>
      </c>
      <c r="D91" s="11">
        <v>1</v>
      </c>
      <c r="E91" s="11" t="s">
        <v>78</v>
      </c>
      <c r="F91" s="11" t="s">
        <v>84</v>
      </c>
      <c r="G91" s="12">
        <v>20.440000000000001</v>
      </c>
      <c r="H91" s="13">
        <v>101.2739726027397</v>
      </c>
      <c r="I91" s="11" t="s">
        <v>80</v>
      </c>
      <c r="J91" s="11" t="s">
        <v>37</v>
      </c>
      <c r="K91" s="7">
        <f>INDEX(Benchmark!$H$5:$H$807,MATCH(I91,Benchmark!$A$5:$A$807,0))</f>
        <v>110.9357798165138</v>
      </c>
      <c r="L91" s="14">
        <f t="shared" si="1"/>
        <v>-8.7093697180067542E-2</v>
      </c>
      <c r="M91" s="15">
        <f>IF(L91&gt;Benchmark!$B$2,1,IF(L91&lt;-Benchmark!$B$2,5,3))</f>
        <v>5</v>
      </c>
      <c r="N91" s="3" t="s">
        <v>31</v>
      </c>
    </row>
    <row r="92" spans="1:14" x14ac:dyDescent="0.35">
      <c r="A92" s="11" t="s">
        <v>11</v>
      </c>
      <c r="B92" s="11" t="s">
        <v>189</v>
      </c>
      <c r="C92" s="11">
        <v>3</v>
      </c>
      <c r="D92" s="11">
        <v>1</v>
      </c>
      <c r="E92" s="11" t="s">
        <v>78</v>
      </c>
      <c r="F92" s="11" t="s">
        <v>101</v>
      </c>
      <c r="G92" s="12">
        <v>5.84</v>
      </c>
      <c r="H92" s="13">
        <v>107.6917808219178</v>
      </c>
      <c r="I92" s="11" t="s">
        <v>80</v>
      </c>
      <c r="J92" s="11" t="s">
        <v>37</v>
      </c>
      <c r="K92" s="7">
        <f>INDEX(Benchmark!$H$5:$H$807,MATCH(I92,Benchmark!$A$5:$A$807,0))</f>
        <v>110.9357798165138</v>
      </c>
      <c r="L92" s="14">
        <f t="shared" si="1"/>
        <v>-2.9242134503056905E-2</v>
      </c>
      <c r="M92" s="17">
        <f>IF(L92&gt;Benchmark!$B$2,1,IF(L92&lt;-Benchmark!$B$2,5,3))</f>
        <v>3</v>
      </c>
      <c r="N92" s="3" t="s">
        <v>31</v>
      </c>
    </row>
    <row r="93" spans="1:14" x14ac:dyDescent="0.35">
      <c r="A93" s="11" t="s">
        <v>11</v>
      </c>
      <c r="B93" s="11" t="s">
        <v>190</v>
      </c>
      <c r="C93" s="11">
        <v>3</v>
      </c>
      <c r="D93" s="11">
        <v>1</v>
      </c>
      <c r="E93" s="11" t="s">
        <v>78</v>
      </c>
      <c r="F93" s="11" t="s">
        <v>101</v>
      </c>
      <c r="G93" s="12">
        <v>3.91</v>
      </c>
      <c r="H93" s="13">
        <v>114.95652173913039</v>
      </c>
      <c r="I93" s="11" t="s">
        <v>80</v>
      </c>
      <c r="J93" s="11" t="s">
        <v>37</v>
      </c>
      <c r="K93" s="7">
        <f>INDEX(Benchmark!$H$5:$H$807,MATCH(I93,Benchmark!$A$5:$A$807,0))</f>
        <v>110.9357798165138</v>
      </c>
      <c r="L93" s="14">
        <f t="shared" si="1"/>
        <v>3.624386946453928E-2</v>
      </c>
      <c r="M93" s="17">
        <f>IF(L93&gt;Benchmark!$B$2,1,IF(L93&lt;-Benchmark!$B$2,5,3))</f>
        <v>3</v>
      </c>
      <c r="N93" s="3" t="s">
        <v>31</v>
      </c>
    </row>
    <row r="94" spans="1:14" x14ac:dyDescent="0.35">
      <c r="A94" s="11" t="s">
        <v>11</v>
      </c>
      <c r="B94" s="11" t="s">
        <v>191</v>
      </c>
      <c r="C94" s="11">
        <v>3</v>
      </c>
      <c r="D94" s="11">
        <v>2</v>
      </c>
      <c r="E94" s="11" t="s">
        <v>27</v>
      </c>
      <c r="F94" s="11" t="s">
        <v>147</v>
      </c>
      <c r="G94" s="12">
        <v>7.26</v>
      </c>
      <c r="H94" s="13">
        <v>92.179063360881543</v>
      </c>
      <c r="I94" s="11" t="s">
        <v>192</v>
      </c>
      <c r="J94" s="11" t="s">
        <v>30</v>
      </c>
      <c r="K94" s="7">
        <f>INDEX(Benchmark!$H$5:$H$807,MATCH(I94,Benchmark!$A$5:$A$807,0))</f>
        <v>111.5504885993485</v>
      </c>
      <c r="L94" s="14">
        <f t="shared" si="1"/>
        <v>-0.17365612183056001</v>
      </c>
      <c r="M94" s="15">
        <f>IF(L94&gt;Benchmark!$B$2,1,IF(L94&lt;-Benchmark!$B$2,5,3))</f>
        <v>5</v>
      </c>
      <c r="N94" s="3" t="s">
        <v>31</v>
      </c>
    </row>
    <row r="95" spans="1:14" x14ac:dyDescent="0.35">
      <c r="A95" s="11" t="s">
        <v>11</v>
      </c>
      <c r="B95" s="11" t="s">
        <v>193</v>
      </c>
      <c r="C95" s="11">
        <v>3</v>
      </c>
      <c r="D95" s="11">
        <v>2</v>
      </c>
      <c r="E95" s="11" t="s">
        <v>78</v>
      </c>
      <c r="F95" s="11" t="s">
        <v>182</v>
      </c>
      <c r="G95" s="12">
        <v>8.91</v>
      </c>
      <c r="H95" s="13">
        <v>92.552188552188554</v>
      </c>
      <c r="I95" s="11" t="s">
        <v>80</v>
      </c>
      <c r="J95" s="11" t="s">
        <v>37</v>
      </c>
      <c r="K95" s="7">
        <f>INDEX(Benchmark!$H$5:$H$807,MATCH(I95,Benchmark!$A$5:$A$807,0))</f>
        <v>110.9357798165138</v>
      </c>
      <c r="L95" s="14">
        <f t="shared" si="1"/>
        <v>-0.16571381473796321</v>
      </c>
      <c r="M95" s="15">
        <f>IF(L95&gt;Benchmark!$B$2,1,IF(L95&lt;-Benchmark!$B$2,5,3))</f>
        <v>5</v>
      </c>
      <c r="N95" s="3" t="s">
        <v>31</v>
      </c>
    </row>
    <row r="96" spans="1:14" x14ac:dyDescent="0.35">
      <c r="A96" s="11" t="s">
        <v>11</v>
      </c>
      <c r="B96" s="11" t="s">
        <v>194</v>
      </c>
      <c r="C96" s="11">
        <v>3</v>
      </c>
      <c r="D96" s="11">
        <v>4</v>
      </c>
      <c r="E96" s="11" t="s">
        <v>34</v>
      </c>
      <c r="F96" s="11" t="s">
        <v>131</v>
      </c>
      <c r="G96" s="12">
        <v>1.0900000000000001</v>
      </c>
      <c r="H96" s="13">
        <v>120.1284403669725</v>
      </c>
      <c r="I96" s="11" t="s">
        <v>36</v>
      </c>
      <c r="J96" s="11" t="s">
        <v>37</v>
      </c>
      <c r="K96" s="7">
        <f>INDEX(Benchmark!$H$5:$H$807,MATCH(I96,Benchmark!$A$5:$A$807,0))</f>
        <v>135.18231292517009</v>
      </c>
      <c r="L96" s="14">
        <f t="shared" si="1"/>
        <v>-0.11135977948927855</v>
      </c>
      <c r="M96" s="15">
        <f>IF(L96&gt;Benchmark!$B$2,1,IF(L96&lt;-Benchmark!$B$2,5,3))</f>
        <v>5</v>
      </c>
      <c r="N96" s="3" t="s">
        <v>31</v>
      </c>
    </row>
    <row r="97" spans="1:14" x14ac:dyDescent="0.35">
      <c r="A97" s="11" t="s">
        <v>11</v>
      </c>
      <c r="B97" s="11" t="s">
        <v>195</v>
      </c>
      <c r="C97" s="11">
        <v>3</v>
      </c>
      <c r="D97" s="11">
        <v>2</v>
      </c>
      <c r="E97" s="11" t="s">
        <v>78</v>
      </c>
      <c r="F97" s="11" t="s">
        <v>196</v>
      </c>
      <c r="G97" s="12">
        <v>9.24</v>
      </c>
      <c r="H97" s="13">
        <v>65.278138528138527</v>
      </c>
      <c r="I97" s="11" t="s">
        <v>80</v>
      </c>
      <c r="J97" s="11" t="s">
        <v>37</v>
      </c>
      <c r="K97" s="7">
        <f>INDEX(Benchmark!$H$5:$H$807,MATCH(I97,Benchmark!$A$5:$A$807,0))</f>
        <v>110.9357798165138</v>
      </c>
      <c r="L97" s="14">
        <f t="shared" si="1"/>
        <v>-0.41156821869276405</v>
      </c>
      <c r="M97" s="15">
        <f>IF(L97&gt;Benchmark!$B$2,1,IF(L97&lt;-Benchmark!$B$2,5,3))</f>
        <v>5</v>
      </c>
      <c r="N97" s="3" t="s">
        <v>31</v>
      </c>
    </row>
    <row r="98" spans="1:14" x14ac:dyDescent="0.35">
      <c r="A98" s="11" t="s">
        <v>11</v>
      </c>
      <c r="B98" s="11" t="s">
        <v>197</v>
      </c>
      <c r="C98" s="11">
        <v>3</v>
      </c>
      <c r="D98" s="11">
        <v>9</v>
      </c>
      <c r="E98" s="11" t="s">
        <v>198</v>
      </c>
      <c r="F98" s="11" t="s">
        <v>43</v>
      </c>
      <c r="G98" s="12">
        <v>6.22</v>
      </c>
      <c r="H98" s="13">
        <v>87.689710610932494</v>
      </c>
      <c r="I98" s="11" t="s">
        <v>199</v>
      </c>
      <c r="J98" s="11" t="s">
        <v>30</v>
      </c>
      <c r="K98" s="7">
        <f>INDEX(Benchmark!$H$5:$H$807,MATCH(I98,Benchmark!$A$5:$A$807,0))</f>
        <v>100.40672268907559</v>
      </c>
      <c r="L98" s="14">
        <f t="shared" si="1"/>
        <v>-0.12665498621564641</v>
      </c>
      <c r="M98" s="15">
        <f>IF(L98&gt;Benchmark!$B$2,1,IF(L98&lt;-Benchmark!$B$2,5,3))</f>
        <v>5</v>
      </c>
      <c r="N98" s="3" t="s">
        <v>31</v>
      </c>
    </row>
    <row r="99" spans="1:14" x14ac:dyDescent="0.35">
      <c r="A99" s="11" t="s">
        <v>11</v>
      </c>
      <c r="B99" s="11" t="s">
        <v>200</v>
      </c>
      <c r="C99" s="11">
        <v>3</v>
      </c>
      <c r="D99" s="11">
        <v>2</v>
      </c>
      <c r="E99" s="11" t="s">
        <v>78</v>
      </c>
      <c r="F99" s="11" t="s">
        <v>43</v>
      </c>
      <c r="G99" s="12">
        <v>1</v>
      </c>
      <c r="H99" s="13">
        <v>97.65</v>
      </c>
      <c r="I99" s="11" t="s">
        <v>80</v>
      </c>
      <c r="J99" s="11" t="s">
        <v>37</v>
      </c>
      <c r="K99" s="7">
        <f>INDEX(Benchmark!$H$5:$H$807,MATCH(I99,Benchmark!$A$5:$A$807,0))</f>
        <v>110.9357798165138</v>
      </c>
      <c r="L99" s="14">
        <f t="shared" si="1"/>
        <v>-0.11976099900760862</v>
      </c>
      <c r="M99" s="15">
        <f>IF(L99&gt;Benchmark!$B$2,1,IF(L99&lt;-Benchmark!$B$2,5,3))</f>
        <v>5</v>
      </c>
      <c r="N99" s="3" t="s">
        <v>31</v>
      </c>
    </row>
    <row r="100" spans="1:14" x14ac:dyDescent="0.35">
      <c r="A100" s="11" t="s">
        <v>11</v>
      </c>
      <c r="B100" s="11" t="s">
        <v>201</v>
      </c>
      <c r="C100" s="11">
        <v>3</v>
      </c>
      <c r="D100" s="11">
        <v>2</v>
      </c>
      <c r="E100" s="11" t="s">
        <v>78</v>
      </c>
      <c r="F100" s="11" t="s">
        <v>43</v>
      </c>
      <c r="G100" s="12">
        <v>7.62</v>
      </c>
      <c r="H100" s="13">
        <v>81.461942257217842</v>
      </c>
      <c r="I100" s="11" t="s">
        <v>80</v>
      </c>
      <c r="J100" s="11" t="s">
        <v>37</v>
      </c>
      <c r="K100" s="7">
        <f>INDEX(Benchmark!$H$5:$H$807,MATCH(I100,Benchmark!$A$5:$A$807,0))</f>
        <v>110.9357798165138</v>
      </c>
      <c r="L100" s="14">
        <f t="shared" si="1"/>
        <v>-0.26568378216699129</v>
      </c>
      <c r="M100" s="15">
        <f>IF(L100&gt;Benchmark!$B$2,1,IF(L100&lt;-Benchmark!$B$2,5,3))</f>
        <v>5</v>
      </c>
      <c r="N100" s="3" t="s">
        <v>31</v>
      </c>
    </row>
    <row r="101" spans="1:14" x14ac:dyDescent="0.35">
      <c r="A101" s="11" t="s">
        <v>11</v>
      </c>
      <c r="B101" s="11" t="s">
        <v>202</v>
      </c>
      <c r="C101" s="11">
        <v>3</v>
      </c>
      <c r="D101" s="11">
        <v>5</v>
      </c>
      <c r="E101" s="11" t="s">
        <v>104</v>
      </c>
      <c r="F101" s="11" t="s">
        <v>203</v>
      </c>
      <c r="G101" s="12">
        <v>6.88</v>
      </c>
      <c r="H101" s="13">
        <v>109.469476744186</v>
      </c>
      <c r="I101" s="11" t="s">
        <v>204</v>
      </c>
      <c r="J101" s="11" t="s">
        <v>37</v>
      </c>
      <c r="K101" s="7">
        <f>INDEX(Benchmark!$H$5:$H$807,MATCH(I101,Benchmark!$A$5:$A$807,0))</f>
        <v>103.0479080166081</v>
      </c>
      <c r="L101" s="14">
        <f t="shared" si="1"/>
        <v>6.231634247774287E-2</v>
      </c>
      <c r="M101" s="16">
        <f>IF(L101&gt;Benchmark!$B$2,1,IF(L101&lt;-Benchmark!$B$2,5,3))</f>
        <v>1</v>
      </c>
      <c r="N101" s="3" t="s">
        <v>31</v>
      </c>
    </row>
    <row r="102" spans="1:14" x14ac:dyDescent="0.35">
      <c r="A102" s="11" t="s">
        <v>11</v>
      </c>
      <c r="B102" s="11" t="s">
        <v>205</v>
      </c>
      <c r="C102" s="11">
        <v>3</v>
      </c>
      <c r="D102" s="11">
        <v>4</v>
      </c>
      <c r="E102" s="11" t="s">
        <v>104</v>
      </c>
      <c r="F102" s="11" t="s">
        <v>93</v>
      </c>
      <c r="G102" s="12">
        <v>15.17</v>
      </c>
      <c r="H102" s="13">
        <v>71.825972313777186</v>
      </c>
      <c r="I102" s="11" t="s">
        <v>179</v>
      </c>
      <c r="J102" s="11" t="s">
        <v>30</v>
      </c>
      <c r="K102" s="7">
        <f>INDEX(Benchmark!$H$5:$H$807,MATCH(I102,Benchmark!$A$5:$A$807,0))</f>
        <v>82.615094339622644</v>
      </c>
      <c r="L102" s="14">
        <f t="shared" si="1"/>
        <v>-0.13059504576115866</v>
      </c>
      <c r="M102" s="15">
        <f>IF(L102&gt;Benchmark!$B$2,1,IF(L102&lt;-Benchmark!$B$2,5,3))</f>
        <v>5</v>
      </c>
      <c r="N102" s="3" t="s">
        <v>31</v>
      </c>
    </row>
    <row r="103" spans="1:14" x14ac:dyDescent="0.35">
      <c r="A103" s="11" t="s">
        <v>11</v>
      </c>
      <c r="B103" s="11" t="s">
        <v>206</v>
      </c>
      <c r="C103" s="11">
        <v>3</v>
      </c>
      <c r="D103" s="11">
        <v>4</v>
      </c>
      <c r="E103" s="11" t="s">
        <v>104</v>
      </c>
      <c r="F103" s="11" t="s">
        <v>93</v>
      </c>
      <c r="G103" s="12">
        <v>2.9</v>
      </c>
      <c r="H103" s="13">
        <v>55.720689655172407</v>
      </c>
      <c r="I103" s="11" t="s">
        <v>179</v>
      </c>
      <c r="J103" s="11" t="s">
        <v>30</v>
      </c>
      <c r="K103" s="7">
        <f>INDEX(Benchmark!$H$5:$H$807,MATCH(I103,Benchmark!$A$5:$A$807,0))</f>
        <v>82.615094339622644</v>
      </c>
      <c r="L103" s="14">
        <f t="shared" si="1"/>
        <v>-0.32553863067552702</v>
      </c>
      <c r="M103" s="15">
        <f>IF(L103&gt;Benchmark!$B$2,1,IF(L103&lt;-Benchmark!$B$2,5,3))</f>
        <v>5</v>
      </c>
      <c r="N103" s="3" t="s">
        <v>31</v>
      </c>
    </row>
    <row r="104" spans="1:14" x14ac:dyDescent="0.35">
      <c r="A104" s="11" t="s">
        <v>11</v>
      </c>
      <c r="B104" s="11" t="s">
        <v>207</v>
      </c>
      <c r="C104" s="11">
        <v>3</v>
      </c>
      <c r="D104" s="11">
        <v>4</v>
      </c>
      <c r="E104" s="11" t="s">
        <v>27</v>
      </c>
      <c r="F104" s="11" t="s">
        <v>43</v>
      </c>
      <c r="G104" s="12">
        <v>3.5</v>
      </c>
      <c r="H104" s="13">
        <v>84.397142857142853</v>
      </c>
      <c r="I104" s="11" t="s">
        <v>44</v>
      </c>
      <c r="J104" s="11" t="s">
        <v>30</v>
      </c>
      <c r="K104" s="7">
        <f>INDEX(Benchmark!$H$5:$H$807,MATCH(I104,Benchmark!$A$5:$A$807,0))</f>
        <v>118.6146621100209</v>
      </c>
      <c r="L104" s="14">
        <f t="shared" si="1"/>
        <v>-0.28847630338599817</v>
      </c>
      <c r="M104" s="15">
        <f>IF(L104&gt;Benchmark!$B$2,1,IF(L104&lt;-Benchmark!$B$2,5,3))</f>
        <v>5</v>
      </c>
      <c r="N104" s="3" t="s">
        <v>31</v>
      </c>
    </row>
    <row r="105" spans="1:14" x14ac:dyDescent="0.35">
      <c r="A105" s="11" t="s">
        <v>11</v>
      </c>
      <c r="B105" s="11" t="s">
        <v>208</v>
      </c>
      <c r="C105" s="11">
        <v>3</v>
      </c>
      <c r="D105" s="11">
        <v>10</v>
      </c>
      <c r="E105" s="11" t="s">
        <v>198</v>
      </c>
      <c r="F105" s="11" t="s">
        <v>93</v>
      </c>
      <c r="G105" s="12">
        <v>17.63</v>
      </c>
      <c r="H105" s="13">
        <v>70.698808848553611</v>
      </c>
      <c r="I105" s="11" t="s">
        <v>209</v>
      </c>
      <c r="J105" s="11" t="s">
        <v>30</v>
      </c>
      <c r="K105" s="7">
        <f>INDEX(Benchmark!$H$5:$H$807,MATCH(I105,Benchmark!$A$5:$A$807,0))</f>
        <v>81.181779661016947</v>
      </c>
      <c r="L105" s="14">
        <f t="shared" si="1"/>
        <v>-0.12912960095523995</v>
      </c>
      <c r="M105" s="15">
        <f>IF(L105&gt;Benchmark!$B$2,1,IF(L105&lt;-Benchmark!$B$2,5,3))</f>
        <v>5</v>
      </c>
      <c r="N105" s="3" t="s">
        <v>31</v>
      </c>
    </row>
    <row r="106" spans="1:14" x14ac:dyDescent="0.35">
      <c r="A106" s="11" t="s">
        <v>11</v>
      </c>
      <c r="B106" s="11" t="s">
        <v>210</v>
      </c>
      <c r="C106" s="11">
        <v>3</v>
      </c>
      <c r="D106" s="11">
        <v>3</v>
      </c>
      <c r="E106" s="11" t="s">
        <v>104</v>
      </c>
      <c r="F106" s="11" t="s">
        <v>93</v>
      </c>
      <c r="G106" s="12">
        <v>11.28</v>
      </c>
      <c r="H106" s="13">
        <v>99.848404255319153</v>
      </c>
      <c r="I106" s="11" t="s">
        <v>179</v>
      </c>
      <c r="J106" s="11" t="s">
        <v>30</v>
      </c>
      <c r="K106" s="7">
        <f>INDEX(Benchmark!$H$5:$H$807,MATCH(I106,Benchmark!$A$5:$A$807,0))</f>
        <v>82.615094339622644</v>
      </c>
      <c r="L106" s="14">
        <f t="shared" si="1"/>
        <v>0.20859759410129142</v>
      </c>
      <c r="M106" s="16">
        <f>IF(L106&gt;Benchmark!$B$2,1,IF(L106&lt;-Benchmark!$B$2,5,3))</f>
        <v>1</v>
      </c>
      <c r="N106" s="3" t="s">
        <v>31</v>
      </c>
    </row>
    <row r="107" spans="1:14" x14ac:dyDescent="0.35">
      <c r="A107" s="11" t="s">
        <v>11</v>
      </c>
      <c r="B107" s="11" t="s">
        <v>211</v>
      </c>
      <c r="C107" s="11">
        <v>3</v>
      </c>
      <c r="D107" s="11">
        <v>3</v>
      </c>
      <c r="E107" s="11" t="s">
        <v>27</v>
      </c>
      <c r="F107" s="11" t="s">
        <v>122</v>
      </c>
      <c r="G107" s="12">
        <v>17.25</v>
      </c>
      <c r="H107" s="13">
        <v>131.3089855072464</v>
      </c>
      <c r="I107" s="11" t="s">
        <v>126</v>
      </c>
      <c r="J107" s="11" t="s">
        <v>30</v>
      </c>
      <c r="K107" s="7">
        <f>INDEX(Benchmark!$H$5:$H$807,MATCH(I107,Benchmark!$A$5:$A$807,0))</f>
        <v>124.5931034482759</v>
      </c>
      <c r="L107" s="14">
        <f t="shared" si="1"/>
        <v>5.3902518462898508E-2</v>
      </c>
      <c r="M107" s="16">
        <f>IF(L107&gt;Benchmark!$B$2,1,IF(L107&lt;-Benchmark!$B$2,5,3))</f>
        <v>1</v>
      </c>
      <c r="N107" s="3" t="s">
        <v>31</v>
      </c>
    </row>
    <row r="108" spans="1:14" x14ac:dyDescent="0.35">
      <c r="A108" s="11" t="s">
        <v>11</v>
      </c>
      <c r="B108" s="11" t="s">
        <v>212</v>
      </c>
      <c r="C108" s="11">
        <v>3</v>
      </c>
      <c r="D108" s="11">
        <v>1</v>
      </c>
      <c r="E108" s="11" t="s">
        <v>34</v>
      </c>
      <c r="F108" s="11" t="s">
        <v>84</v>
      </c>
      <c r="G108" s="12">
        <v>4.04</v>
      </c>
      <c r="H108" s="13">
        <v>144.019801980198</v>
      </c>
      <c r="I108" s="11" t="s">
        <v>96</v>
      </c>
      <c r="J108" s="11" t="s">
        <v>30</v>
      </c>
      <c r="K108" s="7">
        <f>INDEX(Benchmark!$H$5:$H$807,MATCH(I108,Benchmark!$A$5:$A$807,0))</f>
        <v>126.5322222222222</v>
      </c>
      <c r="L108" s="14">
        <f t="shared" si="1"/>
        <v>0.13820653309370656</v>
      </c>
      <c r="M108" s="16">
        <f>IF(L108&gt;Benchmark!$B$2,1,IF(L108&lt;-Benchmark!$B$2,5,3))</f>
        <v>1</v>
      </c>
      <c r="N108" s="3" t="s">
        <v>31</v>
      </c>
    </row>
    <row r="109" spans="1:14" x14ac:dyDescent="0.35">
      <c r="A109" s="11" t="s">
        <v>11</v>
      </c>
      <c r="B109" s="11" t="s">
        <v>213</v>
      </c>
      <c r="C109" s="11">
        <v>4</v>
      </c>
      <c r="D109" s="11">
        <v>4</v>
      </c>
      <c r="E109" s="11" t="s">
        <v>27</v>
      </c>
      <c r="F109" s="11" t="s">
        <v>28</v>
      </c>
      <c r="G109" s="12">
        <v>15.59</v>
      </c>
      <c r="H109" s="13">
        <v>126.2636305323926</v>
      </c>
      <c r="I109" s="11" t="s">
        <v>29</v>
      </c>
      <c r="J109" s="11" t="s">
        <v>30</v>
      </c>
      <c r="K109" s="7">
        <f>INDEX(Benchmark!$H$5:$H$807,MATCH(I109,Benchmark!$A$5:$A$807,0))</f>
        <v>129.66292797447881</v>
      </c>
      <c r="L109" s="14">
        <f t="shared" si="1"/>
        <v>-2.6216417407721071E-2</v>
      </c>
      <c r="M109" s="17">
        <f>IF(L109&gt;Benchmark!$B$2,1,IF(L109&lt;-Benchmark!$B$2,5,3))</f>
        <v>3</v>
      </c>
      <c r="N109" s="3" t="s">
        <v>31</v>
      </c>
    </row>
    <row r="110" spans="1:14" x14ac:dyDescent="0.35">
      <c r="A110" s="11" t="s">
        <v>11</v>
      </c>
      <c r="B110" s="11" t="s">
        <v>214</v>
      </c>
      <c r="C110" s="11">
        <v>4</v>
      </c>
      <c r="D110" s="11">
        <v>3</v>
      </c>
      <c r="E110" s="11" t="s">
        <v>27</v>
      </c>
      <c r="F110" s="11" t="s">
        <v>84</v>
      </c>
      <c r="G110" s="12">
        <v>7.18</v>
      </c>
      <c r="H110" s="13">
        <v>96.937325905292482</v>
      </c>
      <c r="I110" s="11" t="s">
        <v>154</v>
      </c>
      <c r="J110" s="11" t="s">
        <v>30</v>
      </c>
      <c r="K110" s="7">
        <f>INDEX(Benchmark!$H$5:$H$807,MATCH(I110,Benchmark!$A$5:$A$807,0))</f>
        <v>125.7999199629302</v>
      </c>
      <c r="L110" s="14">
        <f t="shared" si="1"/>
        <v>-0.22943253116649631</v>
      </c>
      <c r="M110" s="15">
        <f>IF(L110&gt;Benchmark!$B$2,1,IF(L110&lt;-Benchmark!$B$2,5,3))</f>
        <v>5</v>
      </c>
      <c r="N110" s="3" t="s">
        <v>31</v>
      </c>
    </row>
    <row r="111" spans="1:14" x14ac:dyDescent="0.35">
      <c r="A111" s="11" t="s">
        <v>11</v>
      </c>
      <c r="B111" s="11" t="s">
        <v>215</v>
      </c>
      <c r="C111" s="11">
        <v>4</v>
      </c>
      <c r="D111" s="11">
        <v>6</v>
      </c>
      <c r="E111" s="11" t="s">
        <v>27</v>
      </c>
      <c r="F111" s="11" t="s">
        <v>99</v>
      </c>
      <c r="G111" s="12">
        <v>12.22</v>
      </c>
      <c r="H111" s="13">
        <v>97.509819967266765</v>
      </c>
      <c r="I111" s="11" t="s">
        <v>216</v>
      </c>
      <c r="J111" s="11" t="s">
        <v>30</v>
      </c>
      <c r="K111" s="7">
        <f>INDEX(Benchmark!$H$5:$H$807,MATCH(I111,Benchmark!$A$5:$A$807,0))</f>
        <v>102.78741883116879</v>
      </c>
      <c r="L111" s="14">
        <f t="shared" si="1"/>
        <v>-5.1344794177297426E-2</v>
      </c>
      <c r="M111" s="15">
        <f>IF(L111&gt;Benchmark!$B$2,1,IF(L111&lt;-Benchmark!$B$2,5,3))</f>
        <v>5</v>
      </c>
      <c r="N111" s="3" t="s">
        <v>31</v>
      </c>
    </row>
    <row r="112" spans="1:14" x14ac:dyDescent="0.35">
      <c r="A112" s="11" t="s">
        <v>11</v>
      </c>
      <c r="B112" s="11" t="s">
        <v>217</v>
      </c>
      <c r="C112" s="11">
        <v>4</v>
      </c>
      <c r="D112" s="11">
        <v>2</v>
      </c>
      <c r="E112" s="11" t="s">
        <v>88</v>
      </c>
      <c r="F112" s="11" t="s">
        <v>107</v>
      </c>
      <c r="G112" s="12">
        <v>1.36</v>
      </c>
      <c r="H112" s="13">
        <v>69.522058823529406</v>
      </c>
      <c r="I112" s="11" t="s">
        <v>218</v>
      </c>
      <c r="J112" s="11" t="s">
        <v>37</v>
      </c>
      <c r="K112" s="7">
        <f>INDEX(Benchmark!$H$5:$H$807,MATCH(I112,Benchmark!$A$5:$A$807,0))</f>
        <v>110.4166666666667</v>
      </c>
      <c r="L112" s="14">
        <f t="shared" si="1"/>
        <v>-0.370366259711432</v>
      </c>
      <c r="M112" s="15">
        <f>IF(L112&gt;Benchmark!$B$2,1,IF(L112&lt;-Benchmark!$B$2,5,3))</f>
        <v>5</v>
      </c>
      <c r="N112" s="3" t="s">
        <v>31</v>
      </c>
    </row>
    <row r="113" spans="1:14" x14ac:dyDescent="0.35">
      <c r="A113" s="11" t="s">
        <v>11</v>
      </c>
      <c r="B113" s="11" t="s">
        <v>219</v>
      </c>
      <c r="C113" s="11">
        <v>4</v>
      </c>
      <c r="D113" s="11">
        <v>6</v>
      </c>
      <c r="E113" s="11" t="s">
        <v>104</v>
      </c>
      <c r="F113" s="11" t="s">
        <v>220</v>
      </c>
      <c r="G113" s="12">
        <v>0.5</v>
      </c>
      <c r="H113" s="13">
        <v>57.32</v>
      </c>
      <c r="I113" s="11" t="s">
        <v>221</v>
      </c>
      <c r="J113" s="11" t="s">
        <v>30</v>
      </c>
      <c r="K113" s="7">
        <f>INDEX(Benchmark!$H$5:$H$807,MATCH(I113,Benchmark!$A$5:$A$807,0))</f>
        <v>97.564897959183682</v>
      </c>
      <c r="L113" s="14">
        <f t="shared" si="1"/>
        <v>-0.41249362015445501</v>
      </c>
      <c r="M113" s="15">
        <f>IF(L113&gt;Benchmark!$B$2,1,IF(L113&lt;-Benchmark!$B$2,5,3))</f>
        <v>5</v>
      </c>
      <c r="N113" s="3" t="s">
        <v>31</v>
      </c>
    </row>
    <row r="114" spans="1:14" x14ac:dyDescent="0.35">
      <c r="A114" s="11" t="s">
        <v>11</v>
      </c>
      <c r="B114" s="11" t="s">
        <v>222</v>
      </c>
      <c r="C114" s="11">
        <v>4</v>
      </c>
      <c r="D114" s="11">
        <v>6</v>
      </c>
      <c r="E114" s="11" t="s">
        <v>104</v>
      </c>
      <c r="F114" s="11" t="s">
        <v>220</v>
      </c>
      <c r="G114" s="12">
        <v>0.79</v>
      </c>
      <c r="H114" s="13">
        <v>105.5696202531646</v>
      </c>
      <c r="I114" s="11" t="s">
        <v>221</v>
      </c>
      <c r="J114" s="11" t="s">
        <v>30</v>
      </c>
      <c r="K114" s="7">
        <f>INDEX(Benchmark!$H$5:$H$807,MATCH(I114,Benchmark!$A$5:$A$807,0))</f>
        <v>97.564897959183682</v>
      </c>
      <c r="L114" s="14">
        <f t="shared" si="1"/>
        <v>8.2045104965206894E-2</v>
      </c>
      <c r="M114" s="16">
        <f>IF(L114&gt;Benchmark!$B$2,1,IF(L114&lt;-Benchmark!$B$2,5,3))</f>
        <v>1</v>
      </c>
      <c r="N114" s="3" t="s">
        <v>31</v>
      </c>
    </row>
    <row r="115" spans="1:14" x14ac:dyDescent="0.35">
      <c r="A115" s="11" t="s">
        <v>11</v>
      </c>
      <c r="B115" s="11" t="s">
        <v>223</v>
      </c>
      <c r="C115" s="11">
        <v>4</v>
      </c>
      <c r="D115" s="11">
        <v>1</v>
      </c>
      <c r="E115" s="11" t="s">
        <v>78</v>
      </c>
      <c r="F115" s="11" t="s">
        <v>220</v>
      </c>
      <c r="G115" s="12">
        <v>4.78</v>
      </c>
      <c r="H115" s="13">
        <v>90.543933054393307</v>
      </c>
      <c r="I115" s="11" t="s">
        <v>80</v>
      </c>
      <c r="J115" s="11" t="s">
        <v>37</v>
      </c>
      <c r="K115" s="7">
        <f>INDEX(Benchmark!$H$5:$H$807,MATCH(I115,Benchmark!$A$5:$A$807,0))</f>
        <v>110.9357798165138</v>
      </c>
      <c r="L115" s="14">
        <f t="shared" si="1"/>
        <v>-0.18381668020766895</v>
      </c>
      <c r="M115" s="15">
        <f>IF(L115&gt;Benchmark!$B$2,1,IF(L115&lt;-Benchmark!$B$2,5,3))</f>
        <v>5</v>
      </c>
      <c r="N115" s="3" t="s">
        <v>31</v>
      </c>
    </row>
    <row r="116" spans="1:14" x14ac:dyDescent="0.35">
      <c r="A116" s="11" t="s">
        <v>11</v>
      </c>
      <c r="B116" s="11" t="s">
        <v>224</v>
      </c>
      <c r="C116" s="11">
        <v>4</v>
      </c>
      <c r="D116" s="11">
        <v>6</v>
      </c>
      <c r="E116" s="11" t="s">
        <v>156</v>
      </c>
      <c r="F116" s="11" t="s">
        <v>220</v>
      </c>
      <c r="G116" s="12">
        <v>18.52</v>
      </c>
      <c r="H116" s="13">
        <v>86.949244060475166</v>
      </c>
      <c r="I116" s="11" t="s">
        <v>225</v>
      </c>
      <c r="J116" s="11" t="s">
        <v>30</v>
      </c>
      <c r="K116" s="7">
        <f>INDEX(Benchmark!$H$5:$H$807,MATCH(I116,Benchmark!$A$5:$A$807,0))</f>
        <v>96.843952483801289</v>
      </c>
      <c r="L116" s="14">
        <f t="shared" si="1"/>
        <v>-0.10217167070892907</v>
      </c>
      <c r="M116" s="15">
        <f>IF(L116&gt;Benchmark!$B$2,1,IF(L116&lt;-Benchmark!$B$2,5,3))</f>
        <v>5</v>
      </c>
      <c r="N116" s="3" t="s">
        <v>31</v>
      </c>
    </row>
    <row r="117" spans="1:14" x14ac:dyDescent="0.35">
      <c r="A117" s="11" t="s">
        <v>11</v>
      </c>
      <c r="B117" s="11" t="s">
        <v>226</v>
      </c>
      <c r="C117" s="11">
        <v>4</v>
      </c>
      <c r="D117" s="11">
        <v>7</v>
      </c>
      <c r="E117" s="11" t="s">
        <v>156</v>
      </c>
      <c r="F117" s="11" t="s">
        <v>43</v>
      </c>
      <c r="G117" s="12">
        <v>12.47</v>
      </c>
      <c r="H117" s="13">
        <v>70.712910986367277</v>
      </c>
      <c r="I117" s="11" t="s">
        <v>227</v>
      </c>
      <c r="J117" s="11" t="s">
        <v>30</v>
      </c>
      <c r="K117" s="7">
        <f>INDEX(Benchmark!$H$5:$H$807,MATCH(I117,Benchmark!$A$5:$A$807,0))</f>
        <v>106.9290263876251</v>
      </c>
      <c r="L117" s="14">
        <f t="shared" si="1"/>
        <v>-0.33869302494134668</v>
      </c>
      <c r="M117" s="15">
        <f>IF(L117&gt;Benchmark!$B$2,1,IF(L117&lt;-Benchmark!$B$2,5,3))</f>
        <v>5</v>
      </c>
      <c r="N117" s="3" t="s">
        <v>31</v>
      </c>
    </row>
    <row r="118" spans="1:14" x14ac:dyDescent="0.35">
      <c r="A118" s="11" t="s">
        <v>11</v>
      </c>
      <c r="B118" s="11" t="s">
        <v>228</v>
      </c>
      <c r="C118" s="11">
        <v>4</v>
      </c>
      <c r="D118" s="11">
        <v>1</v>
      </c>
      <c r="E118" s="11" t="s">
        <v>78</v>
      </c>
      <c r="F118" s="11" t="s">
        <v>186</v>
      </c>
      <c r="G118" s="12">
        <v>3.25</v>
      </c>
      <c r="H118" s="13">
        <v>95.541538461538465</v>
      </c>
      <c r="I118" s="11" t="s">
        <v>80</v>
      </c>
      <c r="J118" s="11" t="s">
        <v>37</v>
      </c>
      <c r="K118" s="7">
        <f>INDEX(Benchmark!$H$5:$H$807,MATCH(I118,Benchmark!$A$5:$A$807,0))</f>
        <v>110.9357798165138</v>
      </c>
      <c r="L118" s="14">
        <f t="shared" si="1"/>
        <v>-0.13876714420214287</v>
      </c>
      <c r="M118" s="15">
        <f>IF(L118&gt;Benchmark!$B$2,1,IF(L118&lt;-Benchmark!$B$2,5,3))</f>
        <v>5</v>
      </c>
      <c r="N118" s="3" t="s">
        <v>31</v>
      </c>
    </row>
    <row r="119" spans="1:14" x14ac:dyDescent="0.35">
      <c r="A119" s="11" t="s">
        <v>11</v>
      </c>
      <c r="B119" s="11" t="s">
        <v>229</v>
      </c>
      <c r="C119" s="11">
        <v>4</v>
      </c>
      <c r="D119" s="11">
        <v>1</v>
      </c>
      <c r="E119" s="11" t="s">
        <v>78</v>
      </c>
      <c r="F119" s="11" t="s">
        <v>230</v>
      </c>
      <c r="G119" s="12">
        <v>5.29</v>
      </c>
      <c r="H119" s="13">
        <v>101.6635160680529</v>
      </c>
      <c r="I119" s="11" t="s">
        <v>80</v>
      </c>
      <c r="J119" s="11" t="s">
        <v>37</v>
      </c>
      <c r="K119" s="7">
        <f>INDEX(Benchmark!$H$5:$H$807,MATCH(I119,Benchmark!$A$5:$A$807,0))</f>
        <v>110.9357798165138</v>
      </c>
      <c r="L119" s="14">
        <f t="shared" si="1"/>
        <v>-8.3582265016724944E-2</v>
      </c>
      <c r="M119" s="15">
        <f>IF(L119&gt;Benchmark!$B$2,1,IF(L119&lt;-Benchmark!$B$2,5,3))</f>
        <v>5</v>
      </c>
      <c r="N119" s="3" t="s">
        <v>31</v>
      </c>
    </row>
    <row r="120" spans="1:14" x14ac:dyDescent="0.35">
      <c r="A120" s="11" t="s">
        <v>11</v>
      </c>
      <c r="B120" s="11" t="s">
        <v>231</v>
      </c>
      <c r="C120" s="11">
        <v>4</v>
      </c>
      <c r="D120" s="11">
        <v>3</v>
      </c>
      <c r="E120" s="11" t="s">
        <v>48</v>
      </c>
      <c r="F120" s="11" t="s">
        <v>28</v>
      </c>
      <c r="G120" s="12">
        <v>0.7</v>
      </c>
      <c r="H120" s="13">
        <v>119.0857142857143</v>
      </c>
      <c r="I120" s="11" t="s">
        <v>232</v>
      </c>
      <c r="J120" s="11" t="s">
        <v>30</v>
      </c>
      <c r="K120" s="7">
        <f>INDEX(Benchmark!$H$5:$H$807,MATCH(I120,Benchmark!$A$5:$A$807,0))</f>
        <v>132.08750000000001</v>
      </c>
      <c r="L120" s="14">
        <f t="shared" si="1"/>
        <v>-9.8433127391204356E-2</v>
      </c>
      <c r="M120" s="15">
        <f>IF(L120&gt;Benchmark!$B$2,1,IF(L120&lt;-Benchmark!$B$2,5,3))</f>
        <v>5</v>
      </c>
      <c r="N120" s="3" t="s">
        <v>31</v>
      </c>
    </row>
    <row r="121" spans="1:14" x14ac:dyDescent="0.35">
      <c r="A121" s="11" t="s">
        <v>11</v>
      </c>
      <c r="B121" s="11" t="s">
        <v>233</v>
      </c>
      <c r="C121" s="11">
        <v>4</v>
      </c>
      <c r="D121" s="11">
        <v>1</v>
      </c>
      <c r="E121" s="11" t="s">
        <v>78</v>
      </c>
      <c r="F121" s="11" t="s">
        <v>54</v>
      </c>
      <c r="G121" s="12">
        <v>0.5</v>
      </c>
      <c r="H121" s="13">
        <v>177.26</v>
      </c>
      <c r="I121" s="11" t="s">
        <v>80</v>
      </c>
      <c r="J121" s="11" t="s">
        <v>37</v>
      </c>
      <c r="K121" s="7">
        <f>INDEX(Benchmark!$H$5:$H$807,MATCH(I121,Benchmark!$A$5:$A$807,0))</f>
        <v>110.9357798165138</v>
      </c>
      <c r="L121" s="14">
        <f t="shared" si="1"/>
        <v>0.59786139596427335</v>
      </c>
      <c r="M121" s="16">
        <f>IF(L121&gt;Benchmark!$B$2,1,IF(L121&lt;-Benchmark!$B$2,5,3))</f>
        <v>1</v>
      </c>
      <c r="N121" s="3" t="s">
        <v>31</v>
      </c>
    </row>
    <row r="122" spans="1:14" x14ac:dyDescent="0.35">
      <c r="A122" s="11" t="s">
        <v>11</v>
      </c>
      <c r="B122" s="11" t="s">
        <v>234</v>
      </c>
      <c r="C122" s="11">
        <v>4</v>
      </c>
      <c r="D122" s="11">
        <v>10</v>
      </c>
      <c r="E122" s="11" t="s">
        <v>198</v>
      </c>
      <c r="F122" s="11" t="s">
        <v>93</v>
      </c>
      <c r="G122" s="12">
        <v>18.690000000000001</v>
      </c>
      <c r="H122" s="13">
        <v>49.996789727126803</v>
      </c>
      <c r="I122" s="11" t="s">
        <v>209</v>
      </c>
      <c r="J122" s="11" t="s">
        <v>30</v>
      </c>
      <c r="K122" s="7">
        <f>INDEX(Benchmark!$H$5:$H$807,MATCH(I122,Benchmark!$A$5:$A$807,0))</f>
        <v>81.181779661016947</v>
      </c>
      <c r="L122" s="14">
        <f t="shared" si="1"/>
        <v>-0.38413779624081101</v>
      </c>
      <c r="M122" s="15">
        <f>IF(L122&gt;Benchmark!$B$2,1,IF(L122&lt;-Benchmark!$B$2,5,3))</f>
        <v>5</v>
      </c>
      <c r="N122" s="3" t="s">
        <v>31</v>
      </c>
    </row>
    <row r="123" spans="1:14" x14ac:dyDescent="0.35">
      <c r="A123" s="11" t="s">
        <v>11</v>
      </c>
      <c r="B123" s="11" t="s">
        <v>235</v>
      </c>
      <c r="C123" s="11">
        <v>4</v>
      </c>
      <c r="D123" s="11">
        <v>10</v>
      </c>
      <c r="E123" s="11" t="s">
        <v>198</v>
      </c>
      <c r="F123" s="11" t="s">
        <v>93</v>
      </c>
      <c r="G123" s="12">
        <v>11.1</v>
      </c>
      <c r="H123" s="13">
        <v>49.601801801801813</v>
      </c>
      <c r="I123" s="11" t="s">
        <v>209</v>
      </c>
      <c r="J123" s="11" t="s">
        <v>30</v>
      </c>
      <c r="K123" s="7">
        <f>INDEX(Benchmark!$H$5:$H$807,MATCH(I123,Benchmark!$A$5:$A$807,0))</f>
        <v>81.181779661016947</v>
      </c>
      <c r="L123" s="14">
        <f t="shared" si="1"/>
        <v>-0.38900327131384227</v>
      </c>
      <c r="M123" s="15">
        <f>IF(L123&gt;Benchmark!$B$2,1,IF(L123&lt;-Benchmark!$B$2,5,3))</f>
        <v>5</v>
      </c>
      <c r="N123" s="3" t="s">
        <v>31</v>
      </c>
    </row>
    <row r="124" spans="1:14" x14ac:dyDescent="0.35">
      <c r="A124" s="11" t="s">
        <v>11</v>
      </c>
      <c r="B124" s="11" t="s">
        <v>236</v>
      </c>
      <c r="C124" s="11">
        <v>4</v>
      </c>
      <c r="D124" s="11">
        <v>10</v>
      </c>
      <c r="E124" s="11" t="s">
        <v>237</v>
      </c>
      <c r="F124" s="11" t="s">
        <v>93</v>
      </c>
      <c r="G124" s="12">
        <v>5.42</v>
      </c>
      <c r="H124" s="13">
        <v>60.883763837638377</v>
      </c>
      <c r="I124" s="11" t="s">
        <v>238</v>
      </c>
      <c r="J124" s="11" t="s">
        <v>30</v>
      </c>
      <c r="K124" s="7">
        <f>INDEX(Benchmark!$H$5:$H$807,MATCH(I124,Benchmark!$A$5:$A$807,0))</f>
        <v>93.119217081850536</v>
      </c>
      <c r="L124" s="14">
        <f t="shared" si="1"/>
        <v>-0.34617401492838618</v>
      </c>
      <c r="M124" s="15">
        <f>IF(L124&gt;Benchmark!$B$2,1,IF(L124&lt;-Benchmark!$B$2,5,3))</f>
        <v>5</v>
      </c>
      <c r="N124" s="3" t="s">
        <v>31</v>
      </c>
    </row>
    <row r="125" spans="1:14" x14ac:dyDescent="0.35">
      <c r="A125" s="11" t="s">
        <v>11</v>
      </c>
      <c r="B125" s="11" t="s">
        <v>239</v>
      </c>
      <c r="C125" s="11">
        <v>4</v>
      </c>
      <c r="D125" s="11">
        <v>10</v>
      </c>
      <c r="E125" s="11" t="s">
        <v>198</v>
      </c>
      <c r="F125" s="11" t="s">
        <v>93</v>
      </c>
      <c r="G125" s="12">
        <v>11.8</v>
      </c>
      <c r="H125" s="13">
        <v>51.899152542372867</v>
      </c>
      <c r="I125" s="11" t="s">
        <v>209</v>
      </c>
      <c r="J125" s="11" t="s">
        <v>30</v>
      </c>
      <c r="K125" s="7">
        <f>INDEX(Benchmark!$H$5:$H$807,MATCH(I125,Benchmark!$A$5:$A$807,0))</f>
        <v>81.181779661016947</v>
      </c>
      <c r="L125" s="14">
        <f t="shared" si="1"/>
        <v>-0.36070442457552376</v>
      </c>
      <c r="M125" s="15">
        <f>IF(L125&gt;Benchmark!$B$2,1,IF(L125&lt;-Benchmark!$B$2,5,3))</f>
        <v>5</v>
      </c>
      <c r="N125" s="3" t="s">
        <v>31</v>
      </c>
    </row>
    <row r="126" spans="1:14" x14ac:dyDescent="0.35">
      <c r="A126" s="11" t="s">
        <v>11</v>
      </c>
      <c r="B126" s="11" t="s">
        <v>240</v>
      </c>
      <c r="C126" s="11">
        <v>4</v>
      </c>
      <c r="D126" s="11">
        <v>10</v>
      </c>
      <c r="E126" s="11" t="s">
        <v>198</v>
      </c>
      <c r="F126" s="11" t="s">
        <v>93</v>
      </c>
      <c r="G126" s="12">
        <v>3.35</v>
      </c>
      <c r="H126" s="13">
        <v>78.131343283582083</v>
      </c>
      <c r="I126" s="11" t="s">
        <v>209</v>
      </c>
      <c r="J126" s="11" t="s">
        <v>30</v>
      </c>
      <c r="K126" s="7">
        <f>INDEX(Benchmark!$H$5:$H$807,MATCH(I126,Benchmark!$A$5:$A$807,0))</f>
        <v>81.181779661016947</v>
      </c>
      <c r="L126" s="14">
        <f t="shared" si="1"/>
        <v>-3.7575381941271524E-2</v>
      </c>
      <c r="M126" s="17">
        <f>IF(L126&gt;Benchmark!$B$2,1,IF(L126&lt;-Benchmark!$B$2,5,3))</f>
        <v>3</v>
      </c>
      <c r="N126" s="3" t="s">
        <v>31</v>
      </c>
    </row>
    <row r="127" spans="1:14" x14ac:dyDescent="0.35">
      <c r="A127" s="11" t="s">
        <v>11</v>
      </c>
      <c r="B127" s="11" t="s">
        <v>241</v>
      </c>
      <c r="C127" s="11">
        <v>4</v>
      </c>
      <c r="D127" s="11">
        <v>10</v>
      </c>
      <c r="E127" s="11" t="s">
        <v>198</v>
      </c>
      <c r="F127" s="11" t="s">
        <v>93</v>
      </c>
      <c r="G127" s="12">
        <v>4.6399999999999997</v>
      </c>
      <c r="H127" s="13">
        <v>51.818965517241381</v>
      </c>
      <c r="I127" s="11" t="s">
        <v>209</v>
      </c>
      <c r="J127" s="11" t="s">
        <v>30</v>
      </c>
      <c r="K127" s="7">
        <f>INDEX(Benchmark!$H$5:$H$807,MATCH(I127,Benchmark!$A$5:$A$807,0))</f>
        <v>81.181779661016947</v>
      </c>
      <c r="L127" s="14">
        <f t="shared" si="1"/>
        <v>-0.36169217115445218</v>
      </c>
      <c r="M127" s="15">
        <f>IF(L127&gt;Benchmark!$B$2,1,IF(L127&lt;-Benchmark!$B$2,5,3))</f>
        <v>5</v>
      </c>
      <c r="N127" s="3" t="s">
        <v>31</v>
      </c>
    </row>
    <row r="128" spans="1:14" x14ac:dyDescent="0.35">
      <c r="A128" s="11" t="s">
        <v>11</v>
      </c>
      <c r="B128" s="11" t="s">
        <v>242</v>
      </c>
      <c r="C128" s="11">
        <v>4</v>
      </c>
      <c r="D128" s="11">
        <v>5</v>
      </c>
      <c r="E128" s="11" t="s">
        <v>104</v>
      </c>
      <c r="F128" s="11" t="s">
        <v>243</v>
      </c>
      <c r="G128" s="12">
        <v>5.01</v>
      </c>
      <c r="H128" s="13">
        <v>71.491017964071858</v>
      </c>
      <c r="I128" s="11" t="s">
        <v>244</v>
      </c>
      <c r="J128" s="11" t="s">
        <v>30</v>
      </c>
      <c r="K128" s="7">
        <f>INDEX(Benchmark!$H$5:$H$807,MATCH(I128,Benchmark!$A$5:$A$807,0))</f>
        <v>86.575609756097563</v>
      </c>
      <c r="L128" s="14">
        <f t="shared" si="1"/>
        <v>-0.17423604447629415</v>
      </c>
      <c r="M128" s="15">
        <f>IF(L128&gt;Benchmark!$B$2,1,IF(L128&lt;-Benchmark!$B$2,5,3))</f>
        <v>5</v>
      </c>
      <c r="N128" s="3" t="s">
        <v>31</v>
      </c>
    </row>
    <row r="129" spans="1:14" x14ac:dyDescent="0.35">
      <c r="A129" s="11" t="s">
        <v>11</v>
      </c>
      <c r="B129" s="11" t="s">
        <v>245</v>
      </c>
      <c r="C129" s="11">
        <v>4</v>
      </c>
      <c r="D129" s="11">
        <v>5</v>
      </c>
      <c r="E129" s="11" t="s">
        <v>27</v>
      </c>
      <c r="F129" s="11" t="s">
        <v>84</v>
      </c>
      <c r="G129" s="12">
        <v>1.71</v>
      </c>
      <c r="H129" s="13">
        <v>94.883040935672511</v>
      </c>
      <c r="I129" s="11" t="s">
        <v>154</v>
      </c>
      <c r="J129" s="11" t="s">
        <v>30</v>
      </c>
      <c r="K129" s="7">
        <f>INDEX(Benchmark!$H$5:$H$807,MATCH(I129,Benchmark!$A$5:$A$807,0))</f>
        <v>125.7999199629302</v>
      </c>
      <c r="L129" s="14">
        <f t="shared" si="1"/>
        <v>-0.24576231078976885</v>
      </c>
      <c r="M129" s="15">
        <f>IF(L129&gt;Benchmark!$B$2,1,IF(L129&lt;-Benchmark!$B$2,5,3))</f>
        <v>5</v>
      </c>
      <c r="N129" s="3" t="s">
        <v>31</v>
      </c>
    </row>
    <row r="130" spans="1:14" x14ac:dyDescent="0.35">
      <c r="A130" s="11" t="s">
        <v>11</v>
      </c>
      <c r="B130" s="11" t="s">
        <v>246</v>
      </c>
      <c r="C130" s="11">
        <v>4</v>
      </c>
      <c r="D130" s="11">
        <v>2</v>
      </c>
      <c r="E130" s="11" t="s">
        <v>27</v>
      </c>
      <c r="F130" s="11" t="s">
        <v>147</v>
      </c>
      <c r="G130" s="12">
        <v>4</v>
      </c>
      <c r="H130" s="13">
        <v>70.977500000000006</v>
      </c>
      <c r="I130" s="11" t="s">
        <v>192</v>
      </c>
      <c r="J130" s="11" t="s">
        <v>30</v>
      </c>
      <c r="K130" s="7">
        <f>INDEX(Benchmark!$H$5:$H$807,MATCH(I130,Benchmark!$A$5:$A$807,0))</f>
        <v>111.5504885993485</v>
      </c>
      <c r="L130" s="14">
        <f t="shared" si="1"/>
        <v>-0.3637186094726389</v>
      </c>
      <c r="M130" s="15">
        <f>IF(L130&gt;Benchmark!$B$2,1,IF(L130&lt;-Benchmark!$B$2,5,3))</f>
        <v>5</v>
      </c>
      <c r="N130" s="3" t="s">
        <v>31</v>
      </c>
    </row>
    <row r="131" spans="1:14" x14ac:dyDescent="0.35">
      <c r="A131" s="11" t="s">
        <v>11</v>
      </c>
      <c r="B131" s="11" t="s">
        <v>247</v>
      </c>
      <c r="C131" s="11">
        <v>4</v>
      </c>
      <c r="D131" s="11">
        <v>5</v>
      </c>
      <c r="E131" s="11" t="s">
        <v>27</v>
      </c>
      <c r="F131" s="11" t="s">
        <v>147</v>
      </c>
      <c r="G131" s="12">
        <v>3.25</v>
      </c>
      <c r="H131" s="13">
        <v>71.910769230769233</v>
      </c>
      <c r="I131" s="11" t="s">
        <v>192</v>
      </c>
      <c r="J131" s="11" t="s">
        <v>30</v>
      </c>
      <c r="K131" s="7">
        <f>INDEX(Benchmark!$H$5:$H$807,MATCH(I131,Benchmark!$A$5:$A$807,0))</f>
        <v>111.5504885993485</v>
      </c>
      <c r="L131" s="14">
        <f t="shared" si="1"/>
        <v>-0.35535227022583182</v>
      </c>
      <c r="M131" s="15">
        <f>IF(L131&gt;Benchmark!$B$2,1,IF(L131&lt;-Benchmark!$B$2,5,3))</f>
        <v>5</v>
      </c>
      <c r="N131" s="3" t="s">
        <v>31</v>
      </c>
    </row>
    <row r="132" spans="1:14" x14ac:dyDescent="0.35">
      <c r="A132" s="11" t="s">
        <v>11</v>
      </c>
      <c r="B132" s="11" t="s">
        <v>248</v>
      </c>
      <c r="C132" s="11">
        <v>4</v>
      </c>
      <c r="D132" s="11">
        <v>1</v>
      </c>
      <c r="E132" s="11" t="s">
        <v>27</v>
      </c>
      <c r="F132" s="11" t="s">
        <v>147</v>
      </c>
      <c r="G132" s="12">
        <v>2.93</v>
      </c>
      <c r="H132" s="13">
        <v>56.542662116040958</v>
      </c>
      <c r="I132" s="11" t="s">
        <v>192</v>
      </c>
      <c r="J132" s="11" t="s">
        <v>30</v>
      </c>
      <c r="K132" s="7">
        <f>INDEX(Benchmark!$H$5:$H$807,MATCH(I132,Benchmark!$A$5:$A$807,0))</f>
        <v>111.5504885993485</v>
      </c>
      <c r="L132" s="14">
        <f t="shared" si="1"/>
        <v>-0.493120444150424</v>
      </c>
      <c r="M132" s="15">
        <f>IF(L132&gt;Benchmark!$B$2,1,IF(L132&lt;-Benchmark!$B$2,5,3))</f>
        <v>5</v>
      </c>
      <c r="N132" s="3" t="s">
        <v>31</v>
      </c>
    </row>
    <row r="133" spans="1:14" x14ac:dyDescent="0.35">
      <c r="A133" s="11" t="s">
        <v>11</v>
      </c>
      <c r="B133" s="11" t="s">
        <v>249</v>
      </c>
      <c r="C133" s="11">
        <v>5</v>
      </c>
      <c r="D133" s="11">
        <v>1</v>
      </c>
      <c r="E133" s="11" t="s">
        <v>34</v>
      </c>
      <c r="F133" s="11" t="s">
        <v>73</v>
      </c>
      <c r="G133" s="12">
        <v>4.74</v>
      </c>
      <c r="H133" s="13">
        <v>136.83966244725741</v>
      </c>
      <c r="I133" s="11" t="s">
        <v>36</v>
      </c>
      <c r="J133" s="11" t="s">
        <v>37</v>
      </c>
      <c r="K133" s="7">
        <f>INDEX(Benchmark!$H$5:$H$807,MATCH(I133,Benchmark!$A$5:$A$807,0))</f>
        <v>135.18231292517009</v>
      </c>
      <c r="L133" s="14">
        <f t="shared" ref="L133:L196" si="2">H133/K133-1</f>
        <v>1.226010626852303E-2</v>
      </c>
      <c r="M133" s="17">
        <f>IF(L133&gt;Benchmark!$B$2,1,IF(L133&lt;-Benchmark!$B$2,5,3))</f>
        <v>3</v>
      </c>
      <c r="N133" s="3" t="s">
        <v>31</v>
      </c>
    </row>
    <row r="134" spans="1:14" x14ac:dyDescent="0.35">
      <c r="A134" s="11" t="s">
        <v>11</v>
      </c>
      <c r="B134" s="11" t="s">
        <v>250</v>
      </c>
      <c r="C134" s="11">
        <v>5</v>
      </c>
      <c r="D134" s="11">
        <v>5</v>
      </c>
      <c r="E134" s="11" t="s">
        <v>34</v>
      </c>
      <c r="F134" s="11" t="s">
        <v>84</v>
      </c>
      <c r="G134" s="12">
        <v>3.5</v>
      </c>
      <c r="H134" s="13">
        <v>74.125714285714281</v>
      </c>
      <c r="I134" s="11" t="s">
        <v>96</v>
      </c>
      <c r="J134" s="11" t="s">
        <v>30</v>
      </c>
      <c r="K134" s="7">
        <f>INDEX(Benchmark!$H$5:$H$807,MATCH(I134,Benchmark!$A$5:$A$807,0))</f>
        <v>126.5322222222222</v>
      </c>
      <c r="L134" s="14">
        <f t="shared" si="2"/>
        <v>-0.41417519597868913</v>
      </c>
      <c r="M134" s="15">
        <f>IF(L134&gt;Benchmark!$B$2,1,IF(L134&lt;-Benchmark!$B$2,5,3))</f>
        <v>5</v>
      </c>
      <c r="N134" s="3" t="s">
        <v>31</v>
      </c>
    </row>
    <row r="135" spans="1:14" x14ac:dyDescent="0.35">
      <c r="A135" s="11" t="s">
        <v>11</v>
      </c>
      <c r="B135" s="11" t="s">
        <v>251</v>
      </c>
      <c r="C135" s="11">
        <v>5</v>
      </c>
      <c r="D135" s="11">
        <v>5</v>
      </c>
      <c r="E135" s="11" t="s">
        <v>34</v>
      </c>
      <c r="F135" s="11" t="s">
        <v>84</v>
      </c>
      <c r="G135" s="12">
        <v>1</v>
      </c>
      <c r="H135" s="13">
        <v>94.34</v>
      </c>
      <c r="I135" s="11" t="s">
        <v>96</v>
      </c>
      <c r="J135" s="11" t="s">
        <v>30</v>
      </c>
      <c r="K135" s="7">
        <f>INDEX(Benchmark!$H$5:$H$807,MATCH(I135,Benchmark!$A$5:$A$807,0))</f>
        <v>126.5322222222222</v>
      </c>
      <c r="L135" s="14">
        <f t="shared" si="2"/>
        <v>-0.25441916420059874</v>
      </c>
      <c r="M135" s="15">
        <f>IF(L135&gt;Benchmark!$B$2,1,IF(L135&lt;-Benchmark!$B$2,5,3))</f>
        <v>5</v>
      </c>
      <c r="N135" s="3" t="s">
        <v>31</v>
      </c>
    </row>
    <row r="136" spans="1:14" x14ac:dyDescent="0.35">
      <c r="A136" s="11" t="s">
        <v>11</v>
      </c>
      <c r="B136" s="11" t="s">
        <v>252</v>
      </c>
      <c r="C136" s="11">
        <v>5</v>
      </c>
      <c r="D136" s="11">
        <v>3</v>
      </c>
      <c r="E136" s="11" t="s">
        <v>48</v>
      </c>
      <c r="F136" s="11" t="s">
        <v>89</v>
      </c>
      <c r="G136" s="12">
        <v>0.08</v>
      </c>
      <c r="H136" s="13">
        <v>128.5</v>
      </c>
      <c r="I136" s="11" t="s">
        <v>74</v>
      </c>
      <c r="J136" s="11" t="s">
        <v>37</v>
      </c>
      <c r="K136" s="7">
        <f>INDEX(Benchmark!$H$5:$H$807,MATCH(I136,Benchmark!$A$5:$A$807,0))</f>
        <v>131.10214067278289</v>
      </c>
      <c r="L136" s="14">
        <f t="shared" si="2"/>
        <v>-1.9848193625438659E-2</v>
      </c>
      <c r="M136" s="17">
        <f>IF(L136&gt;Benchmark!$B$2,1,IF(L136&lt;-Benchmark!$B$2,5,3))</f>
        <v>3</v>
      </c>
      <c r="N136" s="3" t="s">
        <v>31</v>
      </c>
    </row>
    <row r="137" spans="1:14" x14ac:dyDescent="0.35">
      <c r="A137" s="11" t="s">
        <v>11</v>
      </c>
      <c r="B137" s="11" t="s">
        <v>253</v>
      </c>
      <c r="C137" s="11">
        <v>5</v>
      </c>
      <c r="D137" s="11">
        <v>3</v>
      </c>
      <c r="E137" s="11" t="s">
        <v>27</v>
      </c>
      <c r="F137" s="11" t="s">
        <v>43</v>
      </c>
      <c r="G137" s="12">
        <v>10</v>
      </c>
      <c r="H137" s="13">
        <v>135.155</v>
      </c>
      <c r="I137" s="11" t="s">
        <v>44</v>
      </c>
      <c r="J137" s="11" t="s">
        <v>30</v>
      </c>
      <c r="K137" s="7">
        <f>INDEX(Benchmark!$H$5:$H$807,MATCH(I137,Benchmark!$A$5:$A$807,0))</f>
        <v>118.6146621100209</v>
      </c>
      <c r="L137" s="14">
        <f t="shared" si="2"/>
        <v>0.13944598075604797</v>
      </c>
      <c r="M137" s="16">
        <f>IF(L137&gt;Benchmark!$B$2,1,IF(L137&lt;-Benchmark!$B$2,5,3))</f>
        <v>1</v>
      </c>
      <c r="N137" s="3" t="s">
        <v>31</v>
      </c>
    </row>
    <row r="138" spans="1:14" x14ac:dyDescent="0.35">
      <c r="A138" s="11" t="s">
        <v>11</v>
      </c>
      <c r="B138" s="11" t="s">
        <v>254</v>
      </c>
      <c r="C138" s="11">
        <v>5</v>
      </c>
      <c r="D138" s="11">
        <v>4</v>
      </c>
      <c r="E138" s="11" t="s">
        <v>27</v>
      </c>
      <c r="F138" s="11" t="s">
        <v>43</v>
      </c>
      <c r="G138" s="12">
        <v>22.1</v>
      </c>
      <c r="H138" s="13">
        <v>119.1742081447964</v>
      </c>
      <c r="I138" s="11" t="s">
        <v>44</v>
      </c>
      <c r="J138" s="11" t="s">
        <v>30</v>
      </c>
      <c r="K138" s="7">
        <f>INDEX(Benchmark!$H$5:$H$807,MATCH(I138,Benchmark!$A$5:$A$807,0))</f>
        <v>118.6146621100209</v>
      </c>
      <c r="L138" s="14">
        <f t="shared" si="2"/>
        <v>4.7173429053524174E-3</v>
      </c>
      <c r="M138" s="17">
        <f>IF(L138&gt;Benchmark!$B$2,1,IF(L138&lt;-Benchmark!$B$2,5,3))</f>
        <v>3</v>
      </c>
      <c r="N138" s="3" t="s">
        <v>31</v>
      </c>
    </row>
    <row r="139" spans="1:14" x14ac:dyDescent="0.35">
      <c r="A139" s="11" t="s">
        <v>11</v>
      </c>
      <c r="B139" s="11" t="s">
        <v>255</v>
      </c>
      <c r="C139" s="11">
        <v>5</v>
      </c>
      <c r="D139" s="11">
        <v>4</v>
      </c>
      <c r="E139" s="11" t="s">
        <v>78</v>
      </c>
      <c r="F139" s="11" t="s">
        <v>43</v>
      </c>
      <c r="G139" s="12">
        <v>8.0299999999999994</v>
      </c>
      <c r="H139" s="13">
        <v>106.25280199252801</v>
      </c>
      <c r="I139" s="11" t="s">
        <v>80</v>
      </c>
      <c r="J139" s="11" t="s">
        <v>37</v>
      </c>
      <c r="K139" s="7">
        <f>INDEX(Benchmark!$H$5:$H$807,MATCH(I139,Benchmark!$A$5:$A$807,0))</f>
        <v>110.9357798165138</v>
      </c>
      <c r="L139" s="14">
        <f t="shared" si="2"/>
        <v>-4.2213412406090889E-2</v>
      </c>
      <c r="M139" s="17">
        <f>IF(L139&gt;Benchmark!$B$2,1,IF(L139&lt;-Benchmark!$B$2,5,3))</f>
        <v>3</v>
      </c>
      <c r="N139" s="3" t="s">
        <v>31</v>
      </c>
    </row>
    <row r="140" spans="1:14" x14ac:dyDescent="0.35">
      <c r="A140" s="11" t="s">
        <v>11</v>
      </c>
      <c r="B140" s="11" t="s">
        <v>256</v>
      </c>
      <c r="C140" s="11">
        <v>5</v>
      </c>
      <c r="D140" s="11">
        <v>1</v>
      </c>
      <c r="E140" s="11" t="s">
        <v>88</v>
      </c>
      <c r="F140" s="11" t="s">
        <v>230</v>
      </c>
      <c r="G140" s="12">
        <v>6.66</v>
      </c>
      <c r="H140" s="13">
        <v>106.17867867867869</v>
      </c>
      <c r="I140" s="11" t="s">
        <v>218</v>
      </c>
      <c r="J140" s="11" t="s">
        <v>37</v>
      </c>
      <c r="K140" s="7">
        <f>INDEX(Benchmark!$H$5:$H$807,MATCH(I140,Benchmark!$A$5:$A$807,0))</f>
        <v>110.4166666666667</v>
      </c>
      <c r="L140" s="14">
        <f t="shared" si="2"/>
        <v>-3.8381778004419664E-2</v>
      </c>
      <c r="M140" s="17">
        <f>IF(L140&gt;Benchmark!$B$2,1,IF(L140&lt;-Benchmark!$B$2,5,3))</f>
        <v>3</v>
      </c>
      <c r="N140" s="3" t="s">
        <v>31</v>
      </c>
    </row>
    <row r="141" spans="1:14" x14ac:dyDescent="0.35">
      <c r="A141" s="11" t="s">
        <v>11</v>
      </c>
      <c r="B141" s="11" t="s">
        <v>257</v>
      </c>
      <c r="C141" s="11">
        <v>5</v>
      </c>
      <c r="D141" s="11">
        <v>1</v>
      </c>
      <c r="E141" s="11" t="s">
        <v>88</v>
      </c>
      <c r="F141" s="11" t="s">
        <v>186</v>
      </c>
      <c r="G141" s="12">
        <v>11.48</v>
      </c>
      <c r="H141" s="13">
        <v>108.7134146341463</v>
      </c>
      <c r="I141" s="11" t="s">
        <v>258</v>
      </c>
      <c r="J141" s="11" t="s">
        <v>30</v>
      </c>
      <c r="K141" s="7">
        <f>INDEX(Benchmark!$H$5:$H$807,MATCH(I141,Benchmark!$A$5:$A$807,0))</f>
        <v>107.4748001390337</v>
      </c>
      <c r="L141" s="14">
        <f t="shared" si="2"/>
        <v>1.1524696891832109E-2</v>
      </c>
      <c r="M141" s="17">
        <f>IF(L141&gt;Benchmark!$B$2,1,IF(L141&lt;-Benchmark!$B$2,5,3))</f>
        <v>3</v>
      </c>
      <c r="N141" s="3" t="s">
        <v>31</v>
      </c>
    </row>
    <row r="142" spans="1:14" x14ac:dyDescent="0.35">
      <c r="A142" s="11" t="s">
        <v>11</v>
      </c>
      <c r="B142" s="11" t="s">
        <v>259</v>
      </c>
      <c r="C142" s="11">
        <v>5</v>
      </c>
      <c r="D142" s="11">
        <v>6</v>
      </c>
      <c r="E142" s="11" t="s">
        <v>104</v>
      </c>
      <c r="F142" s="11" t="s">
        <v>196</v>
      </c>
      <c r="G142" s="12">
        <v>4.9400000000000004</v>
      </c>
      <c r="H142" s="13">
        <v>63.868421052631582</v>
      </c>
      <c r="I142" s="11" t="s">
        <v>260</v>
      </c>
      <c r="J142" s="11" t="s">
        <v>30</v>
      </c>
      <c r="K142" s="7">
        <f>INDEX(Benchmark!$H$5:$H$807,MATCH(I142,Benchmark!$A$5:$A$807,0))</f>
        <v>95.444586191346446</v>
      </c>
      <c r="L142" s="14">
        <f t="shared" si="2"/>
        <v>-0.33083243794898176</v>
      </c>
      <c r="M142" s="15">
        <f>IF(L142&gt;Benchmark!$B$2,1,IF(L142&lt;-Benchmark!$B$2,5,3))</f>
        <v>5</v>
      </c>
      <c r="N142" s="3" t="s">
        <v>31</v>
      </c>
    </row>
    <row r="143" spans="1:14" x14ac:dyDescent="0.35">
      <c r="A143" s="11" t="s">
        <v>11</v>
      </c>
      <c r="B143" s="11" t="s">
        <v>261</v>
      </c>
      <c r="C143" s="11">
        <v>5</v>
      </c>
      <c r="D143" s="11">
        <v>12</v>
      </c>
      <c r="E143" s="11" t="s">
        <v>198</v>
      </c>
      <c r="F143" s="11" t="s">
        <v>196</v>
      </c>
      <c r="G143" s="12">
        <v>2.2599999999999998</v>
      </c>
      <c r="H143" s="13">
        <v>58.424778761061958</v>
      </c>
      <c r="I143" s="11" t="s">
        <v>262</v>
      </c>
      <c r="J143" s="11" t="s">
        <v>30</v>
      </c>
      <c r="K143" s="7">
        <f>INDEX(Benchmark!$H$5:$H$807,MATCH(I143,Benchmark!$A$5:$A$807,0))</f>
        <v>91.824427480916029</v>
      </c>
      <c r="L143" s="14">
        <f t="shared" si="2"/>
        <v>-0.36373380848789449</v>
      </c>
      <c r="M143" s="15">
        <f>IF(L143&gt;Benchmark!$B$2,1,IF(L143&lt;-Benchmark!$B$2,5,3))</f>
        <v>5</v>
      </c>
      <c r="N143" s="3" t="s">
        <v>31</v>
      </c>
    </row>
    <row r="144" spans="1:14" x14ac:dyDescent="0.35">
      <c r="A144" s="11" t="s">
        <v>11</v>
      </c>
      <c r="B144" s="11" t="s">
        <v>263</v>
      </c>
      <c r="C144" s="11">
        <v>5</v>
      </c>
      <c r="D144" s="11">
        <v>6</v>
      </c>
      <c r="E144" s="11" t="s">
        <v>27</v>
      </c>
      <c r="F144" s="11" t="s">
        <v>243</v>
      </c>
      <c r="G144" s="12">
        <v>4.4000000000000004</v>
      </c>
      <c r="H144" s="13">
        <v>89.872727272727261</v>
      </c>
      <c r="I144" s="11" t="s">
        <v>264</v>
      </c>
      <c r="J144" s="11" t="s">
        <v>30</v>
      </c>
      <c r="K144" s="7">
        <f>INDEX(Benchmark!$H$5:$H$807,MATCH(I144,Benchmark!$A$5:$A$807,0))</f>
        <v>106.875</v>
      </c>
      <c r="L144" s="14">
        <f t="shared" si="2"/>
        <v>-0.15908559276980339</v>
      </c>
      <c r="M144" s="15">
        <f>IF(L144&gt;Benchmark!$B$2,1,IF(L144&lt;-Benchmark!$B$2,5,3))</f>
        <v>5</v>
      </c>
      <c r="N144" s="3" t="s">
        <v>31</v>
      </c>
    </row>
    <row r="145" spans="1:14" x14ac:dyDescent="0.35">
      <c r="A145" s="11" t="s">
        <v>11</v>
      </c>
      <c r="B145" s="11" t="s">
        <v>265</v>
      </c>
      <c r="C145" s="11">
        <v>6</v>
      </c>
      <c r="D145" s="11">
        <v>10</v>
      </c>
      <c r="E145" s="11" t="s">
        <v>146</v>
      </c>
      <c r="F145" s="11" t="s">
        <v>35</v>
      </c>
      <c r="G145" s="12">
        <v>2.3199999999999998</v>
      </c>
      <c r="H145" s="13">
        <v>108.0862068965517</v>
      </c>
      <c r="I145" s="11" t="s">
        <v>266</v>
      </c>
      <c r="J145" s="11" t="s">
        <v>30</v>
      </c>
      <c r="K145" s="7">
        <f>INDEX(Benchmark!$H$5:$H$807,MATCH(I145,Benchmark!$A$5:$A$807,0))</f>
        <v>132.7931843591856</v>
      </c>
      <c r="L145" s="14">
        <f t="shared" si="2"/>
        <v>-0.18605606591830226</v>
      </c>
      <c r="M145" s="15">
        <f>IF(L145&gt;Benchmark!$B$2,1,IF(L145&lt;-Benchmark!$B$2,5,3))</f>
        <v>5</v>
      </c>
      <c r="N145" s="3" t="s">
        <v>31</v>
      </c>
    </row>
    <row r="146" spans="1:14" x14ac:dyDescent="0.35">
      <c r="A146" s="11" t="s">
        <v>11</v>
      </c>
      <c r="B146" s="11" t="s">
        <v>267</v>
      </c>
      <c r="C146" s="11">
        <v>6</v>
      </c>
      <c r="D146" s="11">
        <v>3</v>
      </c>
      <c r="E146" s="11" t="s">
        <v>48</v>
      </c>
      <c r="F146" s="11" t="s">
        <v>35</v>
      </c>
      <c r="G146" s="12">
        <v>6.69</v>
      </c>
      <c r="H146" s="13">
        <v>90.678624813153959</v>
      </c>
      <c r="I146" s="11" t="s">
        <v>74</v>
      </c>
      <c r="J146" s="11" t="s">
        <v>37</v>
      </c>
      <c r="K146" s="7">
        <f>INDEX(Benchmark!$H$5:$H$807,MATCH(I146,Benchmark!$A$5:$A$807,0))</f>
        <v>131.10214067278289</v>
      </c>
      <c r="L146" s="14">
        <f t="shared" si="2"/>
        <v>-0.30833604739164222</v>
      </c>
      <c r="M146" s="15">
        <f>IF(L146&gt;Benchmark!$B$2,1,IF(L146&lt;-Benchmark!$B$2,5,3))</f>
        <v>5</v>
      </c>
      <c r="N146" s="3" t="s">
        <v>31</v>
      </c>
    </row>
    <row r="147" spans="1:14" x14ac:dyDescent="0.35">
      <c r="A147" s="11" t="s">
        <v>11</v>
      </c>
      <c r="B147" s="11" t="s">
        <v>268</v>
      </c>
      <c r="C147" s="11">
        <v>6</v>
      </c>
      <c r="D147" s="11">
        <v>6</v>
      </c>
      <c r="E147" s="11" t="s">
        <v>48</v>
      </c>
      <c r="F147" s="11" t="s">
        <v>62</v>
      </c>
      <c r="G147" s="12">
        <v>15.88</v>
      </c>
      <c r="H147" s="13">
        <v>115.6662468513854</v>
      </c>
      <c r="I147" s="11" t="s">
        <v>63</v>
      </c>
      <c r="J147" s="11" t="s">
        <v>30</v>
      </c>
      <c r="K147" s="7">
        <f>INDEX(Benchmark!$H$5:$H$807,MATCH(I147,Benchmark!$A$5:$A$807,0))</f>
        <v>137.65788021464641</v>
      </c>
      <c r="L147" s="14">
        <f t="shared" si="2"/>
        <v>-0.15975571706443559</v>
      </c>
      <c r="M147" s="15">
        <f>IF(L147&gt;Benchmark!$B$2,1,IF(L147&lt;-Benchmark!$B$2,5,3))</f>
        <v>5</v>
      </c>
      <c r="N147" s="3" t="s">
        <v>31</v>
      </c>
    </row>
    <row r="148" spans="1:14" x14ac:dyDescent="0.35">
      <c r="A148" s="11" t="s">
        <v>11</v>
      </c>
      <c r="B148" s="11" t="s">
        <v>269</v>
      </c>
      <c r="C148" s="11">
        <v>6</v>
      </c>
      <c r="D148" s="11">
        <v>6</v>
      </c>
      <c r="E148" s="11" t="s">
        <v>48</v>
      </c>
      <c r="F148" s="11" t="s">
        <v>62</v>
      </c>
      <c r="G148" s="12">
        <v>9.49</v>
      </c>
      <c r="H148" s="13">
        <v>103.8946259220232</v>
      </c>
      <c r="I148" s="11" t="s">
        <v>63</v>
      </c>
      <c r="J148" s="11" t="s">
        <v>30</v>
      </c>
      <c r="K148" s="7">
        <f>INDEX(Benchmark!$H$5:$H$807,MATCH(I148,Benchmark!$A$5:$A$807,0))</f>
        <v>137.65788021464641</v>
      </c>
      <c r="L148" s="14">
        <f t="shared" si="2"/>
        <v>-0.24526931723761136</v>
      </c>
      <c r="M148" s="15">
        <f>IF(L148&gt;Benchmark!$B$2,1,IF(L148&lt;-Benchmark!$B$2,5,3))</f>
        <v>5</v>
      </c>
      <c r="N148" s="3" t="s">
        <v>31</v>
      </c>
    </row>
    <row r="149" spans="1:14" x14ac:dyDescent="0.35">
      <c r="A149" s="11" t="s">
        <v>11</v>
      </c>
      <c r="B149" s="11" t="s">
        <v>270</v>
      </c>
      <c r="C149" s="11">
        <v>6</v>
      </c>
      <c r="D149" s="11">
        <v>4</v>
      </c>
      <c r="E149" s="11" t="s">
        <v>48</v>
      </c>
      <c r="F149" s="11" t="s">
        <v>62</v>
      </c>
      <c r="G149" s="12">
        <v>16.690000000000001</v>
      </c>
      <c r="H149" s="13">
        <v>110.8891551827441</v>
      </c>
      <c r="I149" s="11" t="s">
        <v>63</v>
      </c>
      <c r="J149" s="11" t="s">
        <v>30</v>
      </c>
      <c r="K149" s="7">
        <f>INDEX(Benchmark!$H$5:$H$807,MATCH(I149,Benchmark!$A$5:$A$807,0))</f>
        <v>137.65788021464641</v>
      </c>
      <c r="L149" s="14">
        <f t="shared" si="2"/>
        <v>-0.19445835567250136</v>
      </c>
      <c r="M149" s="15">
        <f>IF(L149&gt;Benchmark!$B$2,1,IF(L149&lt;-Benchmark!$B$2,5,3))</f>
        <v>5</v>
      </c>
      <c r="N149" s="3" t="s">
        <v>31</v>
      </c>
    </row>
    <row r="150" spans="1:14" x14ac:dyDescent="0.35">
      <c r="A150" s="11" t="s">
        <v>11</v>
      </c>
      <c r="B150" s="11" t="s">
        <v>271</v>
      </c>
      <c r="C150" s="11">
        <v>6</v>
      </c>
      <c r="D150" s="11">
        <v>1</v>
      </c>
      <c r="E150" s="11" t="s">
        <v>34</v>
      </c>
      <c r="F150" s="11" t="s">
        <v>54</v>
      </c>
      <c r="G150" s="12">
        <v>15.66</v>
      </c>
      <c r="H150" s="13">
        <v>129.59578544061301</v>
      </c>
      <c r="I150" s="11" t="s">
        <v>36</v>
      </c>
      <c r="J150" s="11" t="s">
        <v>37</v>
      </c>
      <c r="K150" s="7">
        <f>INDEX(Benchmark!$H$5:$H$807,MATCH(I150,Benchmark!$A$5:$A$807,0))</f>
        <v>135.18231292517009</v>
      </c>
      <c r="L150" s="14">
        <f t="shared" si="2"/>
        <v>-4.1325875875858786E-2</v>
      </c>
      <c r="M150" s="17">
        <f>IF(L150&gt;Benchmark!$B$2,1,IF(L150&lt;-Benchmark!$B$2,5,3))</f>
        <v>3</v>
      </c>
      <c r="N150" s="3" t="s">
        <v>31</v>
      </c>
    </row>
    <row r="151" spans="1:14" x14ac:dyDescent="0.35">
      <c r="A151" s="11" t="s">
        <v>11</v>
      </c>
      <c r="B151" s="11" t="s">
        <v>272</v>
      </c>
      <c r="C151" s="11">
        <v>6</v>
      </c>
      <c r="D151" s="11">
        <v>5</v>
      </c>
      <c r="E151" s="11" t="s">
        <v>88</v>
      </c>
      <c r="F151" s="11" t="s">
        <v>28</v>
      </c>
      <c r="G151" s="12">
        <v>9.82</v>
      </c>
      <c r="H151" s="13">
        <v>93.047861507128303</v>
      </c>
      <c r="I151" s="11" t="s">
        <v>164</v>
      </c>
      <c r="J151" s="11" t="s">
        <v>30</v>
      </c>
      <c r="K151" s="7">
        <f>INDEX(Benchmark!$H$5:$H$807,MATCH(I151,Benchmark!$A$5:$A$807,0))</f>
        <v>119.49786485666441</v>
      </c>
      <c r="L151" s="14">
        <f t="shared" si="2"/>
        <v>-0.22134289496521475</v>
      </c>
      <c r="M151" s="15">
        <f>IF(L151&gt;Benchmark!$B$2,1,IF(L151&lt;-Benchmark!$B$2,5,3))</f>
        <v>5</v>
      </c>
      <c r="N151" s="3" t="s">
        <v>31</v>
      </c>
    </row>
    <row r="152" spans="1:14" x14ac:dyDescent="0.35">
      <c r="A152" s="11" t="s">
        <v>11</v>
      </c>
      <c r="B152" s="11" t="s">
        <v>273</v>
      </c>
      <c r="C152" s="11">
        <v>6</v>
      </c>
      <c r="D152" s="11">
        <v>4</v>
      </c>
      <c r="E152" s="11" t="s">
        <v>48</v>
      </c>
      <c r="F152" s="11" t="s">
        <v>62</v>
      </c>
      <c r="G152" s="12">
        <v>10.94</v>
      </c>
      <c r="H152" s="13">
        <v>122.87751371115171</v>
      </c>
      <c r="I152" s="11" t="s">
        <v>63</v>
      </c>
      <c r="J152" s="11" t="s">
        <v>30</v>
      </c>
      <c r="K152" s="7">
        <f>INDEX(Benchmark!$H$5:$H$807,MATCH(I152,Benchmark!$A$5:$A$807,0))</f>
        <v>137.65788021464641</v>
      </c>
      <c r="L152" s="14">
        <f t="shared" si="2"/>
        <v>-0.10737028988422648</v>
      </c>
      <c r="M152" s="15">
        <f>IF(L152&gt;Benchmark!$B$2,1,IF(L152&lt;-Benchmark!$B$2,5,3))</f>
        <v>5</v>
      </c>
      <c r="N152" s="3" t="s">
        <v>31</v>
      </c>
    </row>
    <row r="153" spans="1:14" x14ac:dyDescent="0.35">
      <c r="A153" s="11" t="s">
        <v>11</v>
      </c>
      <c r="B153" s="11" t="s">
        <v>274</v>
      </c>
      <c r="C153" s="11">
        <v>6</v>
      </c>
      <c r="D153" s="11">
        <v>3</v>
      </c>
      <c r="E153" s="11" t="s">
        <v>48</v>
      </c>
      <c r="F153" s="11" t="s">
        <v>62</v>
      </c>
      <c r="G153" s="12">
        <v>2.6</v>
      </c>
      <c r="H153" s="13">
        <v>101.4961538461538</v>
      </c>
      <c r="I153" s="11" t="s">
        <v>63</v>
      </c>
      <c r="J153" s="11" t="s">
        <v>30</v>
      </c>
      <c r="K153" s="7">
        <f>INDEX(Benchmark!$H$5:$H$807,MATCH(I153,Benchmark!$A$5:$A$807,0))</f>
        <v>137.65788021464641</v>
      </c>
      <c r="L153" s="14">
        <f t="shared" si="2"/>
        <v>-0.26269274459338288</v>
      </c>
      <c r="M153" s="15">
        <f>IF(L153&gt;Benchmark!$B$2,1,IF(L153&lt;-Benchmark!$B$2,5,3))</f>
        <v>5</v>
      </c>
      <c r="N153" s="3" t="s">
        <v>31</v>
      </c>
    </row>
    <row r="154" spans="1:14" x14ac:dyDescent="0.35">
      <c r="A154" s="11" t="s">
        <v>11</v>
      </c>
      <c r="B154" s="11" t="s">
        <v>275</v>
      </c>
      <c r="C154" s="11">
        <v>6</v>
      </c>
      <c r="D154" s="11">
        <v>3</v>
      </c>
      <c r="E154" s="11" t="s">
        <v>48</v>
      </c>
      <c r="F154" s="11" t="s">
        <v>39</v>
      </c>
      <c r="G154" s="12">
        <v>10.11</v>
      </c>
      <c r="H154" s="13">
        <v>95.156280909990116</v>
      </c>
      <c r="I154" s="11" t="s">
        <v>49</v>
      </c>
      <c r="J154" s="11" t="s">
        <v>30</v>
      </c>
      <c r="K154" s="7">
        <f>INDEX(Benchmark!$H$5:$H$807,MATCH(I154,Benchmark!$A$5:$A$807,0))</f>
        <v>132.03967168262659</v>
      </c>
      <c r="L154" s="14">
        <f t="shared" si="2"/>
        <v>-0.27933567466973253</v>
      </c>
      <c r="M154" s="15">
        <f>IF(L154&gt;Benchmark!$B$2,1,IF(L154&lt;-Benchmark!$B$2,5,3))</f>
        <v>5</v>
      </c>
      <c r="N154" s="3" t="s">
        <v>31</v>
      </c>
    </row>
    <row r="155" spans="1:14" x14ac:dyDescent="0.35">
      <c r="A155" s="11" t="s">
        <v>11</v>
      </c>
      <c r="B155" s="11" t="s">
        <v>276</v>
      </c>
      <c r="C155" s="11">
        <v>6</v>
      </c>
      <c r="D155" s="11">
        <v>3</v>
      </c>
      <c r="E155" s="11" t="s">
        <v>78</v>
      </c>
      <c r="F155" s="11" t="s">
        <v>43</v>
      </c>
      <c r="G155" s="12">
        <v>12.82</v>
      </c>
      <c r="H155" s="13">
        <v>117.42589703588141</v>
      </c>
      <c r="I155" s="11" t="s">
        <v>80</v>
      </c>
      <c r="J155" s="11" t="s">
        <v>37</v>
      </c>
      <c r="K155" s="7">
        <f>INDEX(Benchmark!$H$5:$H$807,MATCH(I155,Benchmark!$A$5:$A$807,0))</f>
        <v>110.9357798165138</v>
      </c>
      <c r="L155" s="14">
        <f t="shared" si="2"/>
        <v>5.8503372222218797E-2</v>
      </c>
      <c r="M155" s="16">
        <f>IF(L155&gt;Benchmark!$B$2,1,IF(L155&lt;-Benchmark!$B$2,5,3))</f>
        <v>1</v>
      </c>
      <c r="N155" s="3" t="s">
        <v>31</v>
      </c>
    </row>
    <row r="156" spans="1:14" x14ac:dyDescent="0.35">
      <c r="A156" s="11" t="s">
        <v>11</v>
      </c>
      <c r="B156" s="11" t="s">
        <v>277</v>
      </c>
      <c r="C156" s="11">
        <v>6</v>
      </c>
      <c r="D156" s="11">
        <v>3</v>
      </c>
      <c r="E156" s="11" t="s">
        <v>27</v>
      </c>
      <c r="F156" s="11" t="s">
        <v>43</v>
      </c>
      <c r="G156" s="12">
        <v>4.08</v>
      </c>
      <c r="H156" s="13">
        <v>105.656862745098</v>
      </c>
      <c r="I156" s="11" t="s">
        <v>44</v>
      </c>
      <c r="J156" s="11" t="s">
        <v>30</v>
      </c>
      <c r="K156" s="7">
        <f>INDEX(Benchmark!$H$5:$H$807,MATCH(I156,Benchmark!$A$5:$A$807,0))</f>
        <v>118.6146621100209</v>
      </c>
      <c r="L156" s="14">
        <f t="shared" si="2"/>
        <v>-0.10924281310942752</v>
      </c>
      <c r="M156" s="15">
        <f>IF(L156&gt;Benchmark!$B$2,1,IF(L156&lt;-Benchmark!$B$2,5,3))</f>
        <v>5</v>
      </c>
      <c r="N156" s="3" t="s">
        <v>31</v>
      </c>
    </row>
    <row r="157" spans="1:14" x14ac:dyDescent="0.35">
      <c r="A157" s="11" t="s">
        <v>11</v>
      </c>
      <c r="B157" s="11" t="s">
        <v>278</v>
      </c>
      <c r="C157" s="11">
        <v>6</v>
      </c>
      <c r="D157" s="11">
        <v>5</v>
      </c>
      <c r="E157" s="11" t="s">
        <v>53</v>
      </c>
      <c r="F157" s="11" t="s">
        <v>84</v>
      </c>
      <c r="G157" s="12">
        <v>2.4500000000000002</v>
      </c>
      <c r="H157" s="13">
        <v>117.55918367346941</v>
      </c>
      <c r="I157" s="11" t="s">
        <v>82</v>
      </c>
      <c r="J157" s="11" t="s">
        <v>37</v>
      </c>
      <c r="K157" s="7">
        <f>INDEX(Benchmark!$H$5:$H$807,MATCH(I157,Benchmark!$A$5:$A$807,0))</f>
        <v>117.13587487781039</v>
      </c>
      <c r="L157" s="14">
        <f t="shared" si="2"/>
        <v>3.6138270713441667E-3</v>
      </c>
      <c r="M157" s="17">
        <f>IF(L157&gt;Benchmark!$B$2,1,IF(L157&lt;-Benchmark!$B$2,5,3))</f>
        <v>3</v>
      </c>
      <c r="N157" s="3" t="s">
        <v>31</v>
      </c>
    </row>
    <row r="158" spans="1:14" x14ac:dyDescent="0.35">
      <c r="A158" s="11" t="s">
        <v>11</v>
      </c>
      <c r="B158" s="11" t="s">
        <v>279</v>
      </c>
      <c r="C158" s="11">
        <v>6</v>
      </c>
      <c r="D158" s="11">
        <v>1</v>
      </c>
      <c r="E158" s="11" t="s">
        <v>27</v>
      </c>
      <c r="F158" s="11" t="s">
        <v>131</v>
      </c>
      <c r="G158" s="12">
        <v>2.4</v>
      </c>
      <c r="H158" s="13">
        <v>141.82916666666671</v>
      </c>
      <c r="I158" s="11" t="s">
        <v>280</v>
      </c>
      <c r="J158" s="11" t="s">
        <v>30</v>
      </c>
      <c r="K158" s="7">
        <f>INDEX(Benchmark!$H$5:$H$807,MATCH(I158,Benchmark!$A$5:$A$807,0))</f>
        <v>129.95343283582091</v>
      </c>
      <c r="L158" s="14">
        <f t="shared" si="2"/>
        <v>9.1384533457067096E-2</v>
      </c>
      <c r="M158" s="16">
        <f>IF(L158&gt;Benchmark!$B$2,1,IF(L158&lt;-Benchmark!$B$2,5,3))</f>
        <v>1</v>
      </c>
      <c r="N158" s="3" t="s">
        <v>31</v>
      </c>
    </row>
    <row r="159" spans="1:14" x14ac:dyDescent="0.35">
      <c r="A159" s="11" t="s">
        <v>11</v>
      </c>
      <c r="B159" s="11" t="s">
        <v>281</v>
      </c>
      <c r="C159" s="11">
        <v>6</v>
      </c>
      <c r="D159" s="11">
        <v>4</v>
      </c>
      <c r="E159" s="11" t="s">
        <v>27</v>
      </c>
      <c r="F159" s="11" t="s">
        <v>43</v>
      </c>
      <c r="G159" s="12">
        <v>13.99</v>
      </c>
      <c r="H159" s="13">
        <v>115.4753395282345</v>
      </c>
      <c r="I159" s="11" t="s">
        <v>44</v>
      </c>
      <c r="J159" s="11" t="s">
        <v>30</v>
      </c>
      <c r="K159" s="7">
        <f>INDEX(Benchmark!$H$5:$H$807,MATCH(I159,Benchmark!$A$5:$A$807,0))</f>
        <v>118.6146621100209</v>
      </c>
      <c r="L159" s="14">
        <f t="shared" si="2"/>
        <v>-2.6466564301085516E-2</v>
      </c>
      <c r="M159" s="17">
        <f>IF(L159&gt;Benchmark!$B$2,1,IF(L159&lt;-Benchmark!$B$2,5,3))</f>
        <v>3</v>
      </c>
      <c r="N159" s="3" t="s">
        <v>31</v>
      </c>
    </row>
    <row r="160" spans="1:14" x14ac:dyDescent="0.35">
      <c r="A160" s="11" t="s">
        <v>11</v>
      </c>
      <c r="B160" s="11" t="s">
        <v>282</v>
      </c>
      <c r="C160" s="11">
        <v>6</v>
      </c>
      <c r="D160" s="11">
        <v>4</v>
      </c>
      <c r="E160" s="11" t="s">
        <v>78</v>
      </c>
      <c r="F160" s="11" t="s">
        <v>43</v>
      </c>
      <c r="G160" s="12">
        <v>10.73</v>
      </c>
      <c r="H160" s="13">
        <v>108.7912395153774</v>
      </c>
      <c r="I160" s="11" t="s">
        <v>80</v>
      </c>
      <c r="J160" s="11" t="s">
        <v>37</v>
      </c>
      <c r="K160" s="7">
        <f>INDEX(Benchmark!$H$5:$H$807,MATCH(I160,Benchmark!$A$5:$A$807,0))</f>
        <v>110.9357798165138</v>
      </c>
      <c r="L160" s="14">
        <f t="shared" si="2"/>
        <v>-1.9331367253048959E-2</v>
      </c>
      <c r="M160" s="17">
        <f>IF(L160&gt;Benchmark!$B$2,1,IF(L160&lt;-Benchmark!$B$2,5,3))</f>
        <v>3</v>
      </c>
      <c r="N160" s="3" t="s">
        <v>31</v>
      </c>
    </row>
    <row r="161" spans="1:14" x14ac:dyDescent="0.35">
      <c r="A161" s="11" t="s">
        <v>11</v>
      </c>
      <c r="B161" s="11" t="s">
        <v>283</v>
      </c>
      <c r="C161" s="11">
        <v>6</v>
      </c>
      <c r="D161" s="11">
        <v>4</v>
      </c>
      <c r="E161" s="11" t="s">
        <v>78</v>
      </c>
      <c r="F161" s="11" t="s">
        <v>43</v>
      </c>
      <c r="G161" s="12">
        <v>3.19</v>
      </c>
      <c r="H161" s="13">
        <v>94.742946708463961</v>
      </c>
      <c r="I161" s="11" t="s">
        <v>80</v>
      </c>
      <c r="J161" s="11" t="s">
        <v>37</v>
      </c>
      <c r="K161" s="7">
        <f>INDEX(Benchmark!$H$5:$H$807,MATCH(I161,Benchmark!$A$5:$A$807,0))</f>
        <v>110.9357798165138</v>
      </c>
      <c r="L161" s="14">
        <f t="shared" si="2"/>
        <v>-0.1459658293729269</v>
      </c>
      <c r="M161" s="15">
        <f>IF(L161&gt;Benchmark!$B$2,1,IF(L161&lt;-Benchmark!$B$2,5,3))</f>
        <v>5</v>
      </c>
      <c r="N161" s="3" t="s">
        <v>31</v>
      </c>
    </row>
    <row r="162" spans="1:14" x14ac:dyDescent="0.35">
      <c r="A162" s="11" t="s">
        <v>11</v>
      </c>
      <c r="B162" s="11" t="s">
        <v>284</v>
      </c>
      <c r="C162" s="11">
        <v>6</v>
      </c>
      <c r="D162" s="11">
        <v>1</v>
      </c>
      <c r="E162" s="11" t="s">
        <v>88</v>
      </c>
      <c r="F162" s="11" t="s">
        <v>101</v>
      </c>
      <c r="G162" s="12">
        <v>0.25</v>
      </c>
      <c r="H162" s="13">
        <v>96.72</v>
      </c>
      <c r="I162" s="11" t="s">
        <v>285</v>
      </c>
      <c r="J162" s="11" t="s">
        <v>30</v>
      </c>
      <c r="K162" s="7">
        <f>INDEX(Benchmark!$H$5:$H$807,MATCH(I162,Benchmark!$A$5:$A$807,0))</f>
        <v>103.61370515329421</v>
      </c>
      <c r="L162" s="14">
        <f t="shared" si="2"/>
        <v>-6.6532753973956638E-2</v>
      </c>
      <c r="M162" s="15">
        <f>IF(L162&gt;Benchmark!$B$2,1,IF(L162&lt;-Benchmark!$B$2,5,3))</f>
        <v>5</v>
      </c>
      <c r="N162" s="3" t="s">
        <v>31</v>
      </c>
    </row>
    <row r="163" spans="1:14" x14ac:dyDescent="0.35">
      <c r="A163" s="11" t="s">
        <v>11</v>
      </c>
      <c r="B163" s="11" t="s">
        <v>286</v>
      </c>
      <c r="C163" s="11">
        <v>6</v>
      </c>
      <c r="D163" s="11">
        <v>3</v>
      </c>
      <c r="E163" s="11" t="s">
        <v>48</v>
      </c>
      <c r="F163" s="11" t="s">
        <v>84</v>
      </c>
      <c r="G163" s="12">
        <v>4.63</v>
      </c>
      <c r="H163" s="13">
        <v>124.15766738660911</v>
      </c>
      <c r="I163" s="11" t="s">
        <v>85</v>
      </c>
      <c r="J163" s="11" t="s">
        <v>30</v>
      </c>
      <c r="K163" s="7">
        <f>INDEX(Benchmark!$H$5:$H$807,MATCH(I163,Benchmark!$A$5:$A$807,0))</f>
        <v>131.0681628892149</v>
      </c>
      <c r="L163" s="14">
        <f t="shared" si="2"/>
        <v>-5.2724440094936598E-2</v>
      </c>
      <c r="M163" s="15">
        <f>IF(L163&gt;Benchmark!$B$2,1,IF(L163&lt;-Benchmark!$B$2,5,3))</f>
        <v>5</v>
      </c>
      <c r="N163" s="3" t="s">
        <v>31</v>
      </c>
    </row>
    <row r="164" spans="1:14" x14ac:dyDescent="0.35">
      <c r="A164" s="11" t="s">
        <v>11</v>
      </c>
      <c r="B164" s="11" t="s">
        <v>287</v>
      </c>
      <c r="C164" s="11">
        <v>6</v>
      </c>
      <c r="D164" s="11">
        <v>2</v>
      </c>
      <c r="E164" s="11" t="s">
        <v>27</v>
      </c>
      <c r="F164" s="11" t="s">
        <v>84</v>
      </c>
      <c r="G164" s="12">
        <v>9.2100000000000009</v>
      </c>
      <c r="H164" s="13">
        <v>115.32356134636269</v>
      </c>
      <c r="I164" s="11" t="s">
        <v>154</v>
      </c>
      <c r="J164" s="11" t="s">
        <v>30</v>
      </c>
      <c r="K164" s="7">
        <f>INDEX(Benchmark!$H$5:$H$807,MATCH(I164,Benchmark!$A$5:$A$807,0))</f>
        <v>125.7999199629302</v>
      </c>
      <c r="L164" s="14">
        <f t="shared" si="2"/>
        <v>-8.3277943417250255E-2</v>
      </c>
      <c r="M164" s="15">
        <f>IF(L164&gt;Benchmark!$B$2,1,IF(L164&lt;-Benchmark!$B$2,5,3))</f>
        <v>5</v>
      </c>
      <c r="N164" s="3" t="s">
        <v>31</v>
      </c>
    </row>
    <row r="165" spans="1:14" x14ac:dyDescent="0.35">
      <c r="A165" s="11" t="s">
        <v>11</v>
      </c>
      <c r="B165" s="11" t="s">
        <v>288</v>
      </c>
      <c r="C165" s="11">
        <v>6</v>
      </c>
      <c r="D165" s="11">
        <v>2</v>
      </c>
      <c r="E165" s="11" t="s">
        <v>78</v>
      </c>
      <c r="F165" s="11" t="s">
        <v>84</v>
      </c>
      <c r="G165" s="12">
        <v>15.27</v>
      </c>
      <c r="H165" s="13">
        <v>109.1538965291421</v>
      </c>
      <c r="I165" s="11" t="s">
        <v>80</v>
      </c>
      <c r="J165" s="11" t="s">
        <v>37</v>
      </c>
      <c r="K165" s="7">
        <f>INDEX(Benchmark!$H$5:$H$807,MATCH(I165,Benchmark!$A$5:$A$807,0))</f>
        <v>110.9357798165138</v>
      </c>
      <c r="L165" s="14">
        <f t="shared" si="2"/>
        <v>-1.6062295594071685E-2</v>
      </c>
      <c r="M165" s="17">
        <f>IF(L165&gt;Benchmark!$B$2,1,IF(L165&lt;-Benchmark!$B$2,5,3))</f>
        <v>3</v>
      </c>
      <c r="N165" s="3" t="s">
        <v>31</v>
      </c>
    </row>
    <row r="166" spans="1:14" x14ac:dyDescent="0.35">
      <c r="A166" s="11" t="s">
        <v>11</v>
      </c>
      <c r="B166" s="11" t="s">
        <v>289</v>
      </c>
      <c r="C166" s="11">
        <v>6</v>
      </c>
      <c r="D166" s="11">
        <v>2</v>
      </c>
      <c r="E166" s="11" t="s">
        <v>34</v>
      </c>
      <c r="F166" s="11" t="s">
        <v>28</v>
      </c>
      <c r="G166" s="12">
        <v>2.66</v>
      </c>
      <c r="H166" s="13">
        <v>113.5563909774436</v>
      </c>
      <c r="I166" s="11" t="s">
        <v>46</v>
      </c>
      <c r="J166" s="11" t="s">
        <v>30</v>
      </c>
      <c r="K166" s="7">
        <f>INDEX(Benchmark!$H$5:$H$807,MATCH(I166,Benchmark!$A$5:$A$807,0))</f>
        <v>132.55534709193239</v>
      </c>
      <c r="L166" s="14">
        <f t="shared" si="2"/>
        <v>-0.14332847773626411</v>
      </c>
      <c r="M166" s="15">
        <f>IF(L166&gt;Benchmark!$B$2,1,IF(L166&lt;-Benchmark!$B$2,5,3))</f>
        <v>5</v>
      </c>
      <c r="N166" s="3" t="s">
        <v>31</v>
      </c>
    </row>
    <row r="167" spans="1:14" x14ac:dyDescent="0.35">
      <c r="A167" s="11" t="s">
        <v>11</v>
      </c>
      <c r="B167" s="11" t="s">
        <v>290</v>
      </c>
      <c r="C167" s="11">
        <v>6</v>
      </c>
      <c r="D167" s="11">
        <v>4</v>
      </c>
      <c r="E167" s="11" t="s">
        <v>27</v>
      </c>
      <c r="F167" s="11" t="s">
        <v>28</v>
      </c>
      <c r="G167" s="12">
        <v>3.83</v>
      </c>
      <c r="H167" s="13">
        <v>129.68668407310699</v>
      </c>
      <c r="I167" s="11" t="s">
        <v>29</v>
      </c>
      <c r="J167" s="11" t="s">
        <v>30</v>
      </c>
      <c r="K167" s="7">
        <f>INDEX(Benchmark!$H$5:$H$807,MATCH(I167,Benchmark!$A$5:$A$807,0))</f>
        <v>129.66292797447881</v>
      </c>
      <c r="L167" s="14">
        <f t="shared" si="2"/>
        <v>1.8321426948531006E-4</v>
      </c>
      <c r="M167" s="17">
        <f>IF(L167&gt;Benchmark!$B$2,1,IF(L167&lt;-Benchmark!$B$2,5,3))</f>
        <v>3</v>
      </c>
      <c r="N167" s="3" t="s">
        <v>31</v>
      </c>
    </row>
    <row r="168" spans="1:14" x14ac:dyDescent="0.35">
      <c r="A168" s="11" t="s">
        <v>11</v>
      </c>
      <c r="B168" s="11" t="s">
        <v>291</v>
      </c>
      <c r="C168" s="11">
        <v>6</v>
      </c>
      <c r="D168" s="11">
        <v>3</v>
      </c>
      <c r="E168" s="11" t="s">
        <v>48</v>
      </c>
      <c r="F168" s="11" t="s">
        <v>28</v>
      </c>
      <c r="G168" s="12">
        <v>2.5</v>
      </c>
      <c r="H168" s="13">
        <v>85.06</v>
      </c>
      <c r="I168" s="11" t="s">
        <v>232</v>
      </c>
      <c r="J168" s="11" t="s">
        <v>30</v>
      </c>
      <c r="K168" s="7">
        <f>INDEX(Benchmark!$H$5:$H$807,MATCH(I168,Benchmark!$A$5:$A$807,0))</f>
        <v>132.08750000000001</v>
      </c>
      <c r="L168" s="14">
        <f t="shared" si="2"/>
        <v>-0.35603293271505632</v>
      </c>
      <c r="M168" s="15">
        <f>IF(L168&gt;Benchmark!$B$2,1,IF(L168&lt;-Benchmark!$B$2,5,3))</f>
        <v>5</v>
      </c>
      <c r="N168" s="3" t="s">
        <v>31</v>
      </c>
    </row>
    <row r="169" spans="1:14" x14ac:dyDescent="0.35">
      <c r="A169" s="11" t="s">
        <v>11</v>
      </c>
      <c r="B169" s="11" t="s">
        <v>292</v>
      </c>
      <c r="C169" s="11">
        <v>6</v>
      </c>
      <c r="D169" s="11">
        <v>1</v>
      </c>
      <c r="E169" s="11" t="s">
        <v>34</v>
      </c>
      <c r="F169" s="11" t="s">
        <v>39</v>
      </c>
      <c r="G169" s="12">
        <v>11.61</v>
      </c>
      <c r="H169" s="13">
        <v>135.0008613264427</v>
      </c>
      <c r="I169" s="11" t="s">
        <v>51</v>
      </c>
      <c r="J169" s="11" t="s">
        <v>30</v>
      </c>
      <c r="K169" s="7">
        <f>INDEX(Benchmark!$H$5:$H$807,MATCH(I169,Benchmark!$A$5:$A$807,0))</f>
        <v>134.7097020626432</v>
      </c>
      <c r="L169" s="14">
        <f t="shared" si="2"/>
        <v>2.1613830284035185E-3</v>
      </c>
      <c r="M169" s="17">
        <f>IF(L169&gt;Benchmark!$B$2,1,IF(L169&lt;-Benchmark!$B$2,5,3))</f>
        <v>3</v>
      </c>
      <c r="N169" s="3" t="s">
        <v>31</v>
      </c>
    </row>
    <row r="170" spans="1:14" x14ac:dyDescent="0.35">
      <c r="A170" s="11" t="s">
        <v>11</v>
      </c>
      <c r="B170" s="11" t="s">
        <v>293</v>
      </c>
      <c r="C170" s="11">
        <v>6</v>
      </c>
      <c r="D170" s="11">
        <v>5</v>
      </c>
      <c r="E170" s="11" t="s">
        <v>27</v>
      </c>
      <c r="F170" s="11" t="s">
        <v>28</v>
      </c>
      <c r="G170" s="12">
        <v>15.48</v>
      </c>
      <c r="H170" s="13">
        <v>118.7209302325581</v>
      </c>
      <c r="I170" s="11" t="s">
        <v>29</v>
      </c>
      <c r="J170" s="11" t="s">
        <v>30</v>
      </c>
      <c r="K170" s="7">
        <f>INDEX(Benchmark!$H$5:$H$807,MATCH(I170,Benchmark!$A$5:$A$807,0))</f>
        <v>129.66292797447881</v>
      </c>
      <c r="L170" s="14">
        <f t="shared" si="2"/>
        <v>-8.438801986697686E-2</v>
      </c>
      <c r="M170" s="15">
        <f>IF(L170&gt;Benchmark!$B$2,1,IF(L170&lt;-Benchmark!$B$2,5,3))</f>
        <v>5</v>
      </c>
      <c r="N170" s="3" t="s">
        <v>31</v>
      </c>
    </row>
    <row r="171" spans="1:14" x14ac:dyDescent="0.35">
      <c r="A171" s="11" t="s">
        <v>11</v>
      </c>
      <c r="B171" s="11" t="s">
        <v>294</v>
      </c>
      <c r="C171" s="11">
        <v>7</v>
      </c>
      <c r="D171" s="11">
        <v>3</v>
      </c>
      <c r="E171" s="11" t="s">
        <v>48</v>
      </c>
      <c r="F171" s="11" t="s">
        <v>39</v>
      </c>
      <c r="G171" s="12">
        <v>15.46</v>
      </c>
      <c r="H171" s="13">
        <v>96.251617076325999</v>
      </c>
      <c r="I171" s="11" t="s">
        <v>49</v>
      </c>
      <c r="J171" s="11" t="s">
        <v>30</v>
      </c>
      <c r="K171" s="7">
        <f>INDEX(Benchmark!$H$5:$H$807,MATCH(I171,Benchmark!$A$5:$A$807,0))</f>
        <v>132.03967168262659</v>
      </c>
      <c r="L171" s="14">
        <f t="shared" si="2"/>
        <v>-0.27104016656692043</v>
      </c>
      <c r="M171" s="15">
        <f>IF(L171&gt;Benchmark!$B$2,1,IF(L171&lt;-Benchmark!$B$2,5,3))</f>
        <v>5</v>
      </c>
      <c r="N171" s="3" t="s">
        <v>31</v>
      </c>
    </row>
    <row r="172" spans="1:14" x14ac:dyDescent="0.35">
      <c r="A172" s="11" t="s">
        <v>11</v>
      </c>
      <c r="B172" s="11" t="s">
        <v>295</v>
      </c>
      <c r="C172" s="11">
        <v>7</v>
      </c>
      <c r="D172" s="11">
        <v>1</v>
      </c>
      <c r="E172" s="11" t="s">
        <v>27</v>
      </c>
      <c r="F172" s="11" t="s">
        <v>28</v>
      </c>
      <c r="G172" s="12">
        <v>3.44</v>
      </c>
      <c r="H172" s="13">
        <v>113.2529069767442</v>
      </c>
      <c r="I172" s="11" t="s">
        <v>29</v>
      </c>
      <c r="J172" s="11" t="s">
        <v>30</v>
      </c>
      <c r="K172" s="7">
        <f>INDEX(Benchmark!$H$5:$H$807,MATCH(I172,Benchmark!$A$5:$A$807,0))</f>
        <v>129.66292797447881</v>
      </c>
      <c r="L172" s="14">
        <f t="shared" si="2"/>
        <v>-0.12655908094998858</v>
      </c>
      <c r="M172" s="15">
        <f>IF(L172&gt;Benchmark!$B$2,1,IF(L172&lt;-Benchmark!$B$2,5,3))</f>
        <v>5</v>
      </c>
      <c r="N172" s="3" t="s">
        <v>31</v>
      </c>
    </row>
    <row r="173" spans="1:14" x14ac:dyDescent="0.35">
      <c r="A173" s="11" t="s">
        <v>11</v>
      </c>
      <c r="B173" s="11" t="s">
        <v>296</v>
      </c>
      <c r="C173" s="11">
        <v>7</v>
      </c>
      <c r="D173" s="11">
        <v>6</v>
      </c>
      <c r="E173" s="11" t="s">
        <v>34</v>
      </c>
      <c r="F173" s="11" t="s">
        <v>62</v>
      </c>
      <c r="G173" s="12">
        <v>12.53</v>
      </c>
      <c r="H173" s="13">
        <v>128.59138068635269</v>
      </c>
      <c r="I173" s="11" t="s">
        <v>162</v>
      </c>
      <c r="J173" s="11" t="s">
        <v>30</v>
      </c>
      <c r="K173" s="7">
        <f>INDEX(Benchmark!$H$5:$H$807,MATCH(I173,Benchmark!$A$5:$A$807,0))</f>
        <v>146.4499351604384</v>
      </c>
      <c r="L173" s="14">
        <f t="shared" si="2"/>
        <v>-0.12194306849314307</v>
      </c>
      <c r="M173" s="15">
        <f>IF(L173&gt;Benchmark!$B$2,1,IF(L173&lt;-Benchmark!$B$2,5,3))</f>
        <v>5</v>
      </c>
      <c r="N173" s="3" t="s">
        <v>31</v>
      </c>
    </row>
    <row r="174" spans="1:14" x14ac:dyDescent="0.35">
      <c r="A174" s="11" t="s">
        <v>11</v>
      </c>
      <c r="B174" s="11" t="s">
        <v>297</v>
      </c>
      <c r="C174" s="11">
        <v>7</v>
      </c>
      <c r="D174" s="11">
        <v>3</v>
      </c>
      <c r="E174" s="11" t="s">
        <v>48</v>
      </c>
      <c r="F174" s="11" t="s">
        <v>62</v>
      </c>
      <c r="G174" s="12">
        <v>7.38</v>
      </c>
      <c r="H174" s="13">
        <v>100.550135501355</v>
      </c>
      <c r="I174" s="11" t="s">
        <v>63</v>
      </c>
      <c r="J174" s="11" t="s">
        <v>30</v>
      </c>
      <c r="K174" s="7">
        <f>INDEX(Benchmark!$H$5:$H$807,MATCH(I174,Benchmark!$A$5:$A$807,0))</f>
        <v>137.65788021464641</v>
      </c>
      <c r="L174" s="14">
        <f t="shared" si="2"/>
        <v>-0.26956498716550226</v>
      </c>
      <c r="M174" s="15">
        <f>IF(L174&gt;Benchmark!$B$2,1,IF(L174&lt;-Benchmark!$B$2,5,3))</f>
        <v>5</v>
      </c>
      <c r="N174" s="3" t="s">
        <v>31</v>
      </c>
    </row>
    <row r="175" spans="1:14" x14ac:dyDescent="0.35">
      <c r="A175" s="11" t="s">
        <v>11</v>
      </c>
      <c r="B175" s="11" t="s">
        <v>298</v>
      </c>
      <c r="C175" s="11">
        <v>7</v>
      </c>
      <c r="D175" s="11">
        <v>2</v>
      </c>
      <c r="E175" s="11" t="s">
        <v>88</v>
      </c>
      <c r="F175" s="11" t="s">
        <v>35</v>
      </c>
      <c r="G175" s="12">
        <v>2.5499999999999998</v>
      </c>
      <c r="H175" s="13">
        <v>97.286274509803931</v>
      </c>
      <c r="I175" s="11" t="s">
        <v>299</v>
      </c>
      <c r="J175" s="11" t="s">
        <v>30</v>
      </c>
      <c r="K175" s="7">
        <f>INDEX(Benchmark!$H$5:$H$807,MATCH(I175,Benchmark!$A$5:$A$807,0))</f>
        <v>128.89077212806029</v>
      </c>
      <c r="L175" s="14">
        <f t="shared" si="2"/>
        <v>-0.24520372635253906</v>
      </c>
      <c r="M175" s="15">
        <f>IF(L175&gt;Benchmark!$B$2,1,IF(L175&lt;-Benchmark!$B$2,5,3))</f>
        <v>5</v>
      </c>
      <c r="N175" s="3" t="s">
        <v>31</v>
      </c>
    </row>
    <row r="176" spans="1:14" x14ac:dyDescent="0.35">
      <c r="A176" s="11" t="s">
        <v>11</v>
      </c>
      <c r="B176" s="11" t="s">
        <v>300</v>
      </c>
      <c r="C176" s="11">
        <v>7</v>
      </c>
      <c r="D176" s="11">
        <v>1</v>
      </c>
      <c r="E176" s="11" t="s">
        <v>48</v>
      </c>
      <c r="F176" s="11" t="s">
        <v>35</v>
      </c>
      <c r="G176" s="12">
        <v>12.6</v>
      </c>
      <c r="H176" s="13">
        <v>99.384920634920633</v>
      </c>
      <c r="I176" s="11" t="s">
        <v>74</v>
      </c>
      <c r="J176" s="11" t="s">
        <v>37</v>
      </c>
      <c r="K176" s="7">
        <f>INDEX(Benchmark!$H$5:$H$807,MATCH(I176,Benchmark!$A$5:$A$807,0))</f>
        <v>131.10214067278289</v>
      </c>
      <c r="L176" s="14">
        <f t="shared" si="2"/>
        <v>-0.24192755263260801</v>
      </c>
      <c r="M176" s="15">
        <f>IF(L176&gt;Benchmark!$B$2,1,IF(L176&lt;-Benchmark!$B$2,5,3))</f>
        <v>5</v>
      </c>
      <c r="N176" s="3" t="s">
        <v>31</v>
      </c>
    </row>
    <row r="177" spans="1:14" x14ac:dyDescent="0.35">
      <c r="A177" s="11" t="s">
        <v>11</v>
      </c>
      <c r="B177" s="11" t="s">
        <v>301</v>
      </c>
      <c r="C177" s="11">
        <v>7</v>
      </c>
      <c r="D177" s="11">
        <v>2</v>
      </c>
      <c r="E177" s="11" t="s">
        <v>48</v>
      </c>
      <c r="F177" s="11" t="s">
        <v>39</v>
      </c>
      <c r="G177" s="12">
        <v>17.329999999999998</v>
      </c>
      <c r="H177" s="13">
        <v>106.04558568955569</v>
      </c>
      <c r="I177" s="11" t="s">
        <v>49</v>
      </c>
      <c r="J177" s="11" t="s">
        <v>30</v>
      </c>
      <c r="K177" s="7">
        <f>INDEX(Benchmark!$H$5:$H$807,MATCH(I177,Benchmark!$A$5:$A$807,0))</f>
        <v>132.03967168262659</v>
      </c>
      <c r="L177" s="14">
        <f t="shared" si="2"/>
        <v>-0.19686572726074969</v>
      </c>
      <c r="M177" s="15">
        <f>IF(L177&gt;Benchmark!$B$2,1,IF(L177&lt;-Benchmark!$B$2,5,3))</f>
        <v>5</v>
      </c>
      <c r="N177" s="3" t="s">
        <v>31</v>
      </c>
    </row>
    <row r="178" spans="1:14" x14ac:dyDescent="0.35">
      <c r="A178" s="11" t="s">
        <v>11</v>
      </c>
      <c r="B178" s="11" t="s">
        <v>302</v>
      </c>
      <c r="C178" s="11">
        <v>7</v>
      </c>
      <c r="D178" s="11">
        <v>2</v>
      </c>
      <c r="E178" s="11" t="s">
        <v>48</v>
      </c>
      <c r="F178" s="11" t="s">
        <v>39</v>
      </c>
      <c r="G178" s="12">
        <v>4.45</v>
      </c>
      <c r="H178" s="13">
        <v>83.977528089887628</v>
      </c>
      <c r="I178" s="11" t="s">
        <v>49</v>
      </c>
      <c r="J178" s="11" t="s">
        <v>30</v>
      </c>
      <c r="K178" s="7">
        <f>INDEX(Benchmark!$H$5:$H$807,MATCH(I178,Benchmark!$A$5:$A$807,0))</f>
        <v>132.03967168262659</v>
      </c>
      <c r="L178" s="14">
        <f t="shared" si="2"/>
        <v>-0.36399775143535773</v>
      </c>
      <c r="M178" s="15">
        <f>IF(L178&gt;Benchmark!$B$2,1,IF(L178&lt;-Benchmark!$B$2,5,3))</f>
        <v>5</v>
      </c>
      <c r="N178" s="3" t="s">
        <v>31</v>
      </c>
    </row>
    <row r="179" spans="1:14" x14ac:dyDescent="0.35">
      <c r="A179" s="11" t="s">
        <v>11</v>
      </c>
      <c r="B179" s="11" t="s">
        <v>303</v>
      </c>
      <c r="C179" s="11">
        <v>7</v>
      </c>
      <c r="D179" s="11">
        <v>3</v>
      </c>
      <c r="E179" s="11" t="s">
        <v>48</v>
      </c>
      <c r="F179" s="11" t="s">
        <v>39</v>
      </c>
      <c r="G179" s="12">
        <v>8.7200000000000006</v>
      </c>
      <c r="H179" s="13">
        <v>91.66972477064219</v>
      </c>
      <c r="I179" s="11" t="s">
        <v>49</v>
      </c>
      <c r="J179" s="11" t="s">
        <v>30</v>
      </c>
      <c r="K179" s="7">
        <f>INDEX(Benchmark!$H$5:$H$807,MATCH(I179,Benchmark!$A$5:$A$807,0))</f>
        <v>132.03967168262659</v>
      </c>
      <c r="L179" s="14">
        <f t="shared" si="2"/>
        <v>-0.30574104280582037</v>
      </c>
      <c r="M179" s="15">
        <f>IF(L179&gt;Benchmark!$B$2,1,IF(L179&lt;-Benchmark!$B$2,5,3))</f>
        <v>5</v>
      </c>
      <c r="N179" s="3" t="s">
        <v>31</v>
      </c>
    </row>
    <row r="180" spans="1:14" x14ac:dyDescent="0.35">
      <c r="A180" s="11" t="s">
        <v>11</v>
      </c>
      <c r="B180" s="11" t="s">
        <v>304</v>
      </c>
      <c r="C180" s="11">
        <v>7</v>
      </c>
      <c r="D180" s="11">
        <v>5</v>
      </c>
      <c r="E180" s="11" t="s">
        <v>305</v>
      </c>
      <c r="F180" s="11" t="s">
        <v>35</v>
      </c>
      <c r="G180" s="12">
        <v>6.97</v>
      </c>
      <c r="H180" s="13">
        <v>128.00286944045911</v>
      </c>
      <c r="I180" s="11" t="s">
        <v>306</v>
      </c>
      <c r="J180" s="11" t="s">
        <v>37</v>
      </c>
      <c r="K180" s="7">
        <f>INDEX(Benchmark!$H$5:$H$807,MATCH(I180,Benchmark!$A$5:$A$807,0))</f>
        <v>108.9637989234559</v>
      </c>
      <c r="L180" s="14">
        <f t="shared" si="2"/>
        <v>0.17472840250712651</v>
      </c>
      <c r="M180" s="16">
        <f>IF(L180&gt;Benchmark!$B$2,1,IF(L180&lt;-Benchmark!$B$2,5,3))</f>
        <v>1</v>
      </c>
      <c r="N180" s="3" t="s">
        <v>31</v>
      </c>
    </row>
    <row r="181" spans="1:14" x14ac:dyDescent="0.35">
      <c r="A181" s="11" t="s">
        <v>11</v>
      </c>
      <c r="B181" s="11" t="s">
        <v>307</v>
      </c>
      <c r="C181" s="11">
        <v>7</v>
      </c>
      <c r="D181" s="11">
        <v>7</v>
      </c>
      <c r="E181" s="11" t="s">
        <v>27</v>
      </c>
      <c r="F181" s="11" t="s">
        <v>35</v>
      </c>
      <c r="G181" s="12">
        <v>6.54</v>
      </c>
      <c r="H181" s="13">
        <v>139.0764525993884</v>
      </c>
      <c r="I181" s="11" t="s">
        <v>68</v>
      </c>
      <c r="J181" s="11" t="s">
        <v>30</v>
      </c>
      <c r="K181" s="7">
        <f>INDEX(Benchmark!$H$5:$H$807,MATCH(I181,Benchmark!$A$5:$A$807,0))</f>
        <v>149.56687408187591</v>
      </c>
      <c r="L181" s="14">
        <f t="shared" si="2"/>
        <v>-7.0138669052779989E-2</v>
      </c>
      <c r="M181" s="15">
        <f>IF(L181&gt;Benchmark!$B$2,1,IF(L181&lt;-Benchmark!$B$2,5,3))</f>
        <v>5</v>
      </c>
      <c r="N181" s="3" t="s">
        <v>31</v>
      </c>
    </row>
    <row r="182" spans="1:14" x14ac:dyDescent="0.35">
      <c r="A182" s="11" t="s">
        <v>11</v>
      </c>
      <c r="B182" s="11" t="s">
        <v>308</v>
      </c>
      <c r="C182" s="11">
        <v>7</v>
      </c>
      <c r="D182" s="11">
        <v>1</v>
      </c>
      <c r="E182" s="11" t="s">
        <v>34</v>
      </c>
      <c r="F182" s="11" t="s">
        <v>62</v>
      </c>
      <c r="G182" s="12">
        <v>3</v>
      </c>
      <c r="H182" s="13">
        <v>157.00666666666669</v>
      </c>
      <c r="I182" s="11" t="s">
        <v>162</v>
      </c>
      <c r="J182" s="11" t="s">
        <v>30</v>
      </c>
      <c r="K182" s="7">
        <f>INDEX(Benchmark!$H$5:$H$807,MATCH(I182,Benchmark!$A$5:$A$807,0))</f>
        <v>146.4499351604384</v>
      </c>
      <c r="L182" s="14">
        <f t="shared" si="2"/>
        <v>7.2084234756834897E-2</v>
      </c>
      <c r="M182" s="16">
        <f>IF(L182&gt;Benchmark!$B$2,1,IF(L182&lt;-Benchmark!$B$2,5,3))</f>
        <v>1</v>
      </c>
      <c r="N182" s="3" t="s">
        <v>31</v>
      </c>
    </row>
    <row r="183" spans="1:14" x14ac:dyDescent="0.35">
      <c r="A183" s="11" t="s">
        <v>11</v>
      </c>
      <c r="B183" s="11" t="s">
        <v>309</v>
      </c>
      <c r="C183" s="11">
        <v>7</v>
      </c>
      <c r="D183" s="11">
        <v>3</v>
      </c>
      <c r="E183" s="11" t="s">
        <v>27</v>
      </c>
      <c r="F183" s="11" t="s">
        <v>54</v>
      </c>
      <c r="G183" s="12">
        <v>10.51</v>
      </c>
      <c r="H183" s="13">
        <v>107.62131303520459</v>
      </c>
      <c r="I183" s="11" t="s">
        <v>144</v>
      </c>
      <c r="J183" s="11" t="s">
        <v>37</v>
      </c>
      <c r="K183" s="7">
        <f>INDEX(Benchmark!$H$5:$H$807,MATCH(I183,Benchmark!$A$5:$A$807,0))</f>
        <v>131.49167927382749</v>
      </c>
      <c r="L183" s="14">
        <f t="shared" si="2"/>
        <v>-0.18153518435880323</v>
      </c>
      <c r="M183" s="15">
        <f>IF(L183&gt;Benchmark!$B$2,1,IF(L183&lt;-Benchmark!$B$2,5,3))</f>
        <v>5</v>
      </c>
      <c r="N183" s="3" t="s">
        <v>31</v>
      </c>
    </row>
    <row r="184" spans="1:14" x14ac:dyDescent="0.35">
      <c r="A184" s="11" t="s">
        <v>11</v>
      </c>
      <c r="B184" s="11" t="s">
        <v>310</v>
      </c>
      <c r="C184" s="11">
        <v>7</v>
      </c>
      <c r="D184" s="11">
        <v>7</v>
      </c>
      <c r="E184" s="11" t="s">
        <v>27</v>
      </c>
      <c r="F184" s="11" t="s">
        <v>39</v>
      </c>
      <c r="G184" s="12">
        <v>9.3000000000000007</v>
      </c>
      <c r="H184" s="13">
        <v>134.10537634408601</v>
      </c>
      <c r="I184" s="11" t="s">
        <v>40</v>
      </c>
      <c r="J184" s="11" t="s">
        <v>30</v>
      </c>
      <c r="K184" s="7">
        <f>INDEX(Benchmark!$H$5:$H$807,MATCH(I184,Benchmark!$A$5:$A$807,0))</f>
        <v>132.44401544401541</v>
      </c>
      <c r="L184" s="14">
        <f t="shared" si="2"/>
        <v>1.2543872930014466E-2</v>
      </c>
      <c r="M184" s="17">
        <f>IF(L184&gt;Benchmark!$B$2,1,IF(L184&lt;-Benchmark!$B$2,5,3))</f>
        <v>3</v>
      </c>
      <c r="N184" s="3" t="s">
        <v>31</v>
      </c>
    </row>
    <row r="185" spans="1:14" x14ac:dyDescent="0.35">
      <c r="A185" s="11" t="s">
        <v>11</v>
      </c>
      <c r="B185" s="11" t="s">
        <v>311</v>
      </c>
      <c r="C185" s="11">
        <v>7</v>
      </c>
      <c r="D185" s="11">
        <v>5</v>
      </c>
      <c r="E185" s="11" t="s">
        <v>27</v>
      </c>
      <c r="F185" s="11" t="s">
        <v>39</v>
      </c>
      <c r="G185" s="12">
        <v>10.119999999999999</v>
      </c>
      <c r="H185" s="13">
        <v>144.8379446640316</v>
      </c>
      <c r="I185" s="11" t="s">
        <v>40</v>
      </c>
      <c r="J185" s="11" t="s">
        <v>30</v>
      </c>
      <c r="K185" s="7">
        <f>INDEX(Benchmark!$H$5:$H$807,MATCH(I185,Benchmark!$A$5:$A$807,0))</f>
        <v>132.44401544401541</v>
      </c>
      <c r="L185" s="14">
        <f t="shared" si="2"/>
        <v>9.3578627758044375E-2</v>
      </c>
      <c r="M185" s="16">
        <f>IF(L185&gt;Benchmark!$B$2,1,IF(L185&lt;-Benchmark!$B$2,5,3))</f>
        <v>1</v>
      </c>
      <c r="N185" s="3" t="s">
        <v>31</v>
      </c>
    </row>
    <row r="186" spans="1:14" x14ac:dyDescent="0.35">
      <c r="A186" s="11" t="s">
        <v>11</v>
      </c>
      <c r="B186" s="11" t="s">
        <v>312</v>
      </c>
      <c r="C186" s="11">
        <v>7</v>
      </c>
      <c r="D186" s="11">
        <v>6</v>
      </c>
      <c r="E186" s="11" t="s">
        <v>156</v>
      </c>
      <c r="F186" s="11" t="s">
        <v>186</v>
      </c>
      <c r="G186" s="12">
        <v>6.15</v>
      </c>
      <c r="H186" s="13">
        <v>119.83902439024391</v>
      </c>
      <c r="I186" s="11" t="s">
        <v>313</v>
      </c>
      <c r="J186" s="11" t="s">
        <v>30</v>
      </c>
      <c r="K186" s="7">
        <f>INDEX(Benchmark!$H$5:$H$807,MATCH(I186,Benchmark!$A$5:$A$807,0))</f>
        <v>117.0510318949343</v>
      </c>
      <c r="L186" s="14">
        <f t="shared" si="2"/>
        <v>2.3818606723707614E-2</v>
      </c>
      <c r="M186" s="17">
        <f>IF(L186&gt;Benchmark!$B$2,1,IF(L186&lt;-Benchmark!$B$2,5,3))</f>
        <v>3</v>
      </c>
      <c r="N186" s="3" t="s">
        <v>31</v>
      </c>
    </row>
    <row r="187" spans="1:14" x14ac:dyDescent="0.35">
      <c r="A187" s="11" t="s">
        <v>11</v>
      </c>
      <c r="B187" s="11" t="s">
        <v>314</v>
      </c>
      <c r="C187" s="11">
        <v>7</v>
      </c>
      <c r="D187" s="11">
        <v>3</v>
      </c>
      <c r="E187" s="11" t="s">
        <v>78</v>
      </c>
      <c r="F187" s="11" t="s">
        <v>186</v>
      </c>
      <c r="G187" s="12">
        <v>1.1499999999999999</v>
      </c>
      <c r="H187" s="13">
        <v>134.32173913043479</v>
      </c>
      <c r="I187" s="11" t="s">
        <v>80</v>
      </c>
      <c r="J187" s="11" t="s">
        <v>37</v>
      </c>
      <c r="K187" s="7">
        <f>INDEX(Benchmark!$H$5:$H$807,MATCH(I187,Benchmark!$A$5:$A$807,0))</f>
        <v>110.9357798165138</v>
      </c>
      <c r="L187" s="14">
        <f t="shared" si="2"/>
        <v>0.21080628227070686</v>
      </c>
      <c r="M187" s="16">
        <f>IF(L187&gt;Benchmark!$B$2,1,IF(L187&lt;-Benchmark!$B$2,5,3))</f>
        <v>1</v>
      </c>
      <c r="N187" s="3" t="s">
        <v>31</v>
      </c>
    </row>
    <row r="188" spans="1:14" x14ac:dyDescent="0.35">
      <c r="A188" s="11" t="s">
        <v>11</v>
      </c>
      <c r="B188" s="11" t="s">
        <v>315</v>
      </c>
      <c r="C188" s="11">
        <v>7</v>
      </c>
      <c r="D188" s="11">
        <v>3</v>
      </c>
      <c r="E188" s="11" t="s">
        <v>78</v>
      </c>
      <c r="F188" s="11" t="s">
        <v>28</v>
      </c>
      <c r="G188" s="12">
        <v>10.39</v>
      </c>
      <c r="H188" s="13">
        <v>113.669874879692</v>
      </c>
      <c r="I188" s="11" t="s">
        <v>80</v>
      </c>
      <c r="J188" s="11" t="s">
        <v>37</v>
      </c>
      <c r="K188" s="7">
        <f>INDEX(Benchmark!$H$5:$H$807,MATCH(I188,Benchmark!$A$5:$A$807,0))</f>
        <v>110.9357798165138</v>
      </c>
      <c r="L188" s="14">
        <f t="shared" si="2"/>
        <v>2.4645746103739929E-2</v>
      </c>
      <c r="M188" s="17">
        <f>IF(L188&gt;Benchmark!$B$2,1,IF(L188&lt;-Benchmark!$B$2,5,3))</f>
        <v>3</v>
      </c>
      <c r="N188" s="3" t="s">
        <v>31</v>
      </c>
    </row>
    <row r="189" spans="1:14" x14ac:dyDescent="0.35">
      <c r="A189" s="11" t="s">
        <v>11</v>
      </c>
      <c r="B189" s="11" t="s">
        <v>316</v>
      </c>
      <c r="C189" s="11">
        <v>7</v>
      </c>
      <c r="D189" s="11">
        <v>3</v>
      </c>
      <c r="E189" s="11" t="s">
        <v>27</v>
      </c>
      <c r="F189" s="11" t="s">
        <v>84</v>
      </c>
      <c r="G189" s="12">
        <v>3.64</v>
      </c>
      <c r="H189" s="13">
        <v>111.4807692307692</v>
      </c>
      <c r="I189" s="11" t="s">
        <v>154</v>
      </c>
      <c r="J189" s="11" t="s">
        <v>30</v>
      </c>
      <c r="K189" s="7">
        <f>INDEX(Benchmark!$H$5:$H$807,MATCH(I189,Benchmark!$A$5:$A$807,0))</f>
        <v>125.7999199629302</v>
      </c>
      <c r="L189" s="14">
        <f t="shared" si="2"/>
        <v>-0.11382480001879547</v>
      </c>
      <c r="M189" s="15">
        <f>IF(L189&gt;Benchmark!$B$2,1,IF(L189&lt;-Benchmark!$B$2,5,3))</f>
        <v>5</v>
      </c>
      <c r="N189" s="3" t="s">
        <v>31</v>
      </c>
    </row>
    <row r="190" spans="1:14" x14ac:dyDescent="0.35">
      <c r="A190" s="11" t="s">
        <v>11</v>
      </c>
      <c r="B190" s="11" t="s">
        <v>317</v>
      </c>
      <c r="C190" s="11">
        <v>7</v>
      </c>
      <c r="D190" s="11">
        <v>5</v>
      </c>
      <c r="E190" s="11" t="s">
        <v>27</v>
      </c>
      <c r="F190" s="11" t="s">
        <v>84</v>
      </c>
      <c r="G190" s="12">
        <v>2.78</v>
      </c>
      <c r="H190" s="13">
        <v>64.938848920863308</v>
      </c>
      <c r="I190" s="11" t="s">
        <v>154</v>
      </c>
      <c r="J190" s="11" t="s">
        <v>30</v>
      </c>
      <c r="K190" s="7">
        <f>INDEX(Benchmark!$H$5:$H$807,MATCH(I190,Benchmark!$A$5:$A$807,0))</f>
        <v>125.7999199629302</v>
      </c>
      <c r="L190" s="14">
        <f t="shared" si="2"/>
        <v>-0.48379260543250735</v>
      </c>
      <c r="M190" s="15">
        <f>IF(L190&gt;Benchmark!$B$2,1,IF(L190&lt;-Benchmark!$B$2,5,3))</f>
        <v>5</v>
      </c>
      <c r="N190" s="3" t="s">
        <v>31</v>
      </c>
    </row>
    <row r="191" spans="1:14" x14ac:dyDescent="0.35">
      <c r="A191" s="11" t="s">
        <v>11</v>
      </c>
      <c r="B191" s="11" t="s">
        <v>318</v>
      </c>
      <c r="C191" s="11">
        <v>7</v>
      </c>
      <c r="D191" s="11">
        <v>3</v>
      </c>
      <c r="E191" s="11" t="s">
        <v>27</v>
      </c>
      <c r="F191" s="11" t="s">
        <v>84</v>
      </c>
      <c r="G191" s="12">
        <v>7.32</v>
      </c>
      <c r="H191" s="13">
        <v>123.5956284153005</v>
      </c>
      <c r="I191" s="11" t="s">
        <v>154</v>
      </c>
      <c r="J191" s="11" t="s">
        <v>30</v>
      </c>
      <c r="K191" s="7">
        <f>INDEX(Benchmark!$H$5:$H$807,MATCH(I191,Benchmark!$A$5:$A$807,0))</f>
        <v>125.7999199629302</v>
      </c>
      <c r="L191" s="14">
        <f t="shared" si="2"/>
        <v>-1.7522201510773994E-2</v>
      </c>
      <c r="M191" s="17">
        <f>IF(L191&gt;Benchmark!$B$2,1,IF(L191&lt;-Benchmark!$B$2,5,3))</f>
        <v>3</v>
      </c>
      <c r="N191" s="3" t="s">
        <v>31</v>
      </c>
    </row>
    <row r="192" spans="1:14" x14ac:dyDescent="0.35">
      <c r="A192" s="11" t="s">
        <v>11</v>
      </c>
      <c r="B192" s="11" t="s">
        <v>319</v>
      </c>
      <c r="C192" s="11">
        <v>7</v>
      </c>
      <c r="D192" s="11">
        <v>3</v>
      </c>
      <c r="E192" s="11" t="s">
        <v>48</v>
      </c>
      <c r="F192" s="11" t="s">
        <v>89</v>
      </c>
      <c r="G192" s="12">
        <v>9.19</v>
      </c>
      <c r="H192" s="13">
        <v>90.658324265505982</v>
      </c>
      <c r="I192" s="11" t="s">
        <v>74</v>
      </c>
      <c r="J192" s="11" t="s">
        <v>37</v>
      </c>
      <c r="K192" s="7">
        <f>INDEX(Benchmark!$H$5:$H$807,MATCH(I192,Benchmark!$A$5:$A$807,0))</f>
        <v>131.10214067278289</v>
      </c>
      <c r="L192" s="14">
        <f t="shared" si="2"/>
        <v>-0.30849089267138974</v>
      </c>
      <c r="M192" s="15">
        <f>IF(L192&gt;Benchmark!$B$2,1,IF(L192&lt;-Benchmark!$B$2,5,3))</f>
        <v>5</v>
      </c>
      <c r="N192" s="3" t="s">
        <v>31</v>
      </c>
    </row>
    <row r="193" spans="1:14" x14ac:dyDescent="0.35">
      <c r="A193" s="11" t="s">
        <v>11</v>
      </c>
      <c r="B193" s="11" t="s">
        <v>320</v>
      </c>
      <c r="C193" s="11">
        <v>7</v>
      </c>
      <c r="D193" s="11">
        <v>2</v>
      </c>
      <c r="E193" s="11" t="s">
        <v>34</v>
      </c>
      <c r="F193" s="11" t="s">
        <v>62</v>
      </c>
      <c r="G193" s="12">
        <v>7.78</v>
      </c>
      <c r="H193" s="13">
        <v>123.9537275064267</v>
      </c>
      <c r="I193" s="11" t="s">
        <v>162</v>
      </c>
      <c r="J193" s="11" t="s">
        <v>30</v>
      </c>
      <c r="K193" s="7">
        <f>INDEX(Benchmark!$H$5:$H$807,MATCH(I193,Benchmark!$A$5:$A$807,0))</f>
        <v>146.4499351604384</v>
      </c>
      <c r="L193" s="14">
        <f t="shared" si="2"/>
        <v>-0.15361022611151531</v>
      </c>
      <c r="M193" s="15">
        <f>IF(L193&gt;Benchmark!$B$2,1,IF(L193&lt;-Benchmark!$B$2,5,3))</f>
        <v>5</v>
      </c>
      <c r="N193" s="3" t="s">
        <v>31</v>
      </c>
    </row>
    <row r="194" spans="1:14" x14ac:dyDescent="0.35">
      <c r="A194" s="11" t="s">
        <v>11</v>
      </c>
      <c r="B194" s="11" t="s">
        <v>321</v>
      </c>
      <c r="C194" s="11">
        <v>7</v>
      </c>
      <c r="D194" s="11">
        <v>1</v>
      </c>
      <c r="E194" s="11" t="s">
        <v>78</v>
      </c>
      <c r="F194" s="11" t="s">
        <v>93</v>
      </c>
      <c r="G194" s="12">
        <v>8.6300000000000008</v>
      </c>
      <c r="H194" s="13">
        <v>149.8852838933951</v>
      </c>
      <c r="I194" s="11" t="s">
        <v>94</v>
      </c>
      <c r="J194" s="11" t="s">
        <v>30</v>
      </c>
      <c r="K194" s="7">
        <f>INDEX(Benchmark!$H$5:$H$807,MATCH(I194,Benchmark!$A$5:$A$807,0))</f>
        <v>110.9357798165138</v>
      </c>
      <c r="L194" s="14">
        <f t="shared" si="2"/>
        <v>0.35109956536388198</v>
      </c>
      <c r="M194" s="16">
        <f>IF(L194&gt;Benchmark!$B$2,1,IF(L194&lt;-Benchmark!$B$2,5,3))</f>
        <v>1</v>
      </c>
      <c r="N194" s="3" t="s">
        <v>31</v>
      </c>
    </row>
    <row r="195" spans="1:14" x14ac:dyDescent="0.35">
      <c r="A195" s="11" t="s">
        <v>11</v>
      </c>
      <c r="B195" s="11" t="s">
        <v>322</v>
      </c>
      <c r="C195" s="11">
        <v>7</v>
      </c>
      <c r="D195" s="11">
        <v>7</v>
      </c>
      <c r="E195" s="11" t="s">
        <v>156</v>
      </c>
      <c r="F195" s="11" t="s">
        <v>43</v>
      </c>
      <c r="G195" s="12">
        <v>13.86</v>
      </c>
      <c r="H195" s="13">
        <v>114.12481962481959</v>
      </c>
      <c r="I195" s="11" t="s">
        <v>227</v>
      </c>
      <c r="J195" s="11" t="s">
        <v>30</v>
      </c>
      <c r="K195" s="7">
        <f>INDEX(Benchmark!$H$5:$H$807,MATCH(I195,Benchmark!$A$5:$A$807,0))</f>
        <v>106.9290263876251</v>
      </c>
      <c r="L195" s="14">
        <f t="shared" si="2"/>
        <v>6.7295041209009421E-2</v>
      </c>
      <c r="M195" s="16">
        <f>IF(L195&gt;Benchmark!$B$2,1,IF(L195&lt;-Benchmark!$B$2,5,3))</f>
        <v>1</v>
      </c>
      <c r="N195" s="3" t="s">
        <v>31</v>
      </c>
    </row>
    <row r="196" spans="1:14" x14ac:dyDescent="0.35">
      <c r="A196" s="11" t="s">
        <v>11</v>
      </c>
      <c r="B196" s="11" t="s">
        <v>323</v>
      </c>
      <c r="C196" s="11">
        <v>7</v>
      </c>
      <c r="D196" s="11">
        <v>3</v>
      </c>
      <c r="E196" s="11" t="s">
        <v>104</v>
      </c>
      <c r="F196" s="11" t="s">
        <v>43</v>
      </c>
      <c r="G196" s="12">
        <v>18.63</v>
      </c>
      <c r="H196" s="13">
        <v>118.79924852388621</v>
      </c>
      <c r="I196" s="11" t="s">
        <v>324</v>
      </c>
      <c r="J196" s="11" t="s">
        <v>30</v>
      </c>
      <c r="K196" s="7">
        <f>INDEX(Benchmark!$H$5:$H$807,MATCH(I196,Benchmark!$A$5:$A$807,0))</f>
        <v>109.75467980295571</v>
      </c>
      <c r="L196" s="14">
        <f t="shared" si="2"/>
        <v>8.2407135050353686E-2</v>
      </c>
      <c r="M196" s="16">
        <f>IF(L196&gt;Benchmark!$B$2,1,IF(L196&lt;-Benchmark!$B$2,5,3))</f>
        <v>1</v>
      </c>
      <c r="N196" s="3" t="s">
        <v>31</v>
      </c>
    </row>
    <row r="197" spans="1:14" x14ac:dyDescent="0.35">
      <c r="A197" s="11" t="s">
        <v>11</v>
      </c>
      <c r="B197" s="11" t="s">
        <v>325</v>
      </c>
      <c r="C197" s="11">
        <v>7</v>
      </c>
      <c r="D197" s="11">
        <v>1</v>
      </c>
      <c r="E197" s="11" t="s">
        <v>78</v>
      </c>
      <c r="F197" s="11" t="s">
        <v>43</v>
      </c>
      <c r="G197" s="12">
        <v>6.01</v>
      </c>
      <c r="H197" s="13">
        <v>159.79201331114811</v>
      </c>
      <c r="I197" s="11" t="s">
        <v>80</v>
      </c>
      <c r="J197" s="11" t="s">
        <v>37</v>
      </c>
      <c r="K197" s="7">
        <f>INDEX(Benchmark!$H$5:$H$807,MATCH(I197,Benchmark!$A$5:$A$807,0))</f>
        <v>110.9357798165138</v>
      </c>
      <c r="L197" s="14">
        <f t="shared" ref="L197:L260" si="3">H197/K197-1</f>
        <v>0.44040104622189369</v>
      </c>
      <c r="M197" s="16">
        <f>IF(L197&gt;Benchmark!$B$2,1,IF(L197&lt;-Benchmark!$B$2,5,3))</f>
        <v>1</v>
      </c>
      <c r="N197" s="3" t="s">
        <v>31</v>
      </c>
    </row>
    <row r="198" spans="1:14" x14ac:dyDescent="0.35">
      <c r="A198" s="11" t="s">
        <v>11</v>
      </c>
      <c r="B198" s="11" t="s">
        <v>326</v>
      </c>
      <c r="C198" s="11">
        <v>7</v>
      </c>
      <c r="D198" s="11">
        <v>3</v>
      </c>
      <c r="E198" s="11" t="s">
        <v>27</v>
      </c>
      <c r="F198" s="11" t="s">
        <v>43</v>
      </c>
      <c r="G198" s="12">
        <v>4.03</v>
      </c>
      <c r="H198" s="13">
        <v>117.3275434243176</v>
      </c>
      <c r="I198" s="11" t="s">
        <v>44</v>
      </c>
      <c r="J198" s="11" t="s">
        <v>30</v>
      </c>
      <c r="K198" s="7">
        <f>INDEX(Benchmark!$H$5:$H$807,MATCH(I198,Benchmark!$A$5:$A$807,0))</f>
        <v>118.6146621100209</v>
      </c>
      <c r="L198" s="14">
        <f t="shared" si="3"/>
        <v>-1.0851261242134091E-2</v>
      </c>
      <c r="M198" s="17">
        <f>IF(L198&gt;Benchmark!$B$2,1,IF(L198&lt;-Benchmark!$B$2,5,3))</f>
        <v>3</v>
      </c>
      <c r="N198" s="3" t="s">
        <v>31</v>
      </c>
    </row>
    <row r="199" spans="1:14" x14ac:dyDescent="0.35">
      <c r="A199" s="11" t="s">
        <v>11</v>
      </c>
      <c r="B199" s="11" t="s">
        <v>327</v>
      </c>
      <c r="C199" s="11">
        <v>7</v>
      </c>
      <c r="D199" s="11">
        <v>1</v>
      </c>
      <c r="E199" s="11" t="s">
        <v>78</v>
      </c>
      <c r="F199" s="11" t="s">
        <v>328</v>
      </c>
      <c r="G199" s="12">
        <v>3.65</v>
      </c>
      <c r="H199" s="13">
        <v>111.7342465753425</v>
      </c>
      <c r="I199" s="11" t="s">
        <v>80</v>
      </c>
      <c r="J199" s="11" t="s">
        <v>37</v>
      </c>
      <c r="K199" s="7">
        <f>INDEX(Benchmark!$H$5:$H$807,MATCH(I199,Benchmark!$A$5:$A$807,0))</f>
        <v>110.9357798165138</v>
      </c>
      <c r="L199" s="14">
        <f t="shared" si="3"/>
        <v>7.197558444618668E-3</v>
      </c>
      <c r="M199" s="17">
        <f>IF(L199&gt;Benchmark!$B$2,1,IF(L199&lt;-Benchmark!$B$2,5,3))</f>
        <v>3</v>
      </c>
      <c r="N199" s="3" t="s">
        <v>31</v>
      </c>
    </row>
    <row r="200" spans="1:14" x14ac:dyDescent="0.35">
      <c r="A200" s="11" t="s">
        <v>11</v>
      </c>
      <c r="B200" s="11" t="s">
        <v>329</v>
      </c>
      <c r="C200" s="11">
        <v>7</v>
      </c>
      <c r="D200" s="11">
        <v>6</v>
      </c>
      <c r="E200" s="11" t="s">
        <v>27</v>
      </c>
      <c r="F200" s="11" t="s">
        <v>43</v>
      </c>
      <c r="G200" s="12">
        <v>4.24</v>
      </c>
      <c r="H200" s="13">
        <v>95.101415094339629</v>
      </c>
      <c r="I200" s="11" t="s">
        <v>44</v>
      </c>
      <c r="J200" s="11" t="s">
        <v>30</v>
      </c>
      <c r="K200" s="7">
        <f>INDEX(Benchmark!$H$5:$H$807,MATCH(I200,Benchmark!$A$5:$A$807,0))</f>
        <v>118.6146621100209</v>
      </c>
      <c r="L200" s="14">
        <f t="shared" si="3"/>
        <v>-0.19823221343303732</v>
      </c>
      <c r="M200" s="15">
        <f>IF(L200&gt;Benchmark!$B$2,1,IF(L200&lt;-Benchmark!$B$2,5,3))</f>
        <v>5</v>
      </c>
      <c r="N200" s="3" t="s">
        <v>31</v>
      </c>
    </row>
    <row r="201" spans="1:14" x14ac:dyDescent="0.35">
      <c r="A201" s="11" t="s">
        <v>11</v>
      </c>
      <c r="B201" s="11" t="s">
        <v>330</v>
      </c>
      <c r="C201" s="11">
        <v>7</v>
      </c>
      <c r="D201" s="11">
        <v>4</v>
      </c>
      <c r="E201" s="11" t="s">
        <v>27</v>
      </c>
      <c r="F201" s="11" t="s">
        <v>43</v>
      </c>
      <c r="G201" s="12">
        <v>5.58</v>
      </c>
      <c r="H201" s="13">
        <v>101.5555555555555</v>
      </c>
      <c r="I201" s="11" t="s">
        <v>44</v>
      </c>
      <c r="J201" s="11" t="s">
        <v>30</v>
      </c>
      <c r="K201" s="7">
        <f>INDEX(Benchmark!$H$5:$H$807,MATCH(I201,Benchmark!$A$5:$A$807,0))</f>
        <v>118.6146621100209</v>
      </c>
      <c r="L201" s="14">
        <f t="shared" si="3"/>
        <v>-0.14381954347804193</v>
      </c>
      <c r="M201" s="15">
        <f>IF(L201&gt;Benchmark!$B$2,1,IF(L201&lt;-Benchmark!$B$2,5,3))</f>
        <v>5</v>
      </c>
      <c r="N201" s="3" t="s">
        <v>31</v>
      </c>
    </row>
    <row r="202" spans="1:14" x14ac:dyDescent="0.35">
      <c r="A202" s="11" t="s">
        <v>11</v>
      </c>
      <c r="B202" s="11" t="s">
        <v>331</v>
      </c>
      <c r="C202" s="11">
        <v>7</v>
      </c>
      <c r="D202" s="11">
        <v>1</v>
      </c>
      <c r="E202" s="11" t="s">
        <v>156</v>
      </c>
      <c r="F202" s="11" t="s">
        <v>332</v>
      </c>
      <c r="G202" s="12">
        <v>8.39</v>
      </c>
      <c r="H202" s="13">
        <v>119.4410011918951</v>
      </c>
      <c r="I202" s="11" t="s">
        <v>333</v>
      </c>
      <c r="J202" s="11" t="s">
        <v>30</v>
      </c>
      <c r="K202" s="7">
        <f>INDEX(Benchmark!$H$5:$H$807,MATCH(I202,Benchmark!$A$5:$A$807,0))</f>
        <v>95.723693202291159</v>
      </c>
      <c r="L202" s="14">
        <f t="shared" si="3"/>
        <v>0.24776841757957024</v>
      </c>
      <c r="M202" s="16">
        <f>IF(L202&gt;Benchmark!$B$2,1,IF(L202&lt;-Benchmark!$B$2,5,3))</f>
        <v>1</v>
      </c>
      <c r="N202" s="3" t="s">
        <v>31</v>
      </c>
    </row>
    <row r="203" spans="1:14" x14ac:dyDescent="0.35">
      <c r="A203" s="11" t="s">
        <v>11</v>
      </c>
      <c r="B203" s="11" t="s">
        <v>334</v>
      </c>
      <c r="C203" s="11">
        <v>7</v>
      </c>
      <c r="D203" s="11">
        <v>1</v>
      </c>
      <c r="E203" s="11" t="s">
        <v>156</v>
      </c>
      <c r="F203" s="11" t="s">
        <v>131</v>
      </c>
      <c r="G203" s="12">
        <v>0.6</v>
      </c>
      <c r="H203" s="13">
        <v>128.68333333333331</v>
      </c>
      <c r="I203" s="11" t="s">
        <v>335</v>
      </c>
      <c r="J203" s="11" t="s">
        <v>30</v>
      </c>
      <c r="K203" s="7">
        <f>INDEX(Benchmark!$H$5:$H$807,MATCH(I203,Benchmark!$A$5:$A$807,0))</f>
        <v>91.976666666666674</v>
      </c>
      <c r="L203" s="14">
        <f t="shared" si="3"/>
        <v>0.39908672489399444</v>
      </c>
      <c r="M203" s="16">
        <f>IF(L203&gt;Benchmark!$B$2,1,IF(L203&lt;-Benchmark!$B$2,5,3))</f>
        <v>1</v>
      </c>
      <c r="N203" s="3" t="s">
        <v>31</v>
      </c>
    </row>
    <row r="204" spans="1:14" x14ac:dyDescent="0.35">
      <c r="A204" s="11" t="s">
        <v>11</v>
      </c>
      <c r="B204" s="11" t="s">
        <v>336</v>
      </c>
      <c r="C204" s="11">
        <v>7</v>
      </c>
      <c r="D204" s="11">
        <v>4</v>
      </c>
      <c r="E204" s="11" t="s">
        <v>27</v>
      </c>
      <c r="F204" s="11" t="s">
        <v>43</v>
      </c>
      <c r="G204" s="12">
        <v>2.41</v>
      </c>
      <c r="H204" s="13">
        <v>90.178423236514519</v>
      </c>
      <c r="I204" s="11" t="s">
        <v>44</v>
      </c>
      <c r="J204" s="11" t="s">
        <v>30</v>
      </c>
      <c r="K204" s="7">
        <f>INDEX(Benchmark!$H$5:$H$807,MATCH(I204,Benchmark!$A$5:$A$807,0))</f>
        <v>118.6146621100209</v>
      </c>
      <c r="L204" s="14">
        <f t="shared" si="3"/>
        <v>-0.23973628864811314</v>
      </c>
      <c r="M204" s="15">
        <f>IF(L204&gt;Benchmark!$B$2,1,IF(L204&lt;-Benchmark!$B$2,5,3))</f>
        <v>5</v>
      </c>
      <c r="N204" s="3" t="s">
        <v>31</v>
      </c>
    </row>
    <row r="205" spans="1:14" x14ac:dyDescent="0.35">
      <c r="A205" s="11" t="s">
        <v>11</v>
      </c>
      <c r="B205" s="11" t="s">
        <v>337</v>
      </c>
      <c r="C205" s="11">
        <v>7</v>
      </c>
      <c r="D205" s="11">
        <v>3</v>
      </c>
      <c r="E205" s="11" t="s">
        <v>27</v>
      </c>
      <c r="F205" s="11" t="s">
        <v>338</v>
      </c>
      <c r="G205" s="12">
        <v>6.6</v>
      </c>
      <c r="H205" s="13">
        <v>115.6045454545455</v>
      </c>
      <c r="I205" s="11" t="s">
        <v>144</v>
      </c>
      <c r="J205" s="11" t="s">
        <v>37</v>
      </c>
      <c r="K205" s="7">
        <f>INDEX(Benchmark!$H$5:$H$807,MATCH(I205,Benchmark!$A$5:$A$807,0))</f>
        <v>131.49167927382749</v>
      </c>
      <c r="L205" s="14">
        <f t="shared" si="3"/>
        <v>-0.12082235094281135</v>
      </c>
      <c r="M205" s="15">
        <f>IF(L205&gt;Benchmark!$B$2,1,IF(L205&lt;-Benchmark!$B$2,5,3))</f>
        <v>5</v>
      </c>
      <c r="N205" s="3" t="s">
        <v>31</v>
      </c>
    </row>
    <row r="206" spans="1:14" x14ac:dyDescent="0.35">
      <c r="A206" s="11" t="s">
        <v>11</v>
      </c>
      <c r="B206" s="11" t="s">
        <v>339</v>
      </c>
      <c r="C206" s="11">
        <v>7</v>
      </c>
      <c r="D206" s="11">
        <v>7</v>
      </c>
      <c r="E206" s="11" t="s">
        <v>27</v>
      </c>
      <c r="F206" s="11" t="s">
        <v>107</v>
      </c>
      <c r="G206" s="12">
        <v>9.06</v>
      </c>
      <c r="H206" s="13">
        <v>86.679911699779254</v>
      </c>
      <c r="I206" s="11" t="s">
        <v>340</v>
      </c>
      <c r="J206" s="11" t="s">
        <v>30</v>
      </c>
      <c r="K206" s="7">
        <f>INDEX(Benchmark!$H$5:$H$807,MATCH(I206,Benchmark!$A$5:$A$807,0))</f>
        <v>123.1349326006294</v>
      </c>
      <c r="L206" s="14">
        <f t="shared" si="3"/>
        <v>-0.29605750481130166</v>
      </c>
      <c r="M206" s="15">
        <f>IF(L206&gt;Benchmark!$B$2,1,IF(L206&lt;-Benchmark!$B$2,5,3))</f>
        <v>5</v>
      </c>
      <c r="N206" s="3" t="s">
        <v>31</v>
      </c>
    </row>
    <row r="207" spans="1:14" x14ac:dyDescent="0.35">
      <c r="A207" s="11" t="s">
        <v>11</v>
      </c>
      <c r="B207" s="11" t="s">
        <v>341</v>
      </c>
      <c r="C207" s="11">
        <v>7</v>
      </c>
      <c r="D207" s="11">
        <v>3</v>
      </c>
      <c r="E207" s="11" t="s">
        <v>27</v>
      </c>
      <c r="F207" s="11" t="s">
        <v>101</v>
      </c>
      <c r="G207" s="12">
        <v>6.09</v>
      </c>
      <c r="H207" s="13">
        <v>89.059113300492612</v>
      </c>
      <c r="I207" s="11" t="s">
        <v>144</v>
      </c>
      <c r="J207" s="11" t="s">
        <v>37</v>
      </c>
      <c r="K207" s="7">
        <f>INDEX(Benchmark!$H$5:$H$807,MATCH(I207,Benchmark!$A$5:$A$807,0))</f>
        <v>131.49167927382749</v>
      </c>
      <c r="L207" s="14">
        <f t="shared" si="3"/>
        <v>-0.32270152915889316</v>
      </c>
      <c r="M207" s="15">
        <f>IF(L207&gt;Benchmark!$B$2,1,IF(L207&lt;-Benchmark!$B$2,5,3))</f>
        <v>5</v>
      </c>
      <c r="N207" s="3" t="s">
        <v>31</v>
      </c>
    </row>
    <row r="208" spans="1:14" x14ac:dyDescent="0.35">
      <c r="A208" s="11" t="s">
        <v>11</v>
      </c>
      <c r="B208" s="11" t="s">
        <v>342</v>
      </c>
      <c r="C208" s="11">
        <v>7</v>
      </c>
      <c r="D208" s="11">
        <v>4</v>
      </c>
      <c r="E208" s="11" t="s">
        <v>104</v>
      </c>
      <c r="F208" s="11" t="s">
        <v>220</v>
      </c>
      <c r="G208" s="12">
        <v>13.85</v>
      </c>
      <c r="H208" s="13">
        <v>98.80577617328521</v>
      </c>
      <c r="I208" s="11" t="s">
        <v>221</v>
      </c>
      <c r="J208" s="11" t="s">
        <v>30</v>
      </c>
      <c r="K208" s="7">
        <f>INDEX(Benchmark!$H$5:$H$807,MATCH(I208,Benchmark!$A$5:$A$807,0))</f>
        <v>97.564897959183682</v>
      </c>
      <c r="L208" s="14">
        <f t="shared" si="3"/>
        <v>1.2718490359316048E-2</v>
      </c>
      <c r="M208" s="17">
        <f>IF(L208&gt;Benchmark!$B$2,1,IF(L208&lt;-Benchmark!$B$2,5,3))</f>
        <v>3</v>
      </c>
      <c r="N208" s="3" t="s">
        <v>31</v>
      </c>
    </row>
    <row r="209" spans="1:14" x14ac:dyDescent="0.35">
      <c r="A209" s="11" t="s">
        <v>11</v>
      </c>
      <c r="B209" s="11" t="s">
        <v>343</v>
      </c>
      <c r="C209" s="11">
        <v>7</v>
      </c>
      <c r="D209" s="11">
        <v>2</v>
      </c>
      <c r="E209" s="11" t="s">
        <v>78</v>
      </c>
      <c r="F209" s="11" t="s">
        <v>93</v>
      </c>
      <c r="G209" s="12">
        <v>2.27</v>
      </c>
      <c r="H209" s="13">
        <v>73.035242290748897</v>
      </c>
      <c r="I209" s="11" t="s">
        <v>94</v>
      </c>
      <c r="J209" s="11" t="s">
        <v>30</v>
      </c>
      <c r="K209" s="7">
        <f>INDEX(Benchmark!$H$5:$H$807,MATCH(I209,Benchmark!$A$5:$A$807,0))</f>
        <v>110.9357798165138</v>
      </c>
      <c r="L209" s="14">
        <f t="shared" si="3"/>
        <v>-0.34164394560935929</v>
      </c>
      <c r="M209" s="15">
        <f>IF(L209&gt;Benchmark!$B$2,1,IF(L209&lt;-Benchmark!$B$2,5,3))</f>
        <v>5</v>
      </c>
      <c r="N209" s="3" t="s">
        <v>31</v>
      </c>
    </row>
    <row r="210" spans="1:14" x14ac:dyDescent="0.35">
      <c r="A210" s="11" t="s">
        <v>11</v>
      </c>
      <c r="B210" s="11" t="s">
        <v>344</v>
      </c>
      <c r="C210" s="11">
        <v>7</v>
      </c>
      <c r="D210" s="11">
        <v>2</v>
      </c>
      <c r="E210" s="11" t="s">
        <v>78</v>
      </c>
      <c r="F210" s="11" t="s">
        <v>93</v>
      </c>
      <c r="G210" s="12">
        <v>1</v>
      </c>
      <c r="H210" s="13">
        <v>75.89</v>
      </c>
      <c r="I210" s="11" t="s">
        <v>94</v>
      </c>
      <c r="J210" s="11" t="s">
        <v>30</v>
      </c>
      <c r="K210" s="7">
        <f>INDEX(Benchmark!$H$5:$H$807,MATCH(I210,Benchmark!$A$5:$A$807,0))</f>
        <v>110.9357798165138</v>
      </c>
      <c r="L210" s="14">
        <f t="shared" si="3"/>
        <v>-0.31591051935163772</v>
      </c>
      <c r="M210" s="15">
        <f>IF(L210&gt;Benchmark!$B$2,1,IF(L210&lt;-Benchmark!$B$2,5,3))</f>
        <v>5</v>
      </c>
      <c r="N210" s="3" t="s">
        <v>31</v>
      </c>
    </row>
    <row r="211" spans="1:14" x14ac:dyDescent="0.35">
      <c r="A211" s="11" t="s">
        <v>11</v>
      </c>
      <c r="B211" s="11" t="s">
        <v>345</v>
      </c>
      <c r="C211" s="11">
        <v>7</v>
      </c>
      <c r="D211" s="11">
        <v>1</v>
      </c>
      <c r="E211" s="11" t="s">
        <v>88</v>
      </c>
      <c r="F211" s="11" t="s">
        <v>101</v>
      </c>
      <c r="G211" s="12">
        <v>7.2</v>
      </c>
      <c r="H211" s="13">
        <v>98.541666666666657</v>
      </c>
      <c r="I211" s="11" t="s">
        <v>285</v>
      </c>
      <c r="J211" s="11" t="s">
        <v>30</v>
      </c>
      <c r="K211" s="7">
        <f>INDEX(Benchmark!$H$5:$H$807,MATCH(I211,Benchmark!$A$5:$A$807,0))</f>
        <v>103.61370515329421</v>
      </c>
      <c r="L211" s="14">
        <f t="shared" si="3"/>
        <v>-4.895142470895697E-2</v>
      </c>
      <c r="M211" s="17">
        <f>IF(L211&gt;Benchmark!$B$2,1,IF(L211&lt;-Benchmark!$B$2,5,3))</f>
        <v>3</v>
      </c>
      <c r="N211" s="3" t="s">
        <v>31</v>
      </c>
    </row>
    <row r="212" spans="1:14" x14ac:dyDescent="0.35">
      <c r="A212" s="11" t="s">
        <v>11</v>
      </c>
      <c r="B212" s="11" t="s">
        <v>346</v>
      </c>
      <c r="C212" s="11">
        <v>7</v>
      </c>
      <c r="D212" s="11">
        <v>4</v>
      </c>
      <c r="E212" s="11" t="s">
        <v>27</v>
      </c>
      <c r="F212" s="11" t="s">
        <v>220</v>
      </c>
      <c r="G212" s="12">
        <v>24.31</v>
      </c>
      <c r="H212" s="13">
        <v>108.58946935417519</v>
      </c>
      <c r="I212" s="11" t="s">
        <v>144</v>
      </c>
      <c r="J212" s="11" t="s">
        <v>37</v>
      </c>
      <c r="K212" s="7">
        <f>INDEX(Benchmark!$H$5:$H$807,MATCH(I212,Benchmark!$A$5:$A$807,0))</f>
        <v>131.49167927382749</v>
      </c>
      <c r="L212" s="14">
        <f t="shared" si="3"/>
        <v>-0.1741723130020959</v>
      </c>
      <c r="M212" s="15">
        <f>IF(L212&gt;Benchmark!$B$2,1,IF(L212&lt;-Benchmark!$B$2,5,3))</f>
        <v>5</v>
      </c>
      <c r="N212" s="3" t="s">
        <v>31</v>
      </c>
    </row>
    <row r="213" spans="1:14" x14ac:dyDescent="0.35">
      <c r="A213" s="11" t="s">
        <v>11</v>
      </c>
      <c r="B213" s="11" t="s">
        <v>347</v>
      </c>
      <c r="C213" s="11">
        <v>7</v>
      </c>
      <c r="D213" s="11">
        <v>3</v>
      </c>
      <c r="E213" s="11" t="s">
        <v>78</v>
      </c>
      <c r="F213" s="11" t="s">
        <v>99</v>
      </c>
      <c r="G213" s="12">
        <v>6.17</v>
      </c>
      <c r="H213" s="13">
        <v>76.536466774716374</v>
      </c>
      <c r="I213" s="11" t="s">
        <v>80</v>
      </c>
      <c r="J213" s="11" t="s">
        <v>37</v>
      </c>
      <c r="K213" s="7">
        <f>INDEX(Benchmark!$H$5:$H$807,MATCH(I213,Benchmark!$A$5:$A$807,0))</f>
        <v>110.9357798165138</v>
      </c>
      <c r="L213" s="14">
        <f t="shared" si="3"/>
        <v>-0.31008312285444251</v>
      </c>
      <c r="M213" s="15">
        <f>IF(L213&gt;Benchmark!$B$2,1,IF(L213&lt;-Benchmark!$B$2,5,3))</f>
        <v>5</v>
      </c>
      <c r="N213" s="3" t="s">
        <v>31</v>
      </c>
    </row>
    <row r="214" spans="1:14" x14ac:dyDescent="0.35">
      <c r="A214" s="11" t="s">
        <v>11</v>
      </c>
      <c r="B214" s="11" t="s">
        <v>348</v>
      </c>
      <c r="C214" s="11">
        <v>7</v>
      </c>
      <c r="D214" s="11">
        <v>1</v>
      </c>
      <c r="E214" s="11" t="s">
        <v>48</v>
      </c>
      <c r="F214" s="11" t="s">
        <v>43</v>
      </c>
      <c r="G214" s="12">
        <v>6.18</v>
      </c>
      <c r="H214" s="13">
        <v>104.5728155339806</v>
      </c>
      <c r="I214" s="11" t="s">
        <v>74</v>
      </c>
      <c r="J214" s="11" t="s">
        <v>37</v>
      </c>
      <c r="K214" s="7">
        <f>INDEX(Benchmark!$H$5:$H$807,MATCH(I214,Benchmark!$A$5:$A$807,0))</f>
        <v>131.10214067278289</v>
      </c>
      <c r="L214" s="14">
        <f t="shared" si="3"/>
        <v>-0.20235615530502049</v>
      </c>
      <c r="M214" s="15">
        <f>IF(L214&gt;Benchmark!$B$2,1,IF(L214&lt;-Benchmark!$B$2,5,3))</f>
        <v>5</v>
      </c>
      <c r="N214" s="3" t="s">
        <v>31</v>
      </c>
    </row>
    <row r="215" spans="1:14" x14ac:dyDescent="0.35">
      <c r="A215" s="11" t="s">
        <v>11</v>
      </c>
      <c r="B215" s="11" t="s">
        <v>349</v>
      </c>
      <c r="C215" s="11">
        <v>7</v>
      </c>
      <c r="D215" s="11">
        <v>1</v>
      </c>
      <c r="E215" s="11" t="s">
        <v>34</v>
      </c>
      <c r="F215" s="11" t="s">
        <v>43</v>
      </c>
      <c r="G215" s="12">
        <v>15.03</v>
      </c>
      <c r="H215" s="13">
        <v>107.7318695941451</v>
      </c>
      <c r="I215" s="11" t="s">
        <v>36</v>
      </c>
      <c r="J215" s="11" t="s">
        <v>37</v>
      </c>
      <c r="K215" s="7">
        <f>INDEX(Benchmark!$H$5:$H$807,MATCH(I215,Benchmark!$A$5:$A$807,0))</f>
        <v>135.18231292517009</v>
      </c>
      <c r="L215" s="14">
        <f t="shared" si="3"/>
        <v>-0.20306238839263047</v>
      </c>
      <c r="M215" s="15">
        <f>IF(L215&gt;Benchmark!$B$2,1,IF(L215&lt;-Benchmark!$B$2,5,3))</f>
        <v>5</v>
      </c>
      <c r="N215" s="3" t="s">
        <v>31</v>
      </c>
    </row>
    <row r="216" spans="1:14" x14ac:dyDescent="0.35">
      <c r="A216" s="11" t="s">
        <v>11</v>
      </c>
      <c r="B216" s="11" t="s">
        <v>350</v>
      </c>
      <c r="C216" s="11">
        <v>7</v>
      </c>
      <c r="D216" s="11">
        <v>2</v>
      </c>
      <c r="E216" s="11" t="s">
        <v>88</v>
      </c>
      <c r="F216" s="11" t="s">
        <v>84</v>
      </c>
      <c r="G216" s="12">
        <v>14.57</v>
      </c>
      <c r="H216" s="13">
        <v>94.794783802333569</v>
      </c>
      <c r="I216" s="11" t="s">
        <v>351</v>
      </c>
      <c r="J216" s="11" t="s">
        <v>30</v>
      </c>
      <c r="K216" s="7">
        <f>INDEX(Benchmark!$H$5:$H$807,MATCH(I216,Benchmark!$A$5:$A$807,0))</f>
        <v>106.29246581471931</v>
      </c>
      <c r="L216" s="14">
        <f t="shared" si="3"/>
        <v>-0.10817024446895041</v>
      </c>
      <c r="M216" s="15">
        <f>IF(L216&gt;Benchmark!$B$2,1,IF(L216&lt;-Benchmark!$B$2,5,3))</f>
        <v>5</v>
      </c>
      <c r="N216" s="3" t="s">
        <v>31</v>
      </c>
    </row>
    <row r="217" spans="1:14" x14ac:dyDescent="0.35">
      <c r="A217" s="11" t="s">
        <v>11</v>
      </c>
      <c r="B217" s="11" t="s">
        <v>352</v>
      </c>
      <c r="C217" s="11">
        <v>7</v>
      </c>
      <c r="D217" s="11">
        <v>1</v>
      </c>
      <c r="E217" s="11" t="s">
        <v>78</v>
      </c>
      <c r="F217" s="11" t="s">
        <v>84</v>
      </c>
      <c r="G217" s="12">
        <v>9.0399999999999991</v>
      </c>
      <c r="H217" s="13">
        <v>141.25</v>
      </c>
      <c r="I217" s="11" t="s">
        <v>80</v>
      </c>
      <c r="J217" s="11" t="s">
        <v>37</v>
      </c>
      <c r="K217" s="7">
        <f>INDEX(Benchmark!$H$5:$H$807,MATCH(I217,Benchmark!$A$5:$A$807,0))</f>
        <v>110.9357798165138</v>
      </c>
      <c r="L217" s="14">
        <f t="shared" si="3"/>
        <v>0.2732591796228907</v>
      </c>
      <c r="M217" s="16">
        <f>IF(L217&gt;Benchmark!$B$2,1,IF(L217&lt;-Benchmark!$B$2,5,3))</f>
        <v>1</v>
      </c>
      <c r="N217" s="3" t="s">
        <v>31</v>
      </c>
    </row>
    <row r="218" spans="1:14" x14ac:dyDescent="0.35">
      <c r="A218" s="11" t="s">
        <v>11</v>
      </c>
      <c r="B218" s="11" t="s">
        <v>353</v>
      </c>
      <c r="C218" s="11">
        <v>7</v>
      </c>
      <c r="D218" s="11">
        <v>6</v>
      </c>
      <c r="E218" s="11" t="s">
        <v>88</v>
      </c>
      <c r="F218" s="11" t="s">
        <v>43</v>
      </c>
      <c r="G218" s="12">
        <v>5.71</v>
      </c>
      <c r="H218" s="13">
        <v>101.1208406304729</v>
      </c>
      <c r="I218" s="11" t="s">
        <v>354</v>
      </c>
      <c r="J218" s="11" t="s">
        <v>30</v>
      </c>
      <c r="K218" s="7">
        <f>INDEX(Benchmark!$H$5:$H$807,MATCH(I218,Benchmark!$A$5:$A$807,0))</f>
        <v>100.232421875</v>
      </c>
      <c r="L218" s="14">
        <f t="shared" si="3"/>
        <v>8.8635866404669361E-3</v>
      </c>
      <c r="M218" s="17">
        <f>IF(L218&gt;Benchmark!$B$2,1,IF(L218&lt;-Benchmark!$B$2,5,3))</f>
        <v>3</v>
      </c>
      <c r="N218" s="3" t="s">
        <v>31</v>
      </c>
    </row>
    <row r="219" spans="1:14" x14ac:dyDescent="0.35">
      <c r="A219" s="11" t="s">
        <v>11</v>
      </c>
      <c r="B219" s="11" t="s">
        <v>355</v>
      </c>
      <c r="C219" s="11">
        <v>7</v>
      </c>
      <c r="D219" s="11">
        <v>4</v>
      </c>
      <c r="E219" s="11" t="s">
        <v>88</v>
      </c>
      <c r="F219" s="11" t="s">
        <v>43</v>
      </c>
      <c r="G219" s="12">
        <v>20.77</v>
      </c>
      <c r="H219" s="13">
        <v>93.998555609051508</v>
      </c>
      <c r="I219" s="11" t="s">
        <v>354</v>
      </c>
      <c r="J219" s="11" t="s">
        <v>30</v>
      </c>
      <c r="K219" s="7">
        <f>INDEX(Benchmark!$H$5:$H$807,MATCH(I219,Benchmark!$A$5:$A$807,0))</f>
        <v>100.232421875</v>
      </c>
      <c r="L219" s="14">
        <f t="shared" si="3"/>
        <v>-6.2194109943015774E-2</v>
      </c>
      <c r="M219" s="15">
        <f>IF(L219&gt;Benchmark!$B$2,1,IF(L219&lt;-Benchmark!$B$2,5,3))</f>
        <v>5</v>
      </c>
      <c r="N219" s="3" t="s">
        <v>31</v>
      </c>
    </row>
    <row r="220" spans="1:14" x14ac:dyDescent="0.35">
      <c r="A220" s="11" t="s">
        <v>11</v>
      </c>
      <c r="B220" s="11" t="s">
        <v>356</v>
      </c>
      <c r="C220" s="11">
        <v>7</v>
      </c>
      <c r="D220" s="11">
        <v>3</v>
      </c>
      <c r="E220" s="11" t="s">
        <v>104</v>
      </c>
      <c r="F220" s="11" t="s">
        <v>43</v>
      </c>
      <c r="G220" s="12">
        <v>11.54</v>
      </c>
      <c r="H220" s="13">
        <v>98.633448873483545</v>
      </c>
      <c r="I220" s="11" t="s">
        <v>324</v>
      </c>
      <c r="J220" s="11" t="s">
        <v>30</v>
      </c>
      <c r="K220" s="7">
        <f>INDEX(Benchmark!$H$5:$H$807,MATCH(I220,Benchmark!$A$5:$A$807,0))</f>
        <v>109.75467980295571</v>
      </c>
      <c r="L220" s="14">
        <f t="shared" si="3"/>
        <v>-0.10132807958110102</v>
      </c>
      <c r="M220" s="15">
        <f>IF(L220&gt;Benchmark!$B$2,1,IF(L220&lt;-Benchmark!$B$2,5,3))</f>
        <v>5</v>
      </c>
      <c r="N220" s="3" t="s">
        <v>31</v>
      </c>
    </row>
    <row r="221" spans="1:14" x14ac:dyDescent="0.35">
      <c r="A221" s="11" t="s">
        <v>11</v>
      </c>
      <c r="B221" s="11" t="s">
        <v>357</v>
      </c>
      <c r="C221" s="11">
        <v>7</v>
      </c>
      <c r="D221" s="11">
        <v>3</v>
      </c>
      <c r="E221" s="11" t="s">
        <v>104</v>
      </c>
      <c r="F221" s="11" t="s">
        <v>43</v>
      </c>
      <c r="G221" s="12">
        <v>5.85</v>
      </c>
      <c r="H221" s="13">
        <v>98.658119658119659</v>
      </c>
      <c r="I221" s="11" t="s">
        <v>324</v>
      </c>
      <c r="J221" s="11" t="s">
        <v>30</v>
      </c>
      <c r="K221" s="7">
        <f>INDEX(Benchmark!$H$5:$H$807,MATCH(I221,Benchmark!$A$5:$A$807,0))</f>
        <v>109.75467980295571</v>
      </c>
      <c r="L221" s="14">
        <f t="shared" si="3"/>
        <v>-0.10110329841750598</v>
      </c>
      <c r="M221" s="15">
        <f>IF(L221&gt;Benchmark!$B$2,1,IF(L221&lt;-Benchmark!$B$2,5,3))</f>
        <v>5</v>
      </c>
      <c r="N221" s="3" t="s">
        <v>31</v>
      </c>
    </row>
    <row r="222" spans="1:14" x14ac:dyDescent="0.35">
      <c r="A222" s="11" t="s">
        <v>11</v>
      </c>
      <c r="B222" s="11" t="s">
        <v>358</v>
      </c>
      <c r="C222" s="11">
        <v>7</v>
      </c>
      <c r="D222" s="11">
        <v>4</v>
      </c>
      <c r="E222" s="11" t="s">
        <v>104</v>
      </c>
      <c r="F222" s="11" t="s">
        <v>84</v>
      </c>
      <c r="G222" s="12">
        <v>4.04</v>
      </c>
      <c r="H222" s="13">
        <v>104.7648514851485</v>
      </c>
      <c r="I222" s="11" t="s">
        <v>175</v>
      </c>
      <c r="J222" s="11" t="s">
        <v>30</v>
      </c>
      <c r="K222" s="7">
        <f>INDEX(Benchmark!$H$5:$H$807,MATCH(I222,Benchmark!$A$5:$A$807,0))</f>
        <v>107.50926587244901</v>
      </c>
      <c r="L222" s="14">
        <f t="shared" si="3"/>
        <v>-2.5527235862223607E-2</v>
      </c>
      <c r="M222" s="17">
        <f>IF(L222&gt;Benchmark!$B$2,1,IF(L222&lt;-Benchmark!$B$2,5,3))</f>
        <v>3</v>
      </c>
      <c r="N222" s="3" t="s">
        <v>31</v>
      </c>
    </row>
    <row r="223" spans="1:14" x14ac:dyDescent="0.35">
      <c r="A223" s="11" t="s">
        <v>11</v>
      </c>
      <c r="B223" s="11" t="s">
        <v>359</v>
      </c>
      <c r="C223" s="11">
        <v>7</v>
      </c>
      <c r="D223" s="11">
        <v>2</v>
      </c>
      <c r="E223" s="11" t="s">
        <v>27</v>
      </c>
      <c r="F223" s="11" t="s">
        <v>360</v>
      </c>
      <c r="G223" s="12">
        <v>8.73</v>
      </c>
      <c r="H223" s="13">
        <v>110.7331042382589</v>
      </c>
      <c r="I223" s="11" t="s">
        <v>144</v>
      </c>
      <c r="J223" s="11" t="s">
        <v>37</v>
      </c>
      <c r="K223" s="7">
        <f>INDEX(Benchmark!$H$5:$H$807,MATCH(I223,Benchmark!$A$5:$A$807,0))</f>
        <v>131.49167927382749</v>
      </c>
      <c r="L223" s="14">
        <f t="shared" si="3"/>
        <v>-0.15786987549485521</v>
      </c>
      <c r="M223" s="15">
        <f>IF(L223&gt;Benchmark!$B$2,1,IF(L223&lt;-Benchmark!$B$2,5,3))</f>
        <v>5</v>
      </c>
      <c r="N223" s="3" t="s">
        <v>31</v>
      </c>
    </row>
    <row r="224" spans="1:14" x14ac:dyDescent="0.35">
      <c r="A224" s="11" t="s">
        <v>11</v>
      </c>
      <c r="B224" s="11" t="s">
        <v>361</v>
      </c>
      <c r="C224" s="11">
        <v>7</v>
      </c>
      <c r="D224" s="11">
        <v>2</v>
      </c>
      <c r="E224" s="11" t="s">
        <v>27</v>
      </c>
      <c r="F224" s="11" t="s">
        <v>84</v>
      </c>
      <c r="G224" s="12">
        <v>4.84</v>
      </c>
      <c r="H224" s="13">
        <v>143.66322314049589</v>
      </c>
      <c r="I224" s="11" t="s">
        <v>154</v>
      </c>
      <c r="J224" s="11" t="s">
        <v>30</v>
      </c>
      <c r="K224" s="7">
        <f>INDEX(Benchmark!$H$5:$H$807,MATCH(I224,Benchmark!$A$5:$A$807,0))</f>
        <v>125.7999199629302</v>
      </c>
      <c r="L224" s="14">
        <f t="shared" si="3"/>
        <v>0.14199773086365641</v>
      </c>
      <c r="M224" s="16">
        <f>IF(L224&gt;Benchmark!$B$2,1,IF(L224&lt;-Benchmark!$B$2,5,3))</f>
        <v>1</v>
      </c>
      <c r="N224" s="3" t="s">
        <v>31</v>
      </c>
    </row>
    <row r="225" spans="1:14" x14ac:dyDescent="0.35">
      <c r="A225" s="11" t="s">
        <v>11</v>
      </c>
      <c r="B225" s="11" t="s">
        <v>362</v>
      </c>
      <c r="C225" s="11">
        <v>7</v>
      </c>
      <c r="D225" s="11">
        <v>2</v>
      </c>
      <c r="E225" s="11" t="s">
        <v>27</v>
      </c>
      <c r="F225" s="11" t="s">
        <v>84</v>
      </c>
      <c r="G225" s="12">
        <v>3.71</v>
      </c>
      <c r="H225" s="13">
        <v>123.8840970350404</v>
      </c>
      <c r="I225" s="11" t="s">
        <v>154</v>
      </c>
      <c r="J225" s="11" t="s">
        <v>30</v>
      </c>
      <c r="K225" s="7">
        <f>INDEX(Benchmark!$H$5:$H$807,MATCH(I225,Benchmark!$A$5:$A$807,0))</f>
        <v>125.7999199629302</v>
      </c>
      <c r="L225" s="14">
        <f t="shared" si="3"/>
        <v>-1.5229126762992706E-2</v>
      </c>
      <c r="M225" s="17">
        <f>IF(L225&gt;Benchmark!$B$2,1,IF(L225&lt;-Benchmark!$B$2,5,3))</f>
        <v>3</v>
      </c>
      <c r="N225" s="3" t="s">
        <v>31</v>
      </c>
    </row>
    <row r="226" spans="1:14" x14ac:dyDescent="0.35">
      <c r="A226" s="11" t="s">
        <v>11</v>
      </c>
      <c r="B226" s="11" t="s">
        <v>363</v>
      </c>
      <c r="C226" s="11">
        <v>7</v>
      </c>
      <c r="D226" s="11">
        <v>2</v>
      </c>
      <c r="E226" s="11" t="s">
        <v>78</v>
      </c>
      <c r="F226" s="11" t="s">
        <v>364</v>
      </c>
      <c r="G226" s="12">
        <v>9.49</v>
      </c>
      <c r="H226" s="13">
        <v>95.804004214963129</v>
      </c>
      <c r="I226" s="11" t="s">
        <v>80</v>
      </c>
      <c r="J226" s="11" t="s">
        <v>37</v>
      </c>
      <c r="K226" s="7">
        <f>INDEX(Benchmark!$H$5:$H$807,MATCH(I226,Benchmark!$A$5:$A$807,0))</f>
        <v>110.9357798165138</v>
      </c>
      <c r="L226" s="14">
        <f t="shared" si="3"/>
        <v>-0.13640121903481828</v>
      </c>
      <c r="M226" s="15">
        <f>IF(L226&gt;Benchmark!$B$2,1,IF(L226&lt;-Benchmark!$B$2,5,3))</f>
        <v>5</v>
      </c>
      <c r="N226" s="3" t="s">
        <v>31</v>
      </c>
    </row>
    <row r="227" spans="1:14" x14ac:dyDescent="0.35">
      <c r="A227" s="11" t="s">
        <v>11</v>
      </c>
      <c r="B227" s="11" t="s">
        <v>365</v>
      </c>
      <c r="C227" s="11">
        <v>7</v>
      </c>
      <c r="D227" s="11">
        <v>2</v>
      </c>
      <c r="E227" s="11" t="s">
        <v>78</v>
      </c>
      <c r="F227" s="11" t="s">
        <v>364</v>
      </c>
      <c r="G227" s="12">
        <v>4.99</v>
      </c>
      <c r="H227" s="13">
        <v>150.36873747494991</v>
      </c>
      <c r="I227" s="11" t="s">
        <v>80</v>
      </c>
      <c r="J227" s="11" t="s">
        <v>37</v>
      </c>
      <c r="K227" s="7">
        <f>INDEX(Benchmark!$H$5:$H$807,MATCH(I227,Benchmark!$A$5:$A$807,0))</f>
        <v>110.9357798165138</v>
      </c>
      <c r="L227" s="14">
        <f t="shared" si="3"/>
        <v>0.35545752437723577</v>
      </c>
      <c r="M227" s="16">
        <f>IF(L227&gt;Benchmark!$B$2,1,IF(L227&lt;-Benchmark!$B$2,5,3))</f>
        <v>1</v>
      </c>
      <c r="N227" s="3" t="s">
        <v>31</v>
      </c>
    </row>
    <row r="228" spans="1:14" x14ac:dyDescent="0.35">
      <c r="A228" s="11" t="s">
        <v>11</v>
      </c>
      <c r="B228" s="11" t="s">
        <v>366</v>
      </c>
      <c r="C228" s="11">
        <v>7</v>
      </c>
      <c r="D228" s="11">
        <v>2</v>
      </c>
      <c r="E228" s="11" t="s">
        <v>78</v>
      </c>
      <c r="F228" s="11" t="s">
        <v>84</v>
      </c>
      <c r="G228" s="12">
        <v>6.85</v>
      </c>
      <c r="H228" s="13">
        <v>94.617518248175188</v>
      </c>
      <c r="I228" s="11" t="s">
        <v>80</v>
      </c>
      <c r="J228" s="11" t="s">
        <v>37</v>
      </c>
      <c r="K228" s="7">
        <f>INDEX(Benchmark!$H$5:$H$807,MATCH(I228,Benchmark!$A$5:$A$807,0))</f>
        <v>110.9357798165138</v>
      </c>
      <c r="L228" s="14">
        <f t="shared" si="3"/>
        <v>-0.14709646964512968</v>
      </c>
      <c r="M228" s="15">
        <f>IF(L228&gt;Benchmark!$B$2,1,IF(L228&lt;-Benchmark!$B$2,5,3))</f>
        <v>5</v>
      </c>
      <c r="N228" s="3" t="s">
        <v>31</v>
      </c>
    </row>
    <row r="229" spans="1:14" x14ac:dyDescent="0.35">
      <c r="A229" s="11" t="s">
        <v>11</v>
      </c>
      <c r="B229" s="11" t="s">
        <v>367</v>
      </c>
      <c r="C229" s="11">
        <v>7</v>
      </c>
      <c r="D229" s="11">
        <v>8</v>
      </c>
      <c r="E229" s="11" t="s">
        <v>104</v>
      </c>
      <c r="F229" s="11" t="s">
        <v>84</v>
      </c>
      <c r="G229" s="12">
        <v>3.56</v>
      </c>
      <c r="H229" s="13">
        <v>111.7022471910112</v>
      </c>
      <c r="I229" s="11" t="s">
        <v>175</v>
      </c>
      <c r="J229" s="11" t="s">
        <v>30</v>
      </c>
      <c r="K229" s="7">
        <f>INDEX(Benchmark!$H$5:$H$807,MATCH(I229,Benchmark!$A$5:$A$807,0))</f>
        <v>107.50926587244901</v>
      </c>
      <c r="L229" s="14">
        <f t="shared" si="3"/>
        <v>3.9001115713475532E-2</v>
      </c>
      <c r="M229" s="17">
        <f>IF(L229&gt;Benchmark!$B$2,1,IF(L229&lt;-Benchmark!$B$2,5,3))</f>
        <v>3</v>
      </c>
      <c r="N229" s="3" t="s">
        <v>31</v>
      </c>
    </row>
    <row r="230" spans="1:14" x14ac:dyDescent="0.35">
      <c r="A230" s="11" t="s">
        <v>11</v>
      </c>
      <c r="B230" s="11" t="s">
        <v>368</v>
      </c>
      <c r="C230" s="11">
        <v>7</v>
      </c>
      <c r="D230" s="11">
        <v>4</v>
      </c>
      <c r="E230" s="11" t="s">
        <v>104</v>
      </c>
      <c r="F230" s="11" t="s">
        <v>39</v>
      </c>
      <c r="G230" s="12">
        <v>13.48</v>
      </c>
      <c r="H230" s="13">
        <v>104.8456973293768</v>
      </c>
      <c r="I230" s="11" t="s">
        <v>369</v>
      </c>
      <c r="J230" s="11" t="s">
        <v>30</v>
      </c>
      <c r="K230" s="7">
        <f>INDEX(Benchmark!$H$5:$H$807,MATCH(I230,Benchmark!$A$5:$A$807,0))</f>
        <v>114.45418950665621</v>
      </c>
      <c r="L230" s="14">
        <f t="shared" si="3"/>
        <v>-8.3950550160687754E-2</v>
      </c>
      <c r="M230" s="15">
        <f>IF(L230&gt;Benchmark!$B$2,1,IF(L230&lt;-Benchmark!$B$2,5,3))</f>
        <v>5</v>
      </c>
      <c r="N230" s="3" t="s">
        <v>31</v>
      </c>
    </row>
    <row r="231" spans="1:14" x14ac:dyDescent="0.35">
      <c r="A231" s="11" t="s">
        <v>11</v>
      </c>
      <c r="B231" s="11" t="s">
        <v>370</v>
      </c>
      <c r="C231" s="11">
        <v>7</v>
      </c>
      <c r="D231" s="11">
        <v>4</v>
      </c>
      <c r="E231" s="11" t="s">
        <v>104</v>
      </c>
      <c r="F231" s="11" t="s">
        <v>43</v>
      </c>
      <c r="G231" s="12">
        <v>12.82</v>
      </c>
      <c r="H231" s="13">
        <v>102.402496099844</v>
      </c>
      <c r="I231" s="11" t="s">
        <v>324</v>
      </c>
      <c r="J231" s="11" t="s">
        <v>30</v>
      </c>
      <c r="K231" s="7">
        <f>INDEX(Benchmark!$H$5:$H$807,MATCH(I231,Benchmark!$A$5:$A$807,0))</f>
        <v>109.75467980295571</v>
      </c>
      <c r="L231" s="14">
        <f t="shared" si="3"/>
        <v>-6.6987427928460019E-2</v>
      </c>
      <c r="M231" s="15">
        <f>IF(L231&gt;Benchmark!$B$2,1,IF(L231&lt;-Benchmark!$B$2,5,3))</f>
        <v>5</v>
      </c>
      <c r="N231" s="3" t="s">
        <v>31</v>
      </c>
    </row>
    <row r="232" spans="1:14" x14ac:dyDescent="0.35">
      <c r="A232" s="11" t="s">
        <v>11</v>
      </c>
      <c r="B232" s="11" t="s">
        <v>371</v>
      </c>
      <c r="C232" s="11">
        <v>7</v>
      </c>
      <c r="D232" s="11">
        <v>4</v>
      </c>
      <c r="E232" s="11" t="s">
        <v>78</v>
      </c>
      <c r="F232" s="11" t="s">
        <v>43</v>
      </c>
      <c r="G232" s="12">
        <v>3.32</v>
      </c>
      <c r="H232" s="13">
        <v>129.07530120481931</v>
      </c>
      <c r="I232" s="11" t="s">
        <v>80</v>
      </c>
      <c r="J232" s="11" t="s">
        <v>37</v>
      </c>
      <c r="K232" s="7">
        <f>INDEX(Benchmark!$H$5:$H$807,MATCH(I232,Benchmark!$A$5:$A$807,0))</f>
        <v>110.9357798165138</v>
      </c>
      <c r="L232" s="14">
        <f t="shared" si="3"/>
        <v>0.1635137141354035</v>
      </c>
      <c r="M232" s="16">
        <f>IF(L232&gt;Benchmark!$B$2,1,IF(L232&lt;-Benchmark!$B$2,5,3))</f>
        <v>1</v>
      </c>
      <c r="N232" s="3" t="s">
        <v>31</v>
      </c>
    </row>
    <row r="233" spans="1:14" x14ac:dyDescent="0.35">
      <c r="A233" s="11" t="s">
        <v>11</v>
      </c>
      <c r="B233" s="11" t="s">
        <v>372</v>
      </c>
      <c r="C233" s="11">
        <v>7</v>
      </c>
      <c r="D233" s="11">
        <v>4</v>
      </c>
      <c r="E233" s="11" t="s">
        <v>78</v>
      </c>
      <c r="F233" s="11" t="s">
        <v>131</v>
      </c>
      <c r="G233" s="12">
        <v>2.77</v>
      </c>
      <c r="H233" s="13">
        <v>94.682310469314075</v>
      </c>
      <c r="I233" s="11" t="s">
        <v>132</v>
      </c>
      <c r="J233" s="11" t="s">
        <v>30</v>
      </c>
      <c r="K233" s="7">
        <f>INDEX(Benchmark!$H$5:$H$807,MATCH(I233,Benchmark!$A$5:$A$807,0))</f>
        <v>119.3536585365854</v>
      </c>
      <c r="L233" s="14">
        <f t="shared" si="3"/>
        <v>-0.2067079331272349</v>
      </c>
      <c r="M233" s="15">
        <f>IF(L233&gt;Benchmark!$B$2,1,IF(L233&lt;-Benchmark!$B$2,5,3))</f>
        <v>5</v>
      </c>
      <c r="N233" s="3" t="s">
        <v>31</v>
      </c>
    </row>
    <row r="234" spans="1:14" x14ac:dyDescent="0.35">
      <c r="A234" s="11" t="s">
        <v>11</v>
      </c>
      <c r="B234" s="11" t="s">
        <v>373</v>
      </c>
      <c r="C234" s="11">
        <v>7</v>
      </c>
      <c r="D234" s="11">
        <v>2</v>
      </c>
      <c r="E234" s="11" t="s">
        <v>78</v>
      </c>
      <c r="F234" s="11" t="s">
        <v>73</v>
      </c>
      <c r="G234" s="12">
        <v>1.58</v>
      </c>
      <c r="H234" s="13">
        <v>101.8544303797468</v>
      </c>
      <c r="I234" s="11" t="s">
        <v>80</v>
      </c>
      <c r="J234" s="11" t="s">
        <v>37</v>
      </c>
      <c r="K234" s="7">
        <f>INDEX(Benchmark!$H$5:$H$807,MATCH(I234,Benchmark!$A$5:$A$807,0))</f>
        <v>110.9357798165138</v>
      </c>
      <c r="L234" s="14">
        <f t="shared" si="3"/>
        <v>-8.1861320592755749E-2</v>
      </c>
      <c r="M234" s="15">
        <f>IF(L234&gt;Benchmark!$B$2,1,IF(L234&lt;-Benchmark!$B$2,5,3))</f>
        <v>5</v>
      </c>
      <c r="N234" s="3" t="s">
        <v>31</v>
      </c>
    </row>
    <row r="235" spans="1:14" x14ac:dyDescent="0.35">
      <c r="A235" s="11" t="s">
        <v>11</v>
      </c>
      <c r="B235" s="11" t="s">
        <v>374</v>
      </c>
      <c r="C235" s="11">
        <v>7</v>
      </c>
      <c r="D235" s="11">
        <v>1</v>
      </c>
      <c r="E235" s="11" t="s">
        <v>88</v>
      </c>
      <c r="F235" s="11" t="s">
        <v>84</v>
      </c>
      <c r="G235" s="12">
        <v>3.64</v>
      </c>
      <c r="H235" s="13">
        <v>100.3928571428571</v>
      </c>
      <c r="I235" s="11" t="s">
        <v>351</v>
      </c>
      <c r="J235" s="11" t="s">
        <v>30</v>
      </c>
      <c r="K235" s="7">
        <f>INDEX(Benchmark!$H$5:$H$807,MATCH(I235,Benchmark!$A$5:$A$807,0))</f>
        <v>106.29246581471931</v>
      </c>
      <c r="L235" s="14">
        <f t="shared" si="3"/>
        <v>-5.5503545116226238E-2</v>
      </c>
      <c r="M235" s="15">
        <f>IF(L235&gt;Benchmark!$B$2,1,IF(L235&lt;-Benchmark!$B$2,5,3))</f>
        <v>5</v>
      </c>
      <c r="N235" s="3" t="s">
        <v>31</v>
      </c>
    </row>
    <row r="236" spans="1:14" x14ac:dyDescent="0.35">
      <c r="A236" s="11" t="s">
        <v>11</v>
      </c>
      <c r="B236" s="11" t="s">
        <v>375</v>
      </c>
      <c r="C236" s="11">
        <v>7</v>
      </c>
      <c r="D236" s="11">
        <v>2</v>
      </c>
      <c r="E236" s="11" t="s">
        <v>88</v>
      </c>
      <c r="F236" s="11" t="s">
        <v>73</v>
      </c>
      <c r="G236" s="12">
        <v>0.42</v>
      </c>
      <c r="H236" s="13">
        <v>125</v>
      </c>
      <c r="I236" s="11" t="s">
        <v>218</v>
      </c>
      <c r="J236" s="11" t="s">
        <v>37</v>
      </c>
      <c r="K236" s="7">
        <f>INDEX(Benchmark!$H$5:$H$807,MATCH(I236,Benchmark!$A$5:$A$807,0))</f>
        <v>110.4166666666667</v>
      </c>
      <c r="L236" s="14">
        <f t="shared" si="3"/>
        <v>0.13207547169811296</v>
      </c>
      <c r="M236" s="16">
        <f>IF(L236&gt;Benchmark!$B$2,1,IF(L236&lt;-Benchmark!$B$2,5,3))</f>
        <v>1</v>
      </c>
      <c r="N236" s="3" t="s">
        <v>31</v>
      </c>
    </row>
    <row r="237" spans="1:14" x14ac:dyDescent="0.35">
      <c r="A237" s="11" t="s">
        <v>11</v>
      </c>
      <c r="B237" s="11" t="s">
        <v>376</v>
      </c>
      <c r="C237" s="11">
        <v>7</v>
      </c>
      <c r="D237" s="11">
        <v>2</v>
      </c>
      <c r="E237" s="11" t="s">
        <v>88</v>
      </c>
      <c r="F237" s="11" t="s">
        <v>73</v>
      </c>
      <c r="G237" s="12">
        <v>3.17</v>
      </c>
      <c r="H237" s="13">
        <v>99.820189274447955</v>
      </c>
      <c r="I237" s="11" t="s">
        <v>218</v>
      </c>
      <c r="J237" s="11" t="s">
        <v>37</v>
      </c>
      <c r="K237" s="7">
        <f>INDEX(Benchmark!$H$5:$H$807,MATCH(I237,Benchmark!$A$5:$A$807,0))</f>
        <v>110.4166666666667</v>
      </c>
      <c r="L237" s="14">
        <f t="shared" si="3"/>
        <v>-9.5968097137075437E-2</v>
      </c>
      <c r="M237" s="15">
        <f>IF(L237&gt;Benchmark!$B$2,1,IF(L237&lt;-Benchmark!$B$2,5,3))</f>
        <v>5</v>
      </c>
      <c r="N237" s="3" t="s">
        <v>31</v>
      </c>
    </row>
    <row r="238" spans="1:14" x14ac:dyDescent="0.35">
      <c r="A238" s="11" t="s">
        <v>11</v>
      </c>
      <c r="B238" s="11" t="s">
        <v>377</v>
      </c>
      <c r="C238" s="11">
        <v>7</v>
      </c>
      <c r="D238" s="11">
        <v>2</v>
      </c>
      <c r="E238" s="11" t="s">
        <v>78</v>
      </c>
      <c r="F238" s="11" t="s">
        <v>84</v>
      </c>
      <c r="G238" s="12">
        <v>1.06</v>
      </c>
      <c r="H238" s="13">
        <v>119.1226415094339</v>
      </c>
      <c r="I238" s="11" t="s">
        <v>80</v>
      </c>
      <c r="J238" s="11" t="s">
        <v>37</v>
      </c>
      <c r="K238" s="7">
        <f>INDEX(Benchmark!$H$5:$H$807,MATCH(I238,Benchmark!$A$5:$A$807,0))</f>
        <v>110.9357798165138</v>
      </c>
      <c r="L238" s="14">
        <f t="shared" si="3"/>
        <v>7.3798207453547038E-2</v>
      </c>
      <c r="M238" s="16">
        <f>IF(L238&gt;Benchmark!$B$2,1,IF(L238&lt;-Benchmark!$B$2,5,3))</f>
        <v>1</v>
      </c>
      <c r="N238" s="3" t="s">
        <v>31</v>
      </c>
    </row>
    <row r="239" spans="1:14" x14ac:dyDescent="0.35">
      <c r="A239" s="11" t="s">
        <v>11</v>
      </c>
      <c r="B239" s="11" t="s">
        <v>378</v>
      </c>
      <c r="C239" s="11">
        <v>7</v>
      </c>
      <c r="D239" s="11">
        <v>6</v>
      </c>
      <c r="E239" s="11" t="s">
        <v>156</v>
      </c>
      <c r="F239" s="11" t="s">
        <v>84</v>
      </c>
      <c r="G239" s="12">
        <v>23.69</v>
      </c>
      <c r="H239" s="13">
        <v>104.1122836639932</v>
      </c>
      <c r="I239" s="11" t="s">
        <v>379</v>
      </c>
      <c r="J239" s="11" t="s">
        <v>30</v>
      </c>
      <c r="K239" s="7">
        <f>INDEX(Benchmark!$H$5:$H$807,MATCH(I239,Benchmark!$A$5:$A$807,0))</f>
        <v>108.180600914435</v>
      </c>
      <c r="L239" s="14">
        <f t="shared" si="3"/>
        <v>-3.7606717064361916E-2</v>
      </c>
      <c r="M239" s="17">
        <f>IF(L239&gt;Benchmark!$B$2,1,IF(L239&lt;-Benchmark!$B$2,5,3))</f>
        <v>3</v>
      </c>
      <c r="N239" s="3" t="s">
        <v>31</v>
      </c>
    </row>
    <row r="240" spans="1:14" x14ac:dyDescent="0.35">
      <c r="A240" s="11" t="s">
        <v>11</v>
      </c>
      <c r="B240" s="11" t="s">
        <v>380</v>
      </c>
      <c r="C240" s="11">
        <v>7</v>
      </c>
      <c r="D240" s="11">
        <v>6</v>
      </c>
      <c r="E240" s="11" t="s">
        <v>104</v>
      </c>
      <c r="F240" s="11" t="s">
        <v>84</v>
      </c>
      <c r="G240" s="12">
        <v>4.97</v>
      </c>
      <c r="H240" s="13">
        <v>86.633802816901408</v>
      </c>
      <c r="I240" s="11" t="s">
        <v>175</v>
      </c>
      <c r="J240" s="11" t="s">
        <v>30</v>
      </c>
      <c r="K240" s="7">
        <f>INDEX(Benchmark!$H$5:$H$807,MATCH(I240,Benchmark!$A$5:$A$807,0))</f>
        <v>107.50926587244901</v>
      </c>
      <c r="L240" s="14">
        <f t="shared" si="3"/>
        <v>-0.19417361737280059</v>
      </c>
      <c r="M240" s="15">
        <f>IF(L240&gt;Benchmark!$B$2,1,IF(L240&lt;-Benchmark!$B$2,5,3))</f>
        <v>5</v>
      </c>
      <c r="N240" s="3" t="s">
        <v>31</v>
      </c>
    </row>
    <row r="241" spans="1:14" x14ac:dyDescent="0.35">
      <c r="A241" s="11" t="s">
        <v>11</v>
      </c>
      <c r="B241" s="11" t="s">
        <v>381</v>
      </c>
      <c r="C241" s="11">
        <v>7</v>
      </c>
      <c r="D241" s="11">
        <v>6</v>
      </c>
      <c r="E241" s="11" t="s">
        <v>156</v>
      </c>
      <c r="F241" s="11" t="s">
        <v>84</v>
      </c>
      <c r="G241" s="12">
        <v>15.31</v>
      </c>
      <c r="H241" s="13">
        <v>105.523187459177</v>
      </c>
      <c r="I241" s="11" t="s">
        <v>379</v>
      </c>
      <c r="J241" s="11" t="s">
        <v>30</v>
      </c>
      <c r="K241" s="7">
        <f>INDEX(Benchmark!$H$5:$H$807,MATCH(I241,Benchmark!$A$5:$A$807,0))</f>
        <v>108.180600914435</v>
      </c>
      <c r="L241" s="14">
        <f t="shared" si="3"/>
        <v>-2.4564602459177354E-2</v>
      </c>
      <c r="M241" s="17">
        <f>IF(L241&gt;Benchmark!$B$2,1,IF(L241&lt;-Benchmark!$B$2,5,3))</f>
        <v>3</v>
      </c>
      <c r="N241" s="3" t="s">
        <v>31</v>
      </c>
    </row>
    <row r="242" spans="1:14" x14ac:dyDescent="0.35">
      <c r="A242" s="11" t="s">
        <v>11</v>
      </c>
      <c r="B242" s="11" t="s">
        <v>382</v>
      </c>
      <c r="C242" s="11">
        <v>7</v>
      </c>
      <c r="D242" s="11">
        <v>2</v>
      </c>
      <c r="E242" s="11" t="s">
        <v>88</v>
      </c>
      <c r="F242" s="11" t="s">
        <v>84</v>
      </c>
      <c r="G242" s="12">
        <v>1.36</v>
      </c>
      <c r="H242" s="13">
        <v>106.5955882352941</v>
      </c>
      <c r="I242" s="11" t="s">
        <v>351</v>
      </c>
      <c r="J242" s="11" t="s">
        <v>30</v>
      </c>
      <c r="K242" s="7">
        <f>INDEX(Benchmark!$H$5:$H$807,MATCH(I242,Benchmark!$A$5:$A$807,0))</f>
        <v>106.29246581471931</v>
      </c>
      <c r="L242" s="14">
        <f t="shared" si="3"/>
        <v>2.8517771062266384E-3</v>
      </c>
      <c r="M242" s="17">
        <f>IF(L242&gt;Benchmark!$B$2,1,IF(L242&lt;-Benchmark!$B$2,5,3))</f>
        <v>3</v>
      </c>
      <c r="N242" s="3" t="s">
        <v>31</v>
      </c>
    </row>
    <row r="243" spans="1:14" x14ac:dyDescent="0.35">
      <c r="A243" s="11" t="s">
        <v>11</v>
      </c>
      <c r="B243" s="11" t="s">
        <v>383</v>
      </c>
      <c r="C243" s="11">
        <v>7</v>
      </c>
      <c r="D243" s="11">
        <v>6</v>
      </c>
      <c r="E243" s="11" t="s">
        <v>156</v>
      </c>
      <c r="F243" s="11" t="s">
        <v>84</v>
      </c>
      <c r="G243" s="12">
        <v>13.69</v>
      </c>
      <c r="H243" s="13">
        <v>98.817384952520086</v>
      </c>
      <c r="I243" s="11" t="s">
        <v>379</v>
      </c>
      <c r="J243" s="11" t="s">
        <v>30</v>
      </c>
      <c r="K243" s="7">
        <f>INDEX(Benchmark!$H$5:$H$807,MATCH(I243,Benchmark!$A$5:$A$807,0))</f>
        <v>108.180600914435</v>
      </c>
      <c r="L243" s="14">
        <f t="shared" si="3"/>
        <v>-8.6551709666696341E-2</v>
      </c>
      <c r="M243" s="15">
        <f>IF(L243&gt;Benchmark!$B$2,1,IF(L243&lt;-Benchmark!$B$2,5,3))</f>
        <v>5</v>
      </c>
      <c r="N243" s="3" t="s">
        <v>31</v>
      </c>
    </row>
    <row r="244" spans="1:14" x14ac:dyDescent="0.35">
      <c r="A244" s="11" t="s">
        <v>11</v>
      </c>
      <c r="B244" s="11" t="s">
        <v>384</v>
      </c>
      <c r="C244" s="11">
        <v>7</v>
      </c>
      <c r="D244" s="11">
        <v>6</v>
      </c>
      <c r="E244" s="11" t="s">
        <v>88</v>
      </c>
      <c r="F244" s="11" t="s">
        <v>84</v>
      </c>
      <c r="G244" s="12">
        <v>13.72</v>
      </c>
      <c r="H244" s="13">
        <v>94.744897959183675</v>
      </c>
      <c r="I244" s="11" t="s">
        <v>351</v>
      </c>
      <c r="J244" s="11" t="s">
        <v>30</v>
      </c>
      <c r="K244" s="7">
        <f>INDEX(Benchmark!$H$5:$H$807,MATCH(I244,Benchmark!$A$5:$A$807,0))</f>
        <v>106.29246581471931</v>
      </c>
      <c r="L244" s="14">
        <f t="shared" si="3"/>
        <v>-0.10863957070733921</v>
      </c>
      <c r="M244" s="15">
        <f>IF(L244&gt;Benchmark!$B$2,1,IF(L244&lt;-Benchmark!$B$2,5,3))</f>
        <v>5</v>
      </c>
      <c r="N244" s="3" t="s">
        <v>31</v>
      </c>
    </row>
    <row r="245" spans="1:14" x14ac:dyDescent="0.35">
      <c r="A245" s="11" t="s">
        <v>11</v>
      </c>
      <c r="B245" s="11" t="s">
        <v>385</v>
      </c>
      <c r="C245" s="11">
        <v>7</v>
      </c>
      <c r="D245" s="11">
        <v>6</v>
      </c>
      <c r="E245" s="11" t="s">
        <v>156</v>
      </c>
      <c r="F245" s="11" t="s">
        <v>84</v>
      </c>
      <c r="G245" s="12">
        <v>16.03</v>
      </c>
      <c r="H245" s="13">
        <v>110.1391141609482</v>
      </c>
      <c r="I245" s="11" t="s">
        <v>379</v>
      </c>
      <c r="J245" s="11" t="s">
        <v>30</v>
      </c>
      <c r="K245" s="7">
        <f>INDEX(Benchmark!$H$5:$H$807,MATCH(I245,Benchmark!$A$5:$A$807,0))</f>
        <v>108.180600914435</v>
      </c>
      <c r="L245" s="14">
        <f t="shared" si="3"/>
        <v>1.8104107667716418E-2</v>
      </c>
      <c r="M245" s="17">
        <f>IF(L245&gt;Benchmark!$B$2,1,IF(L245&lt;-Benchmark!$B$2,5,3))</f>
        <v>3</v>
      </c>
      <c r="N245" s="3" t="s">
        <v>31</v>
      </c>
    </row>
    <row r="246" spans="1:14" x14ac:dyDescent="0.35">
      <c r="A246" s="11" t="s">
        <v>11</v>
      </c>
      <c r="B246" s="11" t="s">
        <v>386</v>
      </c>
      <c r="C246" s="11">
        <v>7</v>
      </c>
      <c r="D246" s="11">
        <v>6</v>
      </c>
      <c r="E246" s="11" t="s">
        <v>104</v>
      </c>
      <c r="F246" s="11" t="s">
        <v>84</v>
      </c>
      <c r="G246" s="12">
        <v>14.12</v>
      </c>
      <c r="H246" s="13">
        <v>86.544617563739379</v>
      </c>
      <c r="I246" s="11" t="s">
        <v>175</v>
      </c>
      <c r="J246" s="11" t="s">
        <v>30</v>
      </c>
      <c r="K246" s="7">
        <f>INDEX(Benchmark!$H$5:$H$807,MATCH(I246,Benchmark!$A$5:$A$807,0))</f>
        <v>107.50926587244901</v>
      </c>
      <c r="L246" s="14">
        <f t="shared" si="3"/>
        <v>-0.19500317613165064</v>
      </c>
      <c r="M246" s="15">
        <f>IF(L246&gt;Benchmark!$B$2,1,IF(L246&lt;-Benchmark!$B$2,5,3))</f>
        <v>5</v>
      </c>
      <c r="N246" s="3" t="s">
        <v>31</v>
      </c>
    </row>
    <row r="247" spans="1:14" x14ac:dyDescent="0.35">
      <c r="A247" s="11" t="s">
        <v>11</v>
      </c>
      <c r="B247" s="11" t="s">
        <v>387</v>
      </c>
      <c r="C247" s="11">
        <v>7</v>
      </c>
      <c r="D247" s="11">
        <v>5</v>
      </c>
      <c r="E247" s="11" t="s">
        <v>78</v>
      </c>
      <c r="F247" s="11" t="s">
        <v>84</v>
      </c>
      <c r="G247" s="12">
        <v>1.64</v>
      </c>
      <c r="H247" s="13">
        <v>96.5</v>
      </c>
      <c r="I247" s="11" t="s">
        <v>80</v>
      </c>
      <c r="J247" s="11" t="s">
        <v>37</v>
      </c>
      <c r="K247" s="7">
        <f>INDEX(Benchmark!$H$5:$H$807,MATCH(I247,Benchmark!$A$5:$A$807,0))</f>
        <v>110.9357798165138</v>
      </c>
      <c r="L247" s="14">
        <f t="shared" si="3"/>
        <v>-0.13012735693020205</v>
      </c>
      <c r="M247" s="15">
        <f>IF(L247&gt;Benchmark!$B$2,1,IF(L247&lt;-Benchmark!$B$2,5,3))</f>
        <v>5</v>
      </c>
      <c r="N247" s="3" t="s">
        <v>31</v>
      </c>
    </row>
    <row r="248" spans="1:14" x14ac:dyDescent="0.35">
      <c r="A248" s="11" t="s">
        <v>11</v>
      </c>
      <c r="B248" s="11" t="s">
        <v>388</v>
      </c>
      <c r="C248" s="11">
        <v>7</v>
      </c>
      <c r="D248" s="11">
        <v>1</v>
      </c>
      <c r="E248" s="11" t="s">
        <v>78</v>
      </c>
      <c r="F248" s="11" t="s">
        <v>84</v>
      </c>
      <c r="G248" s="12">
        <v>16</v>
      </c>
      <c r="H248" s="13">
        <v>136.58687499999999</v>
      </c>
      <c r="I248" s="11" t="s">
        <v>80</v>
      </c>
      <c r="J248" s="11" t="s">
        <v>37</v>
      </c>
      <c r="K248" s="7">
        <f>INDEX(Benchmark!$H$5:$H$807,MATCH(I248,Benchmark!$A$5:$A$807,0))</f>
        <v>110.9357798165138</v>
      </c>
      <c r="L248" s="14">
        <f t="shared" si="3"/>
        <v>0.23122472502480917</v>
      </c>
      <c r="M248" s="16">
        <f>IF(L248&gt;Benchmark!$B$2,1,IF(L248&lt;-Benchmark!$B$2,5,3))</f>
        <v>1</v>
      </c>
      <c r="N248" s="3" t="s">
        <v>31</v>
      </c>
    </row>
    <row r="249" spans="1:14" x14ac:dyDescent="0.35">
      <c r="A249" s="11" t="s">
        <v>11</v>
      </c>
      <c r="B249" s="11" t="s">
        <v>389</v>
      </c>
      <c r="C249" s="11">
        <v>7</v>
      </c>
      <c r="D249" s="11">
        <v>2</v>
      </c>
      <c r="E249" s="11" t="s">
        <v>78</v>
      </c>
      <c r="F249" s="11" t="s">
        <v>84</v>
      </c>
      <c r="G249" s="12">
        <v>10.15</v>
      </c>
      <c r="H249" s="13">
        <v>94.05024630541871</v>
      </c>
      <c r="I249" s="11" t="s">
        <v>80</v>
      </c>
      <c r="J249" s="11" t="s">
        <v>37</v>
      </c>
      <c r="K249" s="7">
        <f>INDEX(Benchmark!$H$5:$H$807,MATCH(I249,Benchmark!$A$5:$A$807,0))</f>
        <v>110.9357798165138</v>
      </c>
      <c r="L249" s="14">
        <f t="shared" si="3"/>
        <v>-0.15220998616518067</v>
      </c>
      <c r="M249" s="15">
        <f>IF(L249&gt;Benchmark!$B$2,1,IF(L249&lt;-Benchmark!$B$2,5,3))</f>
        <v>5</v>
      </c>
      <c r="N249" s="3" t="s">
        <v>31</v>
      </c>
    </row>
    <row r="250" spans="1:14" x14ac:dyDescent="0.35">
      <c r="A250" s="11" t="s">
        <v>11</v>
      </c>
      <c r="B250" s="11" t="s">
        <v>390</v>
      </c>
      <c r="C250" s="11">
        <v>7</v>
      </c>
      <c r="D250" s="11">
        <v>1</v>
      </c>
      <c r="E250" s="11" t="s">
        <v>78</v>
      </c>
      <c r="F250" s="11" t="s">
        <v>84</v>
      </c>
      <c r="G250" s="12">
        <v>2.62</v>
      </c>
      <c r="H250" s="13">
        <v>95.438931297709928</v>
      </c>
      <c r="I250" s="11" t="s">
        <v>80</v>
      </c>
      <c r="J250" s="11" t="s">
        <v>37</v>
      </c>
      <c r="K250" s="7">
        <f>INDEX(Benchmark!$H$5:$H$807,MATCH(I250,Benchmark!$A$5:$A$807,0))</f>
        <v>110.9357798165138</v>
      </c>
      <c r="L250" s="14">
        <f t="shared" si="3"/>
        <v>-0.13969206818968094</v>
      </c>
      <c r="M250" s="15">
        <f>IF(L250&gt;Benchmark!$B$2,1,IF(L250&lt;-Benchmark!$B$2,5,3))</f>
        <v>5</v>
      </c>
      <c r="N250" s="3" t="s">
        <v>31</v>
      </c>
    </row>
    <row r="251" spans="1:14" x14ac:dyDescent="0.35">
      <c r="A251" s="11" t="s">
        <v>11</v>
      </c>
      <c r="B251" s="11" t="s">
        <v>391</v>
      </c>
      <c r="C251" s="11">
        <v>7</v>
      </c>
      <c r="D251" s="11">
        <v>2</v>
      </c>
      <c r="E251" s="11" t="s">
        <v>88</v>
      </c>
      <c r="F251" s="11" t="s">
        <v>186</v>
      </c>
      <c r="G251" s="12">
        <v>8.4</v>
      </c>
      <c r="H251" s="13">
        <v>57.592857142857127</v>
      </c>
      <c r="I251" s="11" t="s">
        <v>258</v>
      </c>
      <c r="J251" s="11" t="s">
        <v>30</v>
      </c>
      <c r="K251" s="7">
        <f>INDEX(Benchmark!$H$5:$H$807,MATCH(I251,Benchmark!$A$5:$A$807,0))</f>
        <v>107.4748001390337</v>
      </c>
      <c r="L251" s="14">
        <f t="shared" si="3"/>
        <v>-0.46412687375689277</v>
      </c>
      <c r="M251" s="15">
        <f>IF(L251&gt;Benchmark!$B$2,1,IF(L251&lt;-Benchmark!$B$2,5,3))</f>
        <v>5</v>
      </c>
      <c r="N251" s="3" t="s">
        <v>31</v>
      </c>
    </row>
    <row r="252" spans="1:14" x14ac:dyDescent="0.35">
      <c r="A252" s="11" t="s">
        <v>11</v>
      </c>
      <c r="B252" s="11" t="s">
        <v>392</v>
      </c>
      <c r="C252" s="11">
        <v>7</v>
      </c>
      <c r="D252" s="11">
        <v>8</v>
      </c>
      <c r="E252" s="11" t="s">
        <v>198</v>
      </c>
      <c r="F252" s="11" t="s">
        <v>393</v>
      </c>
      <c r="G252" s="12">
        <v>2.2000000000000002</v>
      </c>
      <c r="H252" s="13">
        <v>54.768181818181809</v>
      </c>
      <c r="I252" s="11" t="s">
        <v>394</v>
      </c>
      <c r="J252" s="11" t="s">
        <v>30</v>
      </c>
      <c r="K252" s="7">
        <f>INDEX(Benchmark!$H$5:$H$807,MATCH(I252,Benchmark!$A$5:$A$807,0))</f>
        <v>83.798922800718131</v>
      </c>
      <c r="L252" s="14">
        <f t="shared" si="3"/>
        <v>-0.34643334320148966</v>
      </c>
      <c r="M252" s="15">
        <f>IF(L252&gt;Benchmark!$B$2,1,IF(L252&lt;-Benchmark!$B$2,5,3))</f>
        <v>5</v>
      </c>
      <c r="N252" s="3" t="s">
        <v>31</v>
      </c>
    </row>
    <row r="253" spans="1:14" x14ac:dyDescent="0.35">
      <c r="A253" s="11" t="s">
        <v>11</v>
      </c>
      <c r="B253" s="11" t="s">
        <v>395</v>
      </c>
      <c r="C253" s="11">
        <v>7</v>
      </c>
      <c r="D253" s="11">
        <v>7</v>
      </c>
      <c r="E253" s="11" t="s">
        <v>198</v>
      </c>
      <c r="F253" s="11" t="s">
        <v>393</v>
      </c>
      <c r="G253" s="12">
        <v>4.4000000000000004</v>
      </c>
      <c r="H253" s="13">
        <v>54.959090909090897</v>
      </c>
      <c r="I253" s="11" t="s">
        <v>394</v>
      </c>
      <c r="J253" s="11" t="s">
        <v>30</v>
      </c>
      <c r="K253" s="7">
        <f>INDEX(Benchmark!$H$5:$H$807,MATCH(I253,Benchmark!$A$5:$A$807,0))</f>
        <v>83.798922800718131</v>
      </c>
      <c r="L253" s="14">
        <f t="shared" si="3"/>
        <v>-0.3441551624739988</v>
      </c>
      <c r="M253" s="15">
        <f>IF(L253&gt;Benchmark!$B$2,1,IF(L253&lt;-Benchmark!$B$2,5,3))</f>
        <v>5</v>
      </c>
      <c r="N253" s="3" t="s">
        <v>31</v>
      </c>
    </row>
    <row r="254" spans="1:14" x14ac:dyDescent="0.35">
      <c r="A254" s="11" t="s">
        <v>11</v>
      </c>
      <c r="B254" s="11" t="s">
        <v>396</v>
      </c>
      <c r="C254" s="11">
        <v>7</v>
      </c>
      <c r="D254" s="11">
        <v>7</v>
      </c>
      <c r="E254" s="11" t="s">
        <v>198</v>
      </c>
      <c r="F254" s="11" t="s">
        <v>393</v>
      </c>
      <c r="G254" s="12">
        <v>0.89</v>
      </c>
      <c r="H254" s="13">
        <v>55.112359550561791</v>
      </c>
      <c r="I254" s="11" t="s">
        <v>394</v>
      </c>
      <c r="J254" s="11" t="s">
        <v>30</v>
      </c>
      <c r="K254" s="7">
        <f>INDEX(Benchmark!$H$5:$H$807,MATCH(I254,Benchmark!$A$5:$A$807,0))</f>
        <v>83.798922800718131</v>
      </c>
      <c r="L254" s="14">
        <f t="shared" si="3"/>
        <v>-0.34232615756142515</v>
      </c>
      <c r="M254" s="15">
        <f>IF(L254&gt;Benchmark!$B$2,1,IF(L254&lt;-Benchmark!$B$2,5,3))</f>
        <v>5</v>
      </c>
      <c r="N254" s="3" t="s">
        <v>31</v>
      </c>
    </row>
    <row r="255" spans="1:14" x14ac:dyDescent="0.35">
      <c r="A255" s="11" t="s">
        <v>11</v>
      </c>
      <c r="B255" s="11" t="s">
        <v>397</v>
      </c>
      <c r="C255" s="11">
        <v>7</v>
      </c>
      <c r="D255" s="11">
        <v>8</v>
      </c>
      <c r="E255" s="11" t="s">
        <v>198</v>
      </c>
      <c r="F255" s="11" t="s">
        <v>393</v>
      </c>
      <c r="G255" s="12">
        <v>8.74</v>
      </c>
      <c r="H255" s="13">
        <v>55.798627002288328</v>
      </c>
      <c r="I255" s="11" t="s">
        <v>394</v>
      </c>
      <c r="J255" s="11" t="s">
        <v>30</v>
      </c>
      <c r="K255" s="7">
        <f>INDEX(Benchmark!$H$5:$H$807,MATCH(I255,Benchmark!$A$5:$A$807,0))</f>
        <v>83.798922800718131</v>
      </c>
      <c r="L255" s="14">
        <f t="shared" si="3"/>
        <v>-0.3341367032248993</v>
      </c>
      <c r="M255" s="15">
        <f>IF(L255&gt;Benchmark!$B$2,1,IF(L255&lt;-Benchmark!$B$2,5,3))</f>
        <v>5</v>
      </c>
      <c r="N255" s="3" t="s">
        <v>31</v>
      </c>
    </row>
    <row r="256" spans="1:14" x14ac:dyDescent="0.35">
      <c r="A256" s="11" t="s">
        <v>11</v>
      </c>
      <c r="B256" s="11" t="s">
        <v>398</v>
      </c>
      <c r="C256" s="11">
        <v>7</v>
      </c>
      <c r="D256" s="11">
        <v>8</v>
      </c>
      <c r="E256" s="11" t="s">
        <v>198</v>
      </c>
      <c r="F256" s="11" t="s">
        <v>393</v>
      </c>
      <c r="G256" s="12">
        <v>6</v>
      </c>
      <c r="H256" s="13">
        <v>46.531666666666673</v>
      </c>
      <c r="I256" s="11" t="s">
        <v>394</v>
      </c>
      <c r="J256" s="11" t="s">
        <v>30</v>
      </c>
      <c r="K256" s="7">
        <f>INDEX(Benchmark!$H$5:$H$807,MATCH(I256,Benchmark!$A$5:$A$807,0))</f>
        <v>83.798922800718131</v>
      </c>
      <c r="L256" s="14">
        <f t="shared" si="3"/>
        <v>-0.44472237695318073</v>
      </c>
      <c r="M256" s="15">
        <f>IF(L256&gt;Benchmark!$B$2,1,IF(L256&lt;-Benchmark!$B$2,5,3))</f>
        <v>5</v>
      </c>
      <c r="N256" s="3" t="s">
        <v>31</v>
      </c>
    </row>
    <row r="257" spans="1:14" x14ac:dyDescent="0.35">
      <c r="A257" s="11" t="s">
        <v>11</v>
      </c>
      <c r="B257" s="11" t="s">
        <v>399</v>
      </c>
      <c r="C257" s="11">
        <v>7</v>
      </c>
      <c r="D257" s="11">
        <v>2</v>
      </c>
      <c r="E257" s="11" t="s">
        <v>78</v>
      </c>
      <c r="F257" s="11" t="s">
        <v>43</v>
      </c>
      <c r="G257" s="12">
        <v>6.05</v>
      </c>
      <c r="H257" s="13">
        <v>115.7652892561983</v>
      </c>
      <c r="I257" s="11" t="s">
        <v>80</v>
      </c>
      <c r="J257" s="11" t="s">
        <v>37</v>
      </c>
      <c r="K257" s="7">
        <f>INDEX(Benchmark!$H$5:$H$807,MATCH(I257,Benchmark!$A$5:$A$807,0))</f>
        <v>110.9357798165138</v>
      </c>
      <c r="L257" s="14">
        <f t="shared" si="3"/>
        <v>4.3534281254185458E-2</v>
      </c>
      <c r="M257" s="17">
        <f>IF(L257&gt;Benchmark!$B$2,1,IF(L257&lt;-Benchmark!$B$2,5,3))</f>
        <v>3</v>
      </c>
      <c r="N257" s="3" t="s">
        <v>31</v>
      </c>
    </row>
    <row r="258" spans="1:14" x14ac:dyDescent="0.35">
      <c r="A258" s="11" t="s">
        <v>11</v>
      </c>
      <c r="B258" s="11" t="s">
        <v>400</v>
      </c>
      <c r="C258" s="11">
        <v>7</v>
      </c>
      <c r="D258" s="11">
        <v>5</v>
      </c>
      <c r="E258" s="11" t="s">
        <v>27</v>
      </c>
      <c r="F258" s="11" t="s">
        <v>43</v>
      </c>
      <c r="G258" s="12">
        <v>6.62</v>
      </c>
      <c r="H258" s="13">
        <v>70.320241691842895</v>
      </c>
      <c r="I258" s="11" t="s">
        <v>44</v>
      </c>
      <c r="J258" s="11" t="s">
        <v>30</v>
      </c>
      <c r="K258" s="7">
        <f>INDEX(Benchmark!$H$5:$H$807,MATCH(I258,Benchmark!$A$5:$A$807,0))</f>
        <v>118.6146621100209</v>
      </c>
      <c r="L258" s="14">
        <f t="shared" si="3"/>
        <v>-0.40715388434342603</v>
      </c>
      <c r="M258" s="15">
        <f>IF(L258&gt;Benchmark!$B$2,1,IF(L258&lt;-Benchmark!$B$2,5,3))</f>
        <v>5</v>
      </c>
      <c r="N258" s="3" t="s">
        <v>31</v>
      </c>
    </row>
    <row r="259" spans="1:14" x14ac:dyDescent="0.35">
      <c r="A259" s="11" t="s">
        <v>11</v>
      </c>
      <c r="B259" s="11" t="s">
        <v>401</v>
      </c>
      <c r="C259" s="11">
        <v>7</v>
      </c>
      <c r="D259" s="11">
        <v>5</v>
      </c>
      <c r="E259" s="11" t="s">
        <v>104</v>
      </c>
      <c r="F259" s="11" t="s">
        <v>364</v>
      </c>
      <c r="G259" s="12">
        <v>7.1</v>
      </c>
      <c r="H259" s="13">
        <v>75.411267605633796</v>
      </c>
      <c r="I259" s="11" t="s">
        <v>402</v>
      </c>
      <c r="J259" s="11" t="s">
        <v>30</v>
      </c>
      <c r="K259" s="7">
        <f>INDEX(Benchmark!$H$5:$H$807,MATCH(I259,Benchmark!$A$5:$A$807,0))</f>
        <v>100.8908794788274</v>
      </c>
      <c r="L259" s="14">
        <f t="shared" si="3"/>
        <v>-0.25254623613961724</v>
      </c>
      <c r="M259" s="15">
        <f>IF(L259&gt;Benchmark!$B$2,1,IF(L259&lt;-Benchmark!$B$2,5,3))</f>
        <v>5</v>
      </c>
      <c r="N259" s="3" t="s">
        <v>31</v>
      </c>
    </row>
    <row r="260" spans="1:14" x14ac:dyDescent="0.35">
      <c r="A260" s="11" t="s">
        <v>11</v>
      </c>
      <c r="B260" s="11" t="s">
        <v>403</v>
      </c>
      <c r="C260" s="11">
        <v>7</v>
      </c>
      <c r="D260" s="11">
        <v>5</v>
      </c>
      <c r="E260" s="11" t="s">
        <v>27</v>
      </c>
      <c r="F260" s="11" t="s">
        <v>43</v>
      </c>
      <c r="G260" s="12">
        <v>3.58</v>
      </c>
      <c r="H260" s="13">
        <v>82.717877094972067</v>
      </c>
      <c r="I260" s="11" t="s">
        <v>44</v>
      </c>
      <c r="J260" s="11" t="s">
        <v>30</v>
      </c>
      <c r="K260" s="7">
        <f>INDEX(Benchmark!$H$5:$H$807,MATCH(I260,Benchmark!$A$5:$A$807,0))</f>
        <v>118.6146621100209</v>
      </c>
      <c r="L260" s="14">
        <f t="shared" si="3"/>
        <v>-0.30263362367253388</v>
      </c>
      <c r="M260" s="15">
        <f>IF(L260&gt;Benchmark!$B$2,1,IF(L260&lt;-Benchmark!$B$2,5,3))</f>
        <v>5</v>
      </c>
      <c r="N260" s="3" t="s">
        <v>31</v>
      </c>
    </row>
    <row r="261" spans="1:14" x14ac:dyDescent="0.35">
      <c r="A261" s="11" t="s">
        <v>11</v>
      </c>
      <c r="B261" s="11" t="s">
        <v>404</v>
      </c>
      <c r="C261" s="11">
        <v>7</v>
      </c>
      <c r="D261" s="11">
        <v>3</v>
      </c>
      <c r="E261" s="11" t="s">
        <v>104</v>
      </c>
      <c r="F261" s="11" t="s">
        <v>196</v>
      </c>
      <c r="G261" s="12">
        <v>9.2899999999999991</v>
      </c>
      <c r="H261" s="13">
        <v>87.635091496232519</v>
      </c>
      <c r="I261" s="11" t="s">
        <v>260</v>
      </c>
      <c r="J261" s="11" t="s">
        <v>30</v>
      </c>
      <c r="K261" s="7">
        <f>INDEX(Benchmark!$H$5:$H$807,MATCH(I261,Benchmark!$A$5:$A$807,0))</f>
        <v>95.444586191346446</v>
      </c>
      <c r="L261" s="14">
        <f t="shared" ref="L261:L324" si="4">H261/K261-1</f>
        <v>-8.1822290888846405E-2</v>
      </c>
      <c r="M261" s="15">
        <f>IF(L261&gt;Benchmark!$B$2,1,IF(L261&lt;-Benchmark!$B$2,5,3))</f>
        <v>5</v>
      </c>
      <c r="N261" s="3" t="s">
        <v>31</v>
      </c>
    </row>
    <row r="262" spans="1:14" x14ac:dyDescent="0.35">
      <c r="A262" s="11" t="s">
        <v>11</v>
      </c>
      <c r="B262" s="11" t="s">
        <v>405</v>
      </c>
      <c r="C262" s="11">
        <v>7</v>
      </c>
      <c r="D262" s="11">
        <v>6</v>
      </c>
      <c r="E262" s="11" t="s">
        <v>104</v>
      </c>
      <c r="F262" s="11" t="s">
        <v>93</v>
      </c>
      <c r="G262" s="12">
        <v>2.65</v>
      </c>
      <c r="H262" s="13">
        <v>70.003773584905659</v>
      </c>
      <c r="I262" s="11" t="s">
        <v>179</v>
      </c>
      <c r="J262" s="11" t="s">
        <v>30</v>
      </c>
      <c r="K262" s="7">
        <f>INDEX(Benchmark!$H$5:$H$807,MATCH(I262,Benchmark!$A$5:$A$807,0))</f>
        <v>82.615094339622644</v>
      </c>
      <c r="L262" s="14">
        <f t="shared" si="4"/>
        <v>-0.15265153245329566</v>
      </c>
      <c r="M262" s="15">
        <f>IF(L262&gt;Benchmark!$B$2,1,IF(L262&lt;-Benchmark!$B$2,5,3))</f>
        <v>5</v>
      </c>
      <c r="N262" s="3" t="s">
        <v>31</v>
      </c>
    </row>
    <row r="263" spans="1:14" x14ac:dyDescent="0.35">
      <c r="A263" s="11" t="s">
        <v>11</v>
      </c>
      <c r="B263" s="11" t="s">
        <v>406</v>
      </c>
      <c r="C263" s="11">
        <v>7</v>
      </c>
      <c r="D263" s="11">
        <v>6</v>
      </c>
      <c r="E263" s="11" t="s">
        <v>104</v>
      </c>
      <c r="F263" s="11" t="s">
        <v>93</v>
      </c>
      <c r="G263" s="12">
        <v>8.19</v>
      </c>
      <c r="H263" s="13">
        <v>55.97313797313798</v>
      </c>
      <c r="I263" s="11" t="s">
        <v>179</v>
      </c>
      <c r="J263" s="11" t="s">
        <v>30</v>
      </c>
      <c r="K263" s="7">
        <f>INDEX(Benchmark!$H$5:$H$807,MATCH(I263,Benchmark!$A$5:$A$807,0))</f>
        <v>82.615094339622644</v>
      </c>
      <c r="L263" s="14">
        <f t="shared" si="4"/>
        <v>-0.3224829140418598</v>
      </c>
      <c r="M263" s="15">
        <f>IF(L263&gt;Benchmark!$B$2,1,IF(L263&lt;-Benchmark!$B$2,5,3))</f>
        <v>5</v>
      </c>
      <c r="N263" s="3" t="s">
        <v>31</v>
      </c>
    </row>
    <row r="264" spans="1:14" x14ac:dyDescent="0.35">
      <c r="A264" s="11" t="s">
        <v>11</v>
      </c>
      <c r="B264" s="11" t="s">
        <v>407</v>
      </c>
      <c r="C264" s="11">
        <v>7</v>
      </c>
      <c r="D264" s="11">
        <v>9</v>
      </c>
      <c r="E264" s="11" t="s">
        <v>198</v>
      </c>
      <c r="F264" s="11" t="s">
        <v>243</v>
      </c>
      <c r="G264" s="12">
        <v>1.63</v>
      </c>
      <c r="H264" s="13">
        <v>64.674846625766875</v>
      </c>
      <c r="I264" s="11" t="s">
        <v>408</v>
      </c>
      <c r="J264" s="11" t="s">
        <v>30</v>
      </c>
      <c r="K264" s="7">
        <f>INDEX(Benchmark!$H$5:$H$807,MATCH(I264,Benchmark!$A$5:$A$807,0))</f>
        <v>86.025297235068763</v>
      </c>
      <c r="L264" s="14">
        <f t="shared" si="4"/>
        <v>-0.24818804811520301</v>
      </c>
      <c r="M264" s="15">
        <f>IF(L264&gt;Benchmark!$B$2,1,IF(L264&lt;-Benchmark!$B$2,5,3))</f>
        <v>5</v>
      </c>
      <c r="N264" s="3" t="s">
        <v>31</v>
      </c>
    </row>
    <row r="265" spans="1:14" x14ac:dyDescent="0.35">
      <c r="A265" s="11" t="s">
        <v>11</v>
      </c>
      <c r="B265" s="11" t="s">
        <v>409</v>
      </c>
      <c r="C265" s="11">
        <v>7</v>
      </c>
      <c r="D265" s="11">
        <v>1</v>
      </c>
      <c r="E265" s="11" t="s">
        <v>48</v>
      </c>
      <c r="F265" s="11" t="s">
        <v>39</v>
      </c>
      <c r="G265" s="12">
        <v>17.96</v>
      </c>
      <c r="H265" s="13">
        <v>91.550668151447653</v>
      </c>
      <c r="I265" s="11" t="s">
        <v>49</v>
      </c>
      <c r="J265" s="11" t="s">
        <v>30</v>
      </c>
      <c r="K265" s="7">
        <f>INDEX(Benchmark!$H$5:$H$807,MATCH(I265,Benchmark!$A$5:$A$807,0))</f>
        <v>132.03967168262659</v>
      </c>
      <c r="L265" s="14">
        <f t="shared" si="4"/>
        <v>-0.30664271589904568</v>
      </c>
      <c r="M265" s="15">
        <f>IF(L265&gt;Benchmark!$B$2,1,IF(L265&lt;-Benchmark!$B$2,5,3))</f>
        <v>5</v>
      </c>
      <c r="N265" s="3" t="s">
        <v>31</v>
      </c>
    </row>
    <row r="266" spans="1:14" x14ac:dyDescent="0.35">
      <c r="A266" s="11" t="s">
        <v>11</v>
      </c>
      <c r="B266" s="11" t="s">
        <v>410</v>
      </c>
      <c r="C266" s="11">
        <v>7</v>
      </c>
      <c r="D266" s="11">
        <v>5</v>
      </c>
      <c r="E266" s="11" t="s">
        <v>27</v>
      </c>
      <c r="F266" s="11" t="s">
        <v>28</v>
      </c>
      <c r="G266" s="12">
        <v>7.68</v>
      </c>
      <c r="H266" s="13">
        <v>117.62109375</v>
      </c>
      <c r="I266" s="11" t="s">
        <v>29</v>
      </c>
      <c r="J266" s="11" t="s">
        <v>30</v>
      </c>
      <c r="K266" s="7">
        <f>INDEX(Benchmark!$H$5:$H$807,MATCH(I266,Benchmark!$A$5:$A$807,0))</f>
        <v>129.66292797447881</v>
      </c>
      <c r="L266" s="14">
        <f t="shared" si="4"/>
        <v>-9.2870293865714437E-2</v>
      </c>
      <c r="M266" s="15">
        <f>IF(L266&gt;Benchmark!$B$2,1,IF(L266&lt;-Benchmark!$B$2,5,3))</f>
        <v>5</v>
      </c>
      <c r="N266" s="3" t="s">
        <v>31</v>
      </c>
    </row>
    <row r="267" spans="1:14" x14ac:dyDescent="0.35">
      <c r="A267" s="11" t="s">
        <v>11</v>
      </c>
      <c r="B267" s="11" t="s">
        <v>411</v>
      </c>
      <c r="C267" s="11">
        <v>7</v>
      </c>
      <c r="D267" s="11">
        <v>1</v>
      </c>
      <c r="E267" s="11" t="s">
        <v>27</v>
      </c>
      <c r="F267" s="11" t="s">
        <v>43</v>
      </c>
      <c r="G267" s="12">
        <v>10.27</v>
      </c>
      <c r="H267" s="13">
        <v>103.99707887049659</v>
      </c>
      <c r="I267" s="11" t="s">
        <v>44</v>
      </c>
      <c r="J267" s="11" t="s">
        <v>30</v>
      </c>
      <c r="K267" s="7">
        <f>INDEX(Benchmark!$H$5:$H$807,MATCH(I267,Benchmark!$A$5:$A$807,0))</f>
        <v>118.6146621100209</v>
      </c>
      <c r="L267" s="14">
        <f t="shared" si="4"/>
        <v>-0.12323588820719134</v>
      </c>
      <c r="M267" s="15">
        <f>IF(L267&gt;Benchmark!$B$2,1,IF(L267&lt;-Benchmark!$B$2,5,3))</f>
        <v>5</v>
      </c>
      <c r="N267" s="3" t="s">
        <v>31</v>
      </c>
    </row>
    <row r="268" spans="1:14" x14ac:dyDescent="0.35">
      <c r="A268" s="11" t="s">
        <v>11</v>
      </c>
      <c r="B268" s="11" t="s">
        <v>412</v>
      </c>
      <c r="C268" s="11">
        <v>7</v>
      </c>
      <c r="D268" s="11">
        <v>1</v>
      </c>
      <c r="E268" s="11" t="s">
        <v>88</v>
      </c>
      <c r="F268" s="11" t="s">
        <v>93</v>
      </c>
      <c r="G268" s="12">
        <v>2.31</v>
      </c>
      <c r="H268" s="13">
        <v>122</v>
      </c>
      <c r="I268" s="11" t="s">
        <v>173</v>
      </c>
      <c r="J268" s="11" t="s">
        <v>30</v>
      </c>
      <c r="K268" s="7">
        <f>INDEX(Benchmark!$H$5:$H$807,MATCH(I268,Benchmark!$A$5:$A$807,0))</f>
        <v>85.703225806451599</v>
      </c>
      <c r="L268" s="14">
        <f t="shared" si="4"/>
        <v>0.42351701294790756</v>
      </c>
      <c r="M268" s="16">
        <f>IF(L268&gt;Benchmark!$B$2,1,IF(L268&lt;-Benchmark!$B$2,5,3))</f>
        <v>1</v>
      </c>
      <c r="N268" s="3" t="s">
        <v>31</v>
      </c>
    </row>
    <row r="269" spans="1:14" x14ac:dyDescent="0.35">
      <c r="A269" s="11" t="s">
        <v>11</v>
      </c>
      <c r="B269" s="11" t="s">
        <v>413</v>
      </c>
      <c r="C269" s="11">
        <v>7</v>
      </c>
      <c r="D269" s="11">
        <v>5</v>
      </c>
      <c r="E269" s="11" t="s">
        <v>27</v>
      </c>
      <c r="F269" s="11" t="s">
        <v>414</v>
      </c>
      <c r="G269" s="12">
        <v>8.07</v>
      </c>
      <c r="H269" s="13">
        <v>105.8983890954151</v>
      </c>
      <c r="I269" s="11" t="s">
        <v>415</v>
      </c>
      <c r="J269" s="11" t="s">
        <v>30</v>
      </c>
      <c r="K269" s="7">
        <f>INDEX(Benchmark!$H$5:$H$807,MATCH(I269,Benchmark!$A$5:$A$807,0))</f>
        <v>122.4677819083024</v>
      </c>
      <c r="L269" s="14">
        <f t="shared" si="4"/>
        <v>-0.13529593297683473</v>
      </c>
      <c r="M269" s="15">
        <f>IF(L269&gt;Benchmark!$B$2,1,IF(L269&lt;-Benchmark!$B$2,5,3))</f>
        <v>5</v>
      </c>
      <c r="N269" s="3" t="s">
        <v>31</v>
      </c>
    </row>
    <row r="270" spans="1:14" x14ac:dyDescent="0.35">
      <c r="A270" s="11" t="s">
        <v>11</v>
      </c>
      <c r="B270" s="11" t="s">
        <v>416</v>
      </c>
      <c r="C270" s="11">
        <v>7</v>
      </c>
      <c r="D270" s="11">
        <v>6</v>
      </c>
      <c r="E270" s="11" t="s">
        <v>104</v>
      </c>
      <c r="F270" s="11" t="s">
        <v>182</v>
      </c>
      <c r="G270" s="12">
        <v>2.11</v>
      </c>
      <c r="H270" s="13">
        <v>119.7061611374408</v>
      </c>
      <c r="I270" s="11" t="s">
        <v>183</v>
      </c>
      <c r="J270" s="11" t="s">
        <v>30</v>
      </c>
      <c r="K270" s="7">
        <f>INDEX(Benchmark!$H$5:$H$807,MATCH(I270,Benchmark!$A$5:$A$807,0))</f>
        <v>108.33835845896149</v>
      </c>
      <c r="L270" s="14">
        <f t="shared" si="4"/>
        <v>0.10492869598707677</v>
      </c>
      <c r="M270" s="16">
        <f>IF(L270&gt;Benchmark!$B$2,1,IF(L270&lt;-Benchmark!$B$2,5,3))</f>
        <v>1</v>
      </c>
      <c r="N270" s="3" t="s">
        <v>31</v>
      </c>
    </row>
    <row r="271" spans="1:14" x14ac:dyDescent="0.35">
      <c r="A271" s="11" t="s">
        <v>11</v>
      </c>
      <c r="B271" s="11" t="s">
        <v>417</v>
      </c>
      <c r="C271" s="11">
        <v>7</v>
      </c>
      <c r="D271" s="11">
        <v>6</v>
      </c>
      <c r="E271" s="11" t="s">
        <v>104</v>
      </c>
      <c r="F271" s="11" t="s">
        <v>182</v>
      </c>
      <c r="G271" s="12">
        <v>2.88</v>
      </c>
      <c r="H271" s="13">
        <v>114.6979166666667</v>
      </c>
      <c r="I271" s="11" t="s">
        <v>183</v>
      </c>
      <c r="J271" s="11" t="s">
        <v>30</v>
      </c>
      <c r="K271" s="7">
        <f>INDEX(Benchmark!$H$5:$H$807,MATCH(I271,Benchmark!$A$5:$A$807,0))</f>
        <v>108.33835845896149</v>
      </c>
      <c r="L271" s="14">
        <f t="shared" si="4"/>
        <v>5.8700891338631545E-2</v>
      </c>
      <c r="M271" s="16">
        <f>IF(L271&gt;Benchmark!$B$2,1,IF(L271&lt;-Benchmark!$B$2,5,3))</f>
        <v>1</v>
      </c>
      <c r="N271" s="3" t="s">
        <v>31</v>
      </c>
    </row>
    <row r="272" spans="1:14" x14ac:dyDescent="0.35">
      <c r="A272" s="11" t="s">
        <v>11</v>
      </c>
      <c r="B272" s="11" t="s">
        <v>418</v>
      </c>
      <c r="C272" s="11">
        <v>8</v>
      </c>
      <c r="D272" s="11">
        <v>5</v>
      </c>
      <c r="E272" s="11" t="s">
        <v>34</v>
      </c>
      <c r="F272" s="11" t="s">
        <v>39</v>
      </c>
      <c r="G272" s="12">
        <v>11.26</v>
      </c>
      <c r="H272" s="13">
        <v>117.66163410301949</v>
      </c>
      <c r="I272" s="11" t="s">
        <v>51</v>
      </c>
      <c r="J272" s="11" t="s">
        <v>30</v>
      </c>
      <c r="K272" s="7">
        <f>INDEX(Benchmark!$H$5:$H$807,MATCH(I272,Benchmark!$A$5:$A$807,0))</f>
        <v>134.7097020626432</v>
      </c>
      <c r="L272" s="14">
        <f t="shared" si="4"/>
        <v>-0.12655412118494591</v>
      </c>
      <c r="M272" s="15">
        <f>IF(L272&gt;Benchmark!$B$2,1,IF(L272&lt;-Benchmark!$B$2,5,3))</f>
        <v>5</v>
      </c>
      <c r="N272" s="3" t="s">
        <v>31</v>
      </c>
    </row>
    <row r="273" spans="1:14" x14ac:dyDescent="0.35">
      <c r="A273" s="11" t="s">
        <v>11</v>
      </c>
      <c r="B273" s="11" t="s">
        <v>419</v>
      </c>
      <c r="C273" s="11">
        <v>8</v>
      </c>
      <c r="D273" s="11">
        <v>6</v>
      </c>
      <c r="E273" s="11" t="s">
        <v>34</v>
      </c>
      <c r="F273" s="11" t="s">
        <v>39</v>
      </c>
      <c r="G273" s="12">
        <v>8.09</v>
      </c>
      <c r="H273" s="13">
        <v>106.00988875154511</v>
      </c>
      <c r="I273" s="11" t="s">
        <v>51</v>
      </c>
      <c r="J273" s="11" t="s">
        <v>30</v>
      </c>
      <c r="K273" s="7">
        <f>INDEX(Benchmark!$H$5:$H$807,MATCH(I273,Benchmark!$A$5:$A$807,0))</f>
        <v>134.7097020626432</v>
      </c>
      <c r="L273" s="14">
        <f t="shared" si="4"/>
        <v>-0.21304934144796794</v>
      </c>
      <c r="M273" s="15">
        <f>IF(L273&gt;Benchmark!$B$2,1,IF(L273&lt;-Benchmark!$B$2,5,3))</f>
        <v>5</v>
      </c>
      <c r="N273" s="3" t="s">
        <v>31</v>
      </c>
    </row>
    <row r="274" spans="1:14" x14ac:dyDescent="0.35">
      <c r="A274" s="11" t="s">
        <v>11</v>
      </c>
      <c r="B274" s="11" t="s">
        <v>420</v>
      </c>
      <c r="C274" s="11">
        <v>8</v>
      </c>
      <c r="D274" s="11">
        <v>6</v>
      </c>
      <c r="E274" s="11" t="s">
        <v>88</v>
      </c>
      <c r="F274" s="11" t="s">
        <v>62</v>
      </c>
      <c r="G274" s="12">
        <v>20.59</v>
      </c>
      <c r="H274" s="13">
        <v>112.1699854298203</v>
      </c>
      <c r="I274" s="11" t="s">
        <v>421</v>
      </c>
      <c r="J274" s="11" t="s">
        <v>30</v>
      </c>
      <c r="K274" s="7">
        <f>INDEX(Benchmark!$H$5:$H$807,MATCH(I274,Benchmark!$A$5:$A$807,0))</f>
        <v>127.15905576344301</v>
      </c>
      <c r="L274" s="14">
        <f t="shared" si="4"/>
        <v>-0.1178765463743866</v>
      </c>
      <c r="M274" s="15">
        <f>IF(L274&gt;Benchmark!$B$2,1,IF(L274&lt;-Benchmark!$B$2,5,3))</f>
        <v>5</v>
      </c>
      <c r="N274" s="3" t="s">
        <v>31</v>
      </c>
    </row>
    <row r="275" spans="1:14" x14ac:dyDescent="0.35">
      <c r="A275" s="11" t="s">
        <v>11</v>
      </c>
      <c r="B275" s="11" t="s">
        <v>422</v>
      </c>
      <c r="C275" s="11">
        <v>8</v>
      </c>
      <c r="D275" s="11">
        <v>6</v>
      </c>
      <c r="E275" s="11" t="s">
        <v>27</v>
      </c>
      <c r="F275" s="11" t="s">
        <v>39</v>
      </c>
      <c r="G275" s="12">
        <v>3.91</v>
      </c>
      <c r="H275" s="13">
        <v>111.2480818414322</v>
      </c>
      <c r="I275" s="11" t="s">
        <v>40</v>
      </c>
      <c r="J275" s="11" t="s">
        <v>30</v>
      </c>
      <c r="K275" s="7">
        <f>INDEX(Benchmark!$H$5:$H$807,MATCH(I275,Benchmark!$A$5:$A$807,0))</f>
        <v>132.44401544401541</v>
      </c>
      <c r="L275" s="14">
        <f t="shared" si="4"/>
        <v>-0.16003692980407114</v>
      </c>
      <c r="M275" s="15">
        <f>IF(L275&gt;Benchmark!$B$2,1,IF(L275&lt;-Benchmark!$B$2,5,3))</f>
        <v>5</v>
      </c>
      <c r="N275" s="3" t="s">
        <v>31</v>
      </c>
    </row>
    <row r="276" spans="1:14" x14ac:dyDescent="0.35">
      <c r="A276" s="11" t="s">
        <v>11</v>
      </c>
      <c r="B276" s="11" t="s">
        <v>423</v>
      </c>
      <c r="C276" s="11">
        <v>8</v>
      </c>
      <c r="D276" s="11">
        <v>8</v>
      </c>
      <c r="E276" s="11" t="s">
        <v>27</v>
      </c>
      <c r="F276" s="11" t="s">
        <v>62</v>
      </c>
      <c r="G276" s="12">
        <v>9.18</v>
      </c>
      <c r="H276" s="13">
        <v>128.5740740740741</v>
      </c>
      <c r="I276" s="11" t="s">
        <v>65</v>
      </c>
      <c r="J276" s="11" t="s">
        <v>30</v>
      </c>
      <c r="K276" s="7">
        <f>INDEX(Benchmark!$H$5:$H$807,MATCH(I276,Benchmark!$A$5:$A$807,0))</f>
        <v>136.9924703665755</v>
      </c>
      <c r="L276" s="14">
        <f t="shared" si="4"/>
        <v>-6.1451525547168928E-2</v>
      </c>
      <c r="M276" s="15">
        <f>IF(L276&gt;Benchmark!$B$2,1,IF(L276&lt;-Benchmark!$B$2,5,3))</f>
        <v>5</v>
      </c>
      <c r="N276" s="3" t="s">
        <v>31</v>
      </c>
    </row>
    <row r="277" spans="1:14" x14ac:dyDescent="0.35">
      <c r="A277" s="11" t="s">
        <v>11</v>
      </c>
      <c r="B277" s="11" t="s">
        <v>424</v>
      </c>
      <c r="C277" s="11">
        <v>8</v>
      </c>
      <c r="D277" s="11">
        <v>2</v>
      </c>
      <c r="E277" s="11" t="s">
        <v>88</v>
      </c>
      <c r="F277" s="11" t="s">
        <v>35</v>
      </c>
      <c r="G277" s="12">
        <v>5.31</v>
      </c>
      <c r="H277" s="13">
        <v>128.71374764595109</v>
      </c>
      <c r="I277" s="11" t="s">
        <v>299</v>
      </c>
      <c r="J277" s="11" t="s">
        <v>30</v>
      </c>
      <c r="K277" s="7">
        <f>INDEX(Benchmark!$H$5:$H$807,MATCH(I277,Benchmark!$A$5:$A$807,0))</f>
        <v>128.89077212806029</v>
      </c>
      <c r="L277" s="14">
        <f t="shared" si="4"/>
        <v>-1.3734457415874868E-3</v>
      </c>
      <c r="M277" s="17">
        <f>IF(L277&gt;Benchmark!$B$2,1,IF(L277&lt;-Benchmark!$B$2,5,3))</f>
        <v>3</v>
      </c>
      <c r="N277" s="3" t="s">
        <v>31</v>
      </c>
    </row>
    <row r="278" spans="1:14" x14ac:dyDescent="0.35">
      <c r="A278" s="11" t="s">
        <v>11</v>
      </c>
      <c r="B278" s="11" t="s">
        <v>425</v>
      </c>
      <c r="C278" s="11">
        <v>8</v>
      </c>
      <c r="D278" s="11">
        <v>4</v>
      </c>
      <c r="E278" s="11" t="s">
        <v>34</v>
      </c>
      <c r="F278" s="11" t="s">
        <v>39</v>
      </c>
      <c r="G278" s="12">
        <v>6.18</v>
      </c>
      <c r="H278" s="13">
        <v>120.8333333333333</v>
      </c>
      <c r="I278" s="11" t="s">
        <v>51</v>
      </c>
      <c r="J278" s="11" t="s">
        <v>30</v>
      </c>
      <c r="K278" s="7">
        <f>INDEX(Benchmark!$H$5:$H$807,MATCH(I278,Benchmark!$A$5:$A$807,0))</f>
        <v>134.7097020626432</v>
      </c>
      <c r="L278" s="14">
        <f t="shared" si="4"/>
        <v>-0.10300942335138608</v>
      </c>
      <c r="M278" s="15">
        <f>IF(L278&gt;Benchmark!$B$2,1,IF(L278&lt;-Benchmark!$B$2,5,3))</f>
        <v>5</v>
      </c>
      <c r="N278" s="3" t="s">
        <v>31</v>
      </c>
    </row>
    <row r="279" spans="1:14" x14ac:dyDescent="0.35">
      <c r="A279" s="11" t="s">
        <v>11</v>
      </c>
      <c r="B279" s="11" t="s">
        <v>426</v>
      </c>
      <c r="C279" s="11">
        <v>8</v>
      </c>
      <c r="D279" s="11">
        <v>4</v>
      </c>
      <c r="E279" s="11" t="s">
        <v>48</v>
      </c>
      <c r="F279" s="11" t="s">
        <v>39</v>
      </c>
      <c r="G279" s="12">
        <v>7.86</v>
      </c>
      <c r="H279" s="13">
        <v>111.324427480916</v>
      </c>
      <c r="I279" s="11" t="s">
        <v>49</v>
      </c>
      <c r="J279" s="11" t="s">
        <v>30</v>
      </c>
      <c r="K279" s="7">
        <f>INDEX(Benchmark!$H$5:$H$807,MATCH(I279,Benchmark!$A$5:$A$807,0))</f>
        <v>132.03967168262659</v>
      </c>
      <c r="L279" s="14">
        <f t="shared" si="4"/>
        <v>-0.15688651704240975</v>
      </c>
      <c r="M279" s="15">
        <f>IF(L279&gt;Benchmark!$B$2,1,IF(L279&lt;-Benchmark!$B$2,5,3))</f>
        <v>5</v>
      </c>
      <c r="N279" s="3" t="s">
        <v>31</v>
      </c>
    </row>
    <row r="280" spans="1:14" x14ac:dyDescent="0.35">
      <c r="A280" s="11" t="s">
        <v>11</v>
      </c>
      <c r="B280" s="11" t="s">
        <v>427</v>
      </c>
      <c r="C280" s="11">
        <v>8</v>
      </c>
      <c r="D280" s="11">
        <v>5</v>
      </c>
      <c r="E280" s="11" t="s">
        <v>53</v>
      </c>
      <c r="F280" s="11" t="s">
        <v>39</v>
      </c>
      <c r="G280" s="12">
        <v>9.06</v>
      </c>
      <c r="H280" s="13">
        <v>114.8333333333333</v>
      </c>
      <c r="I280" s="11" t="s">
        <v>428</v>
      </c>
      <c r="J280" s="11" t="s">
        <v>30</v>
      </c>
      <c r="K280" s="7">
        <f>INDEX(Benchmark!$H$5:$H$807,MATCH(I280,Benchmark!$A$5:$A$807,0))</f>
        <v>124.6434878587196</v>
      </c>
      <c r="L280" s="14">
        <f t="shared" si="4"/>
        <v>-7.8705712539959283E-2</v>
      </c>
      <c r="M280" s="15">
        <f>IF(L280&gt;Benchmark!$B$2,1,IF(L280&lt;-Benchmark!$B$2,5,3))</f>
        <v>5</v>
      </c>
      <c r="N280" s="3" t="s">
        <v>31</v>
      </c>
    </row>
    <row r="281" spans="1:14" x14ac:dyDescent="0.35">
      <c r="A281" s="11" t="s">
        <v>11</v>
      </c>
      <c r="B281" s="11" t="s">
        <v>429</v>
      </c>
      <c r="C281" s="11">
        <v>8</v>
      </c>
      <c r="D281" s="11">
        <v>8</v>
      </c>
      <c r="E281" s="11" t="s">
        <v>27</v>
      </c>
      <c r="F281" s="11" t="s">
        <v>35</v>
      </c>
      <c r="G281" s="12">
        <v>5.85</v>
      </c>
      <c r="H281" s="13">
        <v>141.47863247863251</v>
      </c>
      <c r="I281" s="11" t="s">
        <v>68</v>
      </c>
      <c r="J281" s="11" t="s">
        <v>30</v>
      </c>
      <c r="K281" s="7">
        <f>INDEX(Benchmark!$H$5:$H$807,MATCH(I281,Benchmark!$A$5:$A$807,0))</f>
        <v>149.56687408187591</v>
      </c>
      <c r="L281" s="14">
        <f t="shared" si="4"/>
        <v>-5.4077760552886489E-2</v>
      </c>
      <c r="M281" s="15">
        <f>IF(L281&gt;Benchmark!$B$2,1,IF(L281&lt;-Benchmark!$B$2,5,3))</f>
        <v>5</v>
      </c>
      <c r="N281" s="3" t="s">
        <v>31</v>
      </c>
    </row>
    <row r="282" spans="1:14" x14ac:dyDescent="0.35">
      <c r="A282" s="11" t="s">
        <v>11</v>
      </c>
      <c r="B282" s="11" t="s">
        <v>430</v>
      </c>
      <c r="C282" s="11">
        <v>8</v>
      </c>
      <c r="D282" s="11">
        <v>4</v>
      </c>
      <c r="E282" s="11" t="s">
        <v>27</v>
      </c>
      <c r="F282" s="11" t="s">
        <v>39</v>
      </c>
      <c r="G282" s="12">
        <v>10.36</v>
      </c>
      <c r="H282" s="13">
        <v>96.803088803088812</v>
      </c>
      <c r="I282" s="11" t="s">
        <v>40</v>
      </c>
      <c r="J282" s="11" t="s">
        <v>30</v>
      </c>
      <c r="K282" s="7">
        <f>INDEX(Benchmark!$H$5:$H$807,MATCH(I282,Benchmark!$A$5:$A$807,0))</f>
        <v>132.44401544401541</v>
      </c>
      <c r="L282" s="14">
        <f t="shared" si="4"/>
        <v>-0.26910182782846959</v>
      </c>
      <c r="M282" s="15">
        <f>IF(L282&gt;Benchmark!$B$2,1,IF(L282&lt;-Benchmark!$B$2,5,3))</f>
        <v>5</v>
      </c>
      <c r="N282" s="3" t="s">
        <v>31</v>
      </c>
    </row>
    <row r="283" spans="1:14" x14ac:dyDescent="0.35">
      <c r="A283" s="11" t="s">
        <v>11</v>
      </c>
      <c r="B283" s="11" t="s">
        <v>431</v>
      </c>
      <c r="C283" s="11">
        <v>8</v>
      </c>
      <c r="D283" s="11">
        <v>6</v>
      </c>
      <c r="E283" s="11" t="s">
        <v>27</v>
      </c>
      <c r="F283" s="11" t="s">
        <v>39</v>
      </c>
      <c r="G283" s="12">
        <v>2.98</v>
      </c>
      <c r="H283" s="13">
        <v>132.70134228187919</v>
      </c>
      <c r="I283" s="11" t="s">
        <v>40</v>
      </c>
      <c r="J283" s="11" t="s">
        <v>30</v>
      </c>
      <c r="K283" s="7">
        <f>INDEX(Benchmark!$H$5:$H$807,MATCH(I283,Benchmark!$A$5:$A$807,0))</f>
        <v>132.44401544401541</v>
      </c>
      <c r="L283" s="14">
        <f t="shared" si="4"/>
        <v>1.9429102704346946E-3</v>
      </c>
      <c r="M283" s="17">
        <f>IF(L283&gt;Benchmark!$B$2,1,IF(L283&lt;-Benchmark!$B$2,5,3))</f>
        <v>3</v>
      </c>
      <c r="N283" s="3" t="s">
        <v>31</v>
      </c>
    </row>
    <row r="284" spans="1:14" x14ac:dyDescent="0.35">
      <c r="A284" s="11" t="s">
        <v>11</v>
      </c>
      <c r="B284" s="11" t="s">
        <v>432</v>
      </c>
      <c r="C284" s="11">
        <v>8</v>
      </c>
      <c r="D284" s="11">
        <v>5</v>
      </c>
      <c r="E284" s="11" t="s">
        <v>27</v>
      </c>
      <c r="F284" s="11" t="s">
        <v>39</v>
      </c>
      <c r="G284" s="12">
        <v>3.33</v>
      </c>
      <c r="H284" s="13">
        <v>106.4864864864865</v>
      </c>
      <c r="I284" s="11" t="s">
        <v>40</v>
      </c>
      <c r="J284" s="11" t="s">
        <v>30</v>
      </c>
      <c r="K284" s="7">
        <f>INDEX(Benchmark!$H$5:$H$807,MATCH(I284,Benchmark!$A$5:$A$807,0))</f>
        <v>132.44401544401541</v>
      </c>
      <c r="L284" s="14">
        <f t="shared" si="4"/>
        <v>-0.19598868903594402</v>
      </c>
      <c r="M284" s="15">
        <f>IF(L284&gt;Benchmark!$B$2,1,IF(L284&lt;-Benchmark!$B$2,5,3))</f>
        <v>5</v>
      </c>
      <c r="N284" s="3" t="s">
        <v>31</v>
      </c>
    </row>
    <row r="285" spans="1:14" x14ac:dyDescent="0.35">
      <c r="A285" s="11" t="s">
        <v>11</v>
      </c>
      <c r="B285" s="11" t="s">
        <v>433</v>
      </c>
      <c r="C285" s="11">
        <v>8</v>
      </c>
      <c r="D285" s="11">
        <v>4</v>
      </c>
      <c r="E285" s="11" t="s">
        <v>104</v>
      </c>
      <c r="F285" s="11" t="s">
        <v>39</v>
      </c>
      <c r="G285" s="12">
        <v>1.72</v>
      </c>
      <c r="H285" s="13">
        <v>117.5348837209302</v>
      </c>
      <c r="I285" s="11" t="s">
        <v>369</v>
      </c>
      <c r="J285" s="11" t="s">
        <v>30</v>
      </c>
      <c r="K285" s="7">
        <f>INDEX(Benchmark!$H$5:$H$807,MATCH(I285,Benchmark!$A$5:$A$807,0))</f>
        <v>114.45418950665621</v>
      </c>
      <c r="L285" s="14">
        <f t="shared" si="4"/>
        <v>2.6916395350428113E-2</v>
      </c>
      <c r="M285" s="17">
        <f>IF(L285&gt;Benchmark!$B$2,1,IF(L285&lt;-Benchmark!$B$2,5,3))</f>
        <v>3</v>
      </c>
      <c r="N285" s="3" t="s">
        <v>31</v>
      </c>
    </row>
    <row r="286" spans="1:14" x14ac:dyDescent="0.35">
      <c r="A286" s="11" t="s">
        <v>11</v>
      </c>
      <c r="B286" s="11" t="s">
        <v>434</v>
      </c>
      <c r="C286" s="11">
        <v>8</v>
      </c>
      <c r="D286" s="11">
        <v>3</v>
      </c>
      <c r="E286" s="11" t="s">
        <v>34</v>
      </c>
      <c r="F286" s="11" t="s">
        <v>435</v>
      </c>
      <c r="G286" s="12">
        <v>3.5</v>
      </c>
      <c r="H286" s="13">
        <v>121.6914285714286</v>
      </c>
      <c r="I286" s="11" t="s">
        <v>36</v>
      </c>
      <c r="J286" s="11" t="s">
        <v>37</v>
      </c>
      <c r="K286" s="7">
        <f>INDEX(Benchmark!$H$5:$H$807,MATCH(I286,Benchmark!$A$5:$A$807,0))</f>
        <v>135.18231292517009</v>
      </c>
      <c r="L286" s="14">
        <f t="shared" si="4"/>
        <v>-9.9797703278011962E-2</v>
      </c>
      <c r="M286" s="15">
        <f>IF(L286&gt;Benchmark!$B$2,1,IF(L286&lt;-Benchmark!$B$2,5,3))</f>
        <v>5</v>
      </c>
      <c r="N286" s="3" t="s">
        <v>31</v>
      </c>
    </row>
    <row r="287" spans="1:14" x14ac:dyDescent="0.35">
      <c r="A287" s="11" t="s">
        <v>11</v>
      </c>
      <c r="B287" s="11" t="s">
        <v>436</v>
      </c>
      <c r="C287" s="11">
        <v>8</v>
      </c>
      <c r="D287" s="11">
        <v>3</v>
      </c>
      <c r="E287" s="11" t="s">
        <v>27</v>
      </c>
      <c r="F287" s="11" t="s">
        <v>28</v>
      </c>
      <c r="G287" s="12">
        <v>3.8</v>
      </c>
      <c r="H287" s="13">
        <v>99.639473684210529</v>
      </c>
      <c r="I287" s="11" t="s">
        <v>29</v>
      </c>
      <c r="J287" s="11" t="s">
        <v>30</v>
      </c>
      <c r="K287" s="7">
        <f>INDEX(Benchmark!$H$5:$H$807,MATCH(I287,Benchmark!$A$5:$A$807,0))</f>
        <v>129.66292797447881</v>
      </c>
      <c r="L287" s="14">
        <f t="shared" si="4"/>
        <v>-0.23155002558771243</v>
      </c>
      <c r="M287" s="15">
        <f>IF(L287&gt;Benchmark!$B$2,1,IF(L287&lt;-Benchmark!$B$2,5,3))</f>
        <v>5</v>
      </c>
      <c r="N287" s="3" t="s">
        <v>31</v>
      </c>
    </row>
    <row r="288" spans="1:14" x14ac:dyDescent="0.35">
      <c r="A288" s="11" t="s">
        <v>11</v>
      </c>
      <c r="B288" s="11" t="s">
        <v>437</v>
      </c>
      <c r="C288" s="11">
        <v>8</v>
      </c>
      <c r="D288" s="11">
        <v>7</v>
      </c>
      <c r="E288" s="11" t="s">
        <v>27</v>
      </c>
      <c r="F288" s="11" t="s">
        <v>84</v>
      </c>
      <c r="G288" s="12">
        <v>7.81</v>
      </c>
      <c r="H288" s="13">
        <v>107.54161331626121</v>
      </c>
      <c r="I288" s="11" t="s">
        <v>154</v>
      </c>
      <c r="J288" s="11" t="s">
        <v>30</v>
      </c>
      <c r="K288" s="7">
        <f>INDEX(Benchmark!$H$5:$H$807,MATCH(I288,Benchmark!$A$5:$A$807,0))</f>
        <v>125.7999199629302</v>
      </c>
      <c r="L288" s="14">
        <f t="shared" si="4"/>
        <v>-0.14513766504819103</v>
      </c>
      <c r="M288" s="15">
        <f>IF(L288&gt;Benchmark!$B$2,1,IF(L288&lt;-Benchmark!$B$2,5,3))</f>
        <v>5</v>
      </c>
      <c r="N288" s="3" t="s">
        <v>31</v>
      </c>
    </row>
    <row r="289" spans="1:14" x14ac:dyDescent="0.35">
      <c r="A289" s="11" t="s">
        <v>11</v>
      </c>
      <c r="B289" s="11" t="s">
        <v>438</v>
      </c>
      <c r="C289" s="11">
        <v>8</v>
      </c>
      <c r="D289" s="11">
        <v>5</v>
      </c>
      <c r="E289" s="11" t="s">
        <v>53</v>
      </c>
      <c r="F289" s="11" t="s">
        <v>62</v>
      </c>
      <c r="G289" s="12">
        <v>2.81</v>
      </c>
      <c r="H289" s="13">
        <v>111.5480427046263</v>
      </c>
      <c r="I289" s="11" t="s">
        <v>439</v>
      </c>
      <c r="J289" s="11" t="s">
        <v>30</v>
      </c>
      <c r="K289" s="7">
        <f>INDEX(Benchmark!$H$5:$H$807,MATCH(I289,Benchmark!$A$5:$A$807,0))</f>
        <v>109.6618695275566</v>
      </c>
      <c r="L289" s="14">
        <f t="shared" si="4"/>
        <v>1.7199899884943415E-2</v>
      </c>
      <c r="M289" s="17">
        <f>IF(L289&gt;Benchmark!$B$2,1,IF(L289&lt;-Benchmark!$B$2,5,3))</f>
        <v>3</v>
      </c>
      <c r="N289" s="3" t="s">
        <v>31</v>
      </c>
    </row>
    <row r="290" spans="1:14" x14ac:dyDescent="0.35">
      <c r="A290" s="11" t="s">
        <v>11</v>
      </c>
      <c r="B290" s="11" t="s">
        <v>440</v>
      </c>
      <c r="C290" s="11">
        <v>8</v>
      </c>
      <c r="D290" s="11">
        <v>3</v>
      </c>
      <c r="E290" s="11" t="s">
        <v>27</v>
      </c>
      <c r="F290" s="11" t="s">
        <v>43</v>
      </c>
      <c r="G290" s="12">
        <v>5.58</v>
      </c>
      <c r="H290" s="13">
        <v>114.4068100358423</v>
      </c>
      <c r="I290" s="11" t="s">
        <v>44</v>
      </c>
      <c r="J290" s="11" t="s">
        <v>30</v>
      </c>
      <c r="K290" s="7">
        <f>INDEX(Benchmark!$H$5:$H$807,MATCH(I290,Benchmark!$A$5:$A$807,0))</f>
        <v>118.6146621100209</v>
      </c>
      <c r="L290" s="14">
        <f t="shared" si="4"/>
        <v>-3.5474974166984641E-2</v>
      </c>
      <c r="M290" s="17">
        <f>IF(L290&gt;Benchmark!$B$2,1,IF(L290&lt;-Benchmark!$B$2,5,3))</f>
        <v>3</v>
      </c>
      <c r="N290" s="3" t="s">
        <v>31</v>
      </c>
    </row>
    <row r="291" spans="1:14" x14ac:dyDescent="0.35">
      <c r="A291" s="11" t="s">
        <v>11</v>
      </c>
      <c r="B291" s="11" t="s">
        <v>441</v>
      </c>
      <c r="C291" s="11">
        <v>8</v>
      </c>
      <c r="D291" s="11">
        <v>3</v>
      </c>
      <c r="E291" s="11" t="s">
        <v>48</v>
      </c>
      <c r="F291" s="11" t="s">
        <v>43</v>
      </c>
      <c r="G291" s="12">
        <v>7.32</v>
      </c>
      <c r="H291" s="13">
        <v>104.4275956284153</v>
      </c>
      <c r="I291" s="11" t="s">
        <v>74</v>
      </c>
      <c r="J291" s="11" t="s">
        <v>37</v>
      </c>
      <c r="K291" s="7">
        <f>INDEX(Benchmark!$H$5:$H$807,MATCH(I291,Benchmark!$A$5:$A$807,0))</f>
        <v>131.10214067278289</v>
      </c>
      <c r="L291" s="14">
        <f t="shared" si="4"/>
        <v>-0.20346384054051747</v>
      </c>
      <c r="M291" s="15">
        <f>IF(L291&gt;Benchmark!$B$2,1,IF(L291&lt;-Benchmark!$B$2,5,3))</f>
        <v>5</v>
      </c>
      <c r="N291" s="3" t="s">
        <v>31</v>
      </c>
    </row>
    <row r="292" spans="1:14" x14ac:dyDescent="0.35">
      <c r="A292" s="11" t="s">
        <v>11</v>
      </c>
      <c r="B292" s="11" t="s">
        <v>442</v>
      </c>
      <c r="C292" s="11">
        <v>8</v>
      </c>
      <c r="D292" s="11">
        <v>1</v>
      </c>
      <c r="E292" s="11" t="s">
        <v>78</v>
      </c>
      <c r="F292" s="11" t="s">
        <v>328</v>
      </c>
      <c r="G292" s="12">
        <v>4.37</v>
      </c>
      <c r="H292" s="13">
        <v>125.3089244851259</v>
      </c>
      <c r="I292" s="11" t="s">
        <v>80</v>
      </c>
      <c r="J292" s="11" t="s">
        <v>37</v>
      </c>
      <c r="K292" s="7">
        <f>INDEX(Benchmark!$H$5:$H$807,MATCH(I292,Benchmark!$A$5:$A$807,0))</f>
        <v>110.9357798165138</v>
      </c>
      <c r="L292" s="14">
        <f t="shared" si="4"/>
        <v>0.12956274965917292</v>
      </c>
      <c r="M292" s="16">
        <f>IF(L292&gt;Benchmark!$B$2,1,IF(L292&lt;-Benchmark!$B$2,5,3))</f>
        <v>1</v>
      </c>
      <c r="N292" s="3" t="s">
        <v>31</v>
      </c>
    </row>
    <row r="293" spans="1:14" x14ac:dyDescent="0.35">
      <c r="A293" s="11" t="s">
        <v>11</v>
      </c>
      <c r="B293" s="11" t="s">
        <v>443</v>
      </c>
      <c r="C293" s="11">
        <v>8</v>
      </c>
      <c r="D293" s="11">
        <v>1</v>
      </c>
      <c r="E293" s="11" t="s">
        <v>34</v>
      </c>
      <c r="F293" s="11" t="s">
        <v>43</v>
      </c>
      <c r="G293" s="12">
        <v>5.17</v>
      </c>
      <c r="H293" s="13">
        <v>107.82205029013539</v>
      </c>
      <c r="I293" s="11" t="s">
        <v>36</v>
      </c>
      <c r="J293" s="11" t="s">
        <v>37</v>
      </c>
      <c r="K293" s="7">
        <f>INDEX(Benchmark!$H$5:$H$807,MATCH(I293,Benchmark!$A$5:$A$807,0))</f>
        <v>135.18231292517009</v>
      </c>
      <c r="L293" s="14">
        <f t="shared" si="4"/>
        <v>-0.2023952841388349</v>
      </c>
      <c r="M293" s="15">
        <f>IF(L293&gt;Benchmark!$B$2,1,IF(L293&lt;-Benchmark!$B$2,5,3))</f>
        <v>5</v>
      </c>
      <c r="N293" s="3" t="s">
        <v>31</v>
      </c>
    </row>
    <row r="294" spans="1:14" x14ac:dyDescent="0.35">
      <c r="A294" s="11" t="s">
        <v>11</v>
      </c>
      <c r="B294" s="11" t="s">
        <v>444</v>
      </c>
      <c r="C294" s="11">
        <v>8</v>
      </c>
      <c r="D294" s="11">
        <v>3</v>
      </c>
      <c r="E294" s="11" t="s">
        <v>104</v>
      </c>
      <c r="F294" s="11" t="s">
        <v>43</v>
      </c>
      <c r="G294" s="12">
        <v>3.17</v>
      </c>
      <c r="H294" s="13">
        <v>96.652996845425861</v>
      </c>
      <c r="I294" s="11" t="s">
        <v>324</v>
      </c>
      <c r="J294" s="11" t="s">
        <v>30</v>
      </c>
      <c r="K294" s="7">
        <f>INDEX(Benchmark!$H$5:$H$807,MATCH(I294,Benchmark!$A$5:$A$807,0))</f>
        <v>109.75467980295571</v>
      </c>
      <c r="L294" s="14">
        <f t="shared" si="4"/>
        <v>-0.11937243114417995</v>
      </c>
      <c r="M294" s="15">
        <f>IF(L294&gt;Benchmark!$B$2,1,IF(L294&lt;-Benchmark!$B$2,5,3))</f>
        <v>5</v>
      </c>
      <c r="N294" s="3" t="s">
        <v>31</v>
      </c>
    </row>
    <row r="295" spans="1:14" x14ac:dyDescent="0.35">
      <c r="A295" s="11" t="s">
        <v>11</v>
      </c>
      <c r="B295" s="11" t="s">
        <v>445</v>
      </c>
      <c r="C295" s="11">
        <v>8</v>
      </c>
      <c r="D295" s="11">
        <v>1</v>
      </c>
      <c r="E295" s="11" t="s">
        <v>34</v>
      </c>
      <c r="F295" s="11" t="s">
        <v>84</v>
      </c>
      <c r="G295" s="12">
        <v>3.72</v>
      </c>
      <c r="H295" s="13">
        <v>120.0591397849462</v>
      </c>
      <c r="I295" s="11" t="s">
        <v>96</v>
      </c>
      <c r="J295" s="11" t="s">
        <v>30</v>
      </c>
      <c r="K295" s="7">
        <f>INDEX(Benchmark!$H$5:$H$807,MATCH(I295,Benchmark!$A$5:$A$807,0))</f>
        <v>126.5322222222222</v>
      </c>
      <c r="L295" s="14">
        <f t="shared" si="4"/>
        <v>-5.1157581235771299E-2</v>
      </c>
      <c r="M295" s="15">
        <f>IF(L295&gt;Benchmark!$B$2,1,IF(L295&lt;-Benchmark!$B$2,5,3))</f>
        <v>5</v>
      </c>
      <c r="N295" s="3" t="s">
        <v>31</v>
      </c>
    </row>
    <row r="296" spans="1:14" x14ac:dyDescent="0.35">
      <c r="A296" s="11" t="s">
        <v>11</v>
      </c>
      <c r="B296" s="11" t="s">
        <v>446</v>
      </c>
      <c r="C296" s="11">
        <v>8</v>
      </c>
      <c r="D296" s="11">
        <v>1</v>
      </c>
      <c r="E296" s="11" t="s">
        <v>78</v>
      </c>
      <c r="F296" s="11" t="s">
        <v>332</v>
      </c>
      <c r="G296" s="12">
        <v>6.91</v>
      </c>
      <c r="H296" s="13">
        <v>99.241678726483357</v>
      </c>
      <c r="I296" s="11" t="s">
        <v>80</v>
      </c>
      <c r="J296" s="11" t="s">
        <v>37</v>
      </c>
      <c r="K296" s="7">
        <f>INDEX(Benchmark!$H$5:$H$807,MATCH(I296,Benchmark!$A$5:$A$807,0))</f>
        <v>110.9357798165138</v>
      </c>
      <c r="L296" s="14">
        <f t="shared" si="4"/>
        <v>-0.10541324998456147</v>
      </c>
      <c r="M296" s="15">
        <f>IF(L296&gt;Benchmark!$B$2,1,IF(L296&lt;-Benchmark!$B$2,5,3))</f>
        <v>5</v>
      </c>
      <c r="N296" s="3" t="s">
        <v>31</v>
      </c>
    </row>
    <row r="297" spans="1:14" x14ac:dyDescent="0.35">
      <c r="A297" s="11" t="s">
        <v>11</v>
      </c>
      <c r="B297" s="11" t="s">
        <v>447</v>
      </c>
      <c r="C297" s="11">
        <v>8</v>
      </c>
      <c r="D297" s="11">
        <v>1</v>
      </c>
      <c r="E297" s="11" t="s">
        <v>78</v>
      </c>
      <c r="F297" s="11" t="s">
        <v>332</v>
      </c>
      <c r="G297" s="12">
        <v>5.15</v>
      </c>
      <c r="H297" s="13">
        <v>113.126213592233</v>
      </c>
      <c r="I297" s="11" t="s">
        <v>80</v>
      </c>
      <c r="J297" s="11" t="s">
        <v>37</v>
      </c>
      <c r="K297" s="7">
        <f>INDEX(Benchmark!$H$5:$H$807,MATCH(I297,Benchmark!$A$5:$A$807,0))</f>
        <v>110.9357798165138</v>
      </c>
      <c r="L297" s="14">
        <f t="shared" si="4"/>
        <v>1.9745061325950441E-2</v>
      </c>
      <c r="M297" s="17">
        <f>IF(L297&gt;Benchmark!$B$2,1,IF(L297&lt;-Benchmark!$B$2,5,3))</f>
        <v>3</v>
      </c>
      <c r="N297" s="3" t="s">
        <v>31</v>
      </c>
    </row>
    <row r="298" spans="1:14" x14ac:dyDescent="0.35">
      <c r="A298" s="11" t="s">
        <v>11</v>
      </c>
      <c r="B298" s="11" t="s">
        <v>448</v>
      </c>
      <c r="C298" s="11">
        <v>8</v>
      </c>
      <c r="D298" s="11">
        <v>3</v>
      </c>
      <c r="E298" s="11" t="s">
        <v>48</v>
      </c>
      <c r="F298" s="11" t="s">
        <v>84</v>
      </c>
      <c r="G298" s="12">
        <v>1.31</v>
      </c>
      <c r="H298" s="13">
        <v>87.954198473282432</v>
      </c>
      <c r="I298" s="11" t="s">
        <v>85</v>
      </c>
      <c r="J298" s="11" t="s">
        <v>30</v>
      </c>
      <c r="K298" s="7">
        <f>INDEX(Benchmark!$H$5:$H$807,MATCH(I298,Benchmark!$A$5:$A$807,0))</f>
        <v>131.0681628892149</v>
      </c>
      <c r="L298" s="14">
        <f t="shared" si="4"/>
        <v>-0.32894307408866685</v>
      </c>
      <c r="M298" s="15">
        <f>IF(L298&gt;Benchmark!$B$2,1,IF(L298&lt;-Benchmark!$B$2,5,3))</f>
        <v>5</v>
      </c>
      <c r="N298" s="3" t="s">
        <v>31</v>
      </c>
    </row>
    <row r="299" spans="1:14" x14ac:dyDescent="0.35">
      <c r="A299" s="11" t="s">
        <v>11</v>
      </c>
      <c r="B299" s="11" t="s">
        <v>449</v>
      </c>
      <c r="C299" s="11">
        <v>8</v>
      </c>
      <c r="D299" s="11">
        <v>4</v>
      </c>
      <c r="E299" s="11" t="s">
        <v>34</v>
      </c>
      <c r="F299" s="11" t="s">
        <v>39</v>
      </c>
      <c r="G299" s="12">
        <v>6.05</v>
      </c>
      <c r="H299" s="13">
        <v>104.8760330578512</v>
      </c>
      <c r="I299" s="11" t="s">
        <v>51</v>
      </c>
      <c r="J299" s="11" t="s">
        <v>30</v>
      </c>
      <c r="K299" s="7">
        <f>INDEX(Benchmark!$H$5:$H$807,MATCH(I299,Benchmark!$A$5:$A$807,0))</f>
        <v>134.7097020626432</v>
      </c>
      <c r="L299" s="14">
        <f t="shared" si="4"/>
        <v>-0.22146637211712217</v>
      </c>
      <c r="M299" s="15">
        <f>IF(L299&gt;Benchmark!$B$2,1,IF(L299&lt;-Benchmark!$B$2,5,3))</f>
        <v>5</v>
      </c>
      <c r="N299" s="3" t="s">
        <v>31</v>
      </c>
    </row>
    <row r="300" spans="1:14" x14ac:dyDescent="0.35">
      <c r="A300" s="11" t="s">
        <v>11</v>
      </c>
      <c r="B300" s="11" t="s">
        <v>450</v>
      </c>
      <c r="C300" s="11">
        <v>8</v>
      </c>
      <c r="D300" s="11">
        <v>1</v>
      </c>
      <c r="E300" s="11" t="s">
        <v>34</v>
      </c>
      <c r="F300" s="11" t="s">
        <v>230</v>
      </c>
      <c r="G300" s="12">
        <v>4.5</v>
      </c>
      <c r="H300" s="13">
        <v>149.87777777777779</v>
      </c>
      <c r="I300" s="11" t="s">
        <v>36</v>
      </c>
      <c r="J300" s="11" t="s">
        <v>37</v>
      </c>
      <c r="K300" s="7">
        <f>INDEX(Benchmark!$H$5:$H$807,MATCH(I300,Benchmark!$A$5:$A$807,0))</f>
        <v>135.18231292517009</v>
      </c>
      <c r="L300" s="14">
        <f t="shared" si="4"/>
        <v>0.1087084880752287</v>
      </c>
      <c r="M300" s="16">
        <f>IF(L300&gt;Benchmark!$B$2,1,IF(L300&lt;-Benchmark!$B$2,5,3))</f>
        <v>1</v>
      </c>
      <c r="N300" s="3" t="s">
        <v>31</v>
      </c>
    </row>
    <row r="301" spans="1:14" x14ac:dyDescent="0.35">
      <c r="A301" s="11" t="s">
        <v>11</v>
      </c>
      <c r="B301" s="11" t="s">
        <v>451</v>
      </c>
      <c r="C301" s="11">
        <v>8</v>
      </c>
      <c r="D301" s="11">
        <v>1</v>
      </c>
      <c r="E301" s="11" t="s">
        <v>34</v>
      </c>
      <c r="F301" s="11" t="s">
        <v>338</v>
      </c>
      <c r="G301" s="12">
        <v>4.5</v>
      </c>
      <c r="H301" s="13">
        <v>114.1622222222222</v>
      </c>
      <c r="I301" s="11" t="s">
        <v>36</v>
      </c>
      <c r="J301" s="11" t="s">
        <v>37</v>
      </c>
      <c r="K301" s="7">
        <f>INDEX(Benchmark!$H$5:$H$807,MATCH(I301,Benchmark!$A$5:$A$807,0))</f>
        <v>135.18231292517009</v>
      </c>
      <c r="L301" s="14">
        <f t="shared" si="4"/>
        <v>-0.15549438567886853</v>
      </c>
      <c r="M301" s="15">
        <f>IF(L301&gt;Benchmark!$B$2,1,IF(L301&lt;-Benchmark!$B$2,5,3))</f>
        <v>5</v>
      </c>
      <c r="N301" s="3" t="s">
        <v>31</v>
      </c>
    </row>
    <row r="302" spans="1:14" x14ac:dyDescent="0.35">
      <c r="A302" s="11" t="s">
        <v>11</v>
      </c>
      <c r="B302" s="11" t="s">
        <v>452</v>
      </c>
      <c r="C302" s="11">
        <v>8</v>
      </c>
      <c r="D302" s="11">
        <v>1</v>
      </c>
      <c r="E302" s="11" t="s">
        <v>78</v>
      </c>
      <c r="F302" s="11" t="s">
        <v>338</v>
      </c>
      <c r="G302" s="12">
        <v>3.44</v>
      </c>
      <c r="H302" s="13">
        <v>114.54941860465119</v>
      </c>
      <c r="I302" s="11" t="s">
        <v>80</v>
      </c>
      <c r="J302" s="11" t="s">
        <v>37</v>
      </c>
      <c r="K302" s="7">
        <f>INDEX(Benchmark!$H$5:$H$807,MATCH(I302,Benchmark!$A$5:$A$807,0))</f>
        <v>110.9357798165138</v>
      </c>
      <c r="L302" s="14">
        <f t="shared" si="4"/>
        <v>3.2574150505042754E-2</v>
      </c>
      <c r="M302" s="17">
        <f>IF(L302&gt;Benchmark!$B$2,1,IF(L302&lt;-Benchmark!$B$2,5,3))</f>
        <v>3</v>
      </c>
      <c r="N302" s="3" t="s">
        <v>31</v>
      </c>
    </row>
    <row r="303" spans="1:14" x14ac:dyDescent="0.35">
      <c r="A303" s="11" t="s">
        <v>11</v>
      </c>
      <c r="B303" s="11" t="s">
        <v>453</v>
      </c>
      <c r="C303" s="11">
        <v>8</v>
      </c>
      <c r="D303" s="11">
        <v>1</v>
      </c>
      <c r="E303" s="11" t="s">
        <v>27</v>
      </c>
      <c r="F303" s="11" t="s">
        <v>338</v>
      </c>
      <c r="G303" s="12">
        <v>3.57</v>
      </c>
      <c r="H303" s="13">
        <v>123.8319327731092</v>
      </c>
      <c r="I303" s="11" t="s">
        <v>144</v>
      </c>
      <c r="J303" s="11" t="s">
        <v>37</v>
      </c>
      <c r="K303" s="7">
        <f>INDEX(Benchmark!$H$5:$H$807,MATCH(I303,Benchmark!$A$5:$A$807,0))</f>
        <v>131.49167927382749</v>
      </c>
      <c r="L303" s="14">
        <f t="shared" si="4"/>
        <v>-5.8252708787504992E-2</v>
      </c>
      <c r="M303" s="15">
        <f>IF(L303&gt;Benchmark!$B$2,1,IF(L303&lt;-Benchmark!$B$2,5,3))</f>
        <v>5</v>
      </c>
      <c r="N303" s="3" t="s">
        <v>31</v>
      </c>
    </row>
    <row r="304" spans="1:14" x14ac:dyDescent="0.35">
      <c r="A304" s="11" t="s">
        <v>11</v>
      </c>
      <c r="B304" s="11" t="s">
        <v>454</v>
      </c>
      <c r="C304" s="11">
        <v>8</v>
      </c>
      <c r="D304" s="11">
        <v>1</v>
      </c>
      <c r="E304" s="11" t="s">
        <v>34</v>
      </c>
      <c r="F304" s="11" t="s">
        <v>332</v>
      </c>
      <c r="G304" s="12">
        <v>4.6500000000000004</v>
      </c>
      <c r="H304" s="13">
        <v>122.3569892473118</v>
      </c>
      <c r="I304" s="11" t="s">
        <v>36</v>
      </c>
      <c r="J304" s="11" t="s">
        <v>37</v>
      </c>
      <c r="K304" s="7">
        <f>INDEX(Benchmark!$H$5:$H$807,MATCH(I304,Benchmark!$A$5:$A$807,0))</f>
        <v>135.18231292517009</v>
      </c>
      <c r="L304" s="14">
        <f t="shared" si="4"/>
        <v>-9.4874273122976693E-2</v>
      </c>
      <c r="M304" s="15">
        <f>IF(L304&gt;Benchmark!$B$2,1,IF(L304&lt;-Benchmark!$B$2,5,3))</f>
        <v>5</v>
      </c>
      <c r="N304" s="3" t="s">
        <v>31</v>
      </c>
    </row>
    <row r="305" spans="1:14" x14ac:dyDescent="0.35">
      <c r="A305" s="11" t="s">
        <v>11</v>
      </c>
      <c r="B305" s="11" t="s">
        <v>455</v>
      </c>
      <c r="C305" s="11">
        <v>8</v>
      </c>
      <c r="D305" s="11">
        <v>1</v>
      </c>
      <c r="E305" s="11" t="s">
        <v>34</v>
      </c>
      <c r="F305" s="11" t="s">
        <v>332</v>
      </c>
      <c r="G305" s="12">
        <v>3.08</v>
      </c>
      <c r="H305" s="13">
        <v>134.85064935064929</v>
      </c>
      <c r="I305" s="11" t="s">
        <v>36</v>
      </c>
      <c r="J305" s="11" t="s">
        <v>37</v>
      </c>
      <c r="K305" s="7">
        <f>INDEX(Benchmark!$H$5:$H$807,MATCH(I305,Benchmark!$A$5:$A$807,0))</f>
        <v>135.18231292517009</v>
      </c>
      <c r="L305" s="14">
        <f t="shared" si="4"/>
        <v>-2.4534539123057808E-3</v>
      </c>
      <c r="M305" s="17">
        <f>IF(L305&gt;Benchmark!$B$2,1,IF(L305&lt;-Benchmark!$B$2,5,3))</f>
        <v>3</v>
      </c>
      <c r="N305" s="3" t="s">
        <v>31</v>
      </c>
    </row>
    <row r="306" spans="1:14" x14ac:dyDescent="0.35">
      <c r="A306" s="11" t="s">
        <v>11</v>
      </c>
      <c r="B306" s="11" t="s">
        <v>456</v>
      </c>
      <c r="C306" s="11">
        <v>8</v>
      </c>
      <c r="D306" s="11">
        <v>4</v>
      </c>
      <c r="E306" s="11" t="s">
        <v>48</v>
      </c>
      <c r="F306" s="11" t="s">
        <v>84</v>
      </c>
      <c r="G306" s="12">
        <v>16.829999999999998</v>
      </c>
      <c r="H306" s="13">
        <v>105.6137849079026</v>
      </c>
      <c r="I306" s="11" t="s">
        <v>85</v>
      </c>
      <c r="J306" s="11" t="s">
        <v>30</v>
      </c>
      <c r="K306" s="7">
        <f>INDEX(Benchmark!$H$5:$H$807,MATCH(I306,Benchmark!$A$5:$A$807,0))</f>
        <v>131.0681628892149</v>
      </c>
      <c r="L306" s="14">
        <f t="shared" si="4"/>
        <v>-0.19420717754949812</v>
      </c>
      <c r="M306" s="15">
        <f>IF(L306&gt;Benchmark!$B$2,1,IF(L306&lt;-Benchmark!$B$2,5,3))</f>
        <v>5</v>
      </c>
      <c r="N306" s="3" t="s">
        <v>31</v>
      </c>
    </row>
    <row r="307" spans="1:14" x14ac:dyDescent="0.35">
      <c r="A307" s="11" t="s">
        <v>11</v>
      </c>
      <c r="B307" s="11" t="s">
        <v>457</v>
      </c>
      <c r="C307" s="11">
        <v>8</v>
      </c>
      <c r="D307" s="11">
        <v>3</v>
      </c>
      <c r="E307" s="11" t="s">
        <v>27</v>
      </c>
      <c r="F307" s="11" t="s">
        <v>84</v>
      </c>
      <c r="G307" s="12">
        <v>12.3</v>
      </c>
      <c r="H307" s="13">
        <v>108.34552845528459</v>
      </c>
      <c r="I307" s="11" t="s">
        <v>154</v>
      </c>
      <c r="J307" s="11" t="s">
        <v>30</v>
      </c>
      <c r="K307" s="7">
        <f>INDEX(Benchmark!$H$5:$H$807,MATCH(I307,Benchmark!$A$5:$A$807,0))</f>
        <v>125.7999199629302</v>
      </c>
      <c r="L307" s="14">
        <f t="shared" si="4"/>
        <v>-0.13874723857367277</v>
      </c>
      <c r="M307" s="15">
        <f>IF(L307&gt;Benchmark!$B$2,1,IF(L307&lt;-Benchmark!$B$2,5,3))</f>
        <v>5</v>
      </c>
      <c r="N307" s="3" t="s">
        <v>31</v>
      </c>
    </row>
    <row r="308" spans="1:14" x14ac:dyDescent="0.35">
      <c r="A308" s="11" t="s">
        <v>11</v>
      </c>
      <c r="B308" s="11" t="s">
        <v>458</v>
      </c>
      <c r="C308" s="11">
        <v>8</v>
      </c>
      <c r="D308" s="11">
        <v>2</v>
      </c>
      <c r="E308" s="11" t="s">
        <v>34</v>
      </c>
      <c r="F308" s="11" t="s">
        <v>84</v>
      </c>
      <c r="G308" s="12">
        <v>4.66</v>
      </c>
      <c r="H308" s="13">
        <v>135.03648068669531</v>
      </c>
      <c r="I308" s="11" t="s">
        <v>96</v>
      </c>
      <c r="J308" s="11" t="s">
        <v>30</v>
      </c>
      <c r="K308" s="7">
        <f>INDEX(Benchmark!$H$5:$H$807,MATCH(I308,Benchmark!$A$5:$A$807,0))</f>
        <v>126.5322222222222</v>
      </c>
      <c r="L308" s="14">
        <f t="shared" si="4"/>
        <v>6.7210219777358526E-2</v>
      </c>
      <c r="M308" s="16">
        <f>IF(L308&gt;Benchmark!$B$2,1,IF(L308&lt;-Benchmark!$B$2,5,3))</f>
        <v>1</v>
      </c>
      <c r="N308" s="3" t="s">
        <v>31</v>
      </c>
    </row>
    <row r="309" spans="1:14" x14ac:dyDescent="0.35">
      <c r="A309" s="11" t="s">
        <v>11</v>
      </c>
      <c r="B309" s="11" t="s">
        <v>459</v>
      </c>
      <c r="C309" s="11">
        <v>8</v>
      </c>
      <c r="D309" s="11">
        <v>2</v>
      </c>
      <c r="E309" s="11" t="s">
        <v>88</v>
      </c>
      <c r="F309" s="11" t="s">
        <v>43</v>
      </c>
      <c r="G309" s="12">
        <v>8.8800000000000008</v>
      </c>
      <c r="H309" s="13">
        <v>116.0461711711712</v>
      </c>
      <c r="I309" s="11" t="s">
        <v>354</v>
      </c>
      <c r="J309" s="11" t="s">
        <v>30</v>
      </c>
      <c r="K309" s="7">
        <f>INDEX(Benchmark!$H$5:$H$807,MATCH(I309,Benchmark!$A$5:$A$807,0))</f>
        <v>100.232421875</v>
      </c>
      <c r="L309" s="14">
        <f t="shared" si="4"/>
        <v>0.15777079911221281</v>
      </c>
      <c r="M309" s="16">
        <f>IF(L309&gt;Benchmark!$B$2,1,IF(L309&lt;-Benchmark!$B$2,5,3))</f>
        <v>1</v>
      </c>
      <c r="N309" s="3" t="s">
        <v>31</v>
      </c>
    </row>
    <row r="310" spans="1:14" x14ac:dyDescent="0.35">
      <c r="A310" s="11" t="s">
        <v>11</v>
      </c>
      <c r="B310" s="11" t="s">
        <v>460</v>
      </c>
      <c r="C310" s="11">
        <v>8</v>
      </c>
      <c r="D310" s="11">
        <v>3</v>
      </c>
      <c r="E310" s="11" t="s">
        <v>104</v>
      </c>
      <c r="F310" s="11" t="s">
        <v>43</v>
      </c>
      <c r="G310" s="12">
        <v>1.82</v>
      </c>
      <c r="H310" s="13">
        <v>108.0659340659341</v>
      </c>
      <c r="I310" s="11" t="s">
        <v>324</v>
      </c>
      <c r="J310" s="11" t="s">
        <v>30</v>
      </c>
      <c r="K310" s="7">
        <f>INDEX(Benchmark!$H$5:$H$807,MATCH(I310,Benchmark!$A$5:$A$807,0))</f>
        <v>109.75467980295571</v>
      </c>
      <c r="L310" s="14">
        <f t="shared" si="4"/>
        <v>-1.5386548801868294E-2</v>
      </c>
      <c r="M310" s="17">
        <f>IF(L310&gt;Benchmark!$B$2,1,IF(L310&lt;-Benchmark!$B$2,5,3))</f>
        <v>3</v>
      </c>
      <c r="N310" s="3" t="s">
        <v>31</v>
      </c>
    </row>
    <row r="311" spans="1:14" x14ac:dyDescent="0.35">
      <c r="A311" s="11" t="s">
        <v>11</v>
      </c>
      <c r="B311" s="11" t="s">
        <v>461</v>
      </c>
      <c r="C311" s="11">
        <v>8</v>
      </c>
      <c r="D311" s="11">
        <v>6</v>
      </c>
      <c r="E311" s="11" t="s">
        <v>27</v>
      </c>
      <c r="F311" s="11" t="s">
        <v>84</v>
      </c>
      <c r="G311" s="12">
        <v>32.479999999999997</v>
      </c>
      <c r="H311" s="13">
        <v>114.9993842364532</v>
      </c>
      <c r="I311" s="11" t="s">
        <v>154</v>
      </c>
      <c r="J311" s="11" t="s">
        <v>30</v>
      </c>
      <c r="K311" s="7">
        <f>INDEX(Benchmark!$H$5:$H$807,MATCH(I311,Benchmark!$A$5:$A$807,0))</f>
        <v>125.7999199629302</v>
      </c>
      <c r="L311" s="14">
        <f t="shared" si="4"/>
        <v>-8.5854869618833041E-2</v>
      </c>
      <c r="M311" s="15">
        <f>IF(L311&gt;Benchmark!$B$2,1,IF(L311&lt;-Benchmark!$B$2,5,3))</f>
        <v>5</v>
      </c>
      <c r="N311" s="3" t="s">
        <v>31</v>
      </c>
    </row>
    <row r="312" spans="1:14" x14ac:dyDescent="0.35">
      <c r="A312" s="11" t="s">
        <v>11</v>
      </c>
      <c r="B312" s="11" t="s">
        <v>462</v>
      </c>
      <c r="C312" s="11">
        <v>8</v>
      </c>
      <c r="D312" s="11">
        <v>4</v>
      </c>
      <c r="E312" s="11" t="s">
        <v>104</v>
      </c>
      <c r="F312" s="11" t="s">
        <v>84</v>
      </c>
      <c r="G312" s="12">
        <v>13.85</v>
      </c>
      <c r="H312" s="13">
        <v>108.4924187725632</v>
      </c>
      <c r="I312" s="11" t="s">
        <v>175</v>
      </c>
      <c r="J312" s="11" t="s">
        <v>30</v>
      </c>
      <c r="K312" s="7">
        <f>INDEX(Benchmark!$H$5:$H$807,MATCH(I312,Benchmark!$A$5:$A$807,0))</f>
        <v>107.50926587244901</v>
      </c>
      <c r="L312" s="14">
        <f t="shared" si="4"/>
        <v>9.1448201430435194E-3</v>
      </c>
      <c r="M312" s="17">
        <f>IF(L312&gt;Benchmark!$B$2,1,IF(L312&lt;-Benchmark!$B$2,5,3))</f>
        <v>3</v>
      </c>
      <c r="N312" s="3" t="s">
        <v>31</v>
      </c>
    </row>
    <row r="313" spans="1:14" x14ac:dyDescent="0.35">
      <c r="A313" s="11" t="s">
        <v>11</v>
      </c>
      <c r="B313" s="11" t="s">
        <v>463</v>
      </c>
      <c r="C313" s="11">
        <v>8</v>
      </c>
      <c r="D313" s="11">
        <v>1</v>
      </c>
      <c r="E313" s="11" t="s">
        <v>34</v>
      </c>
      <c r="F313" s="11" t="s">
        <v>93</v>
      </c>
      <c r="G313" s="12">
        <v>10.44</v>
      </c>
      <c r="H313" s="13">
        <v>100.43678160919541</v>
      </c>
      <c r="I313" s="11" t="s">
        <v>36</v>
      </c>
      <c r="J313" s="11" t="s">
        <v>37</v>
      </c>
      <c r="K313" s="7">
        <f>INDEX(Benchmark!$H$5:$H$807,MATCH(I313,Benchmark!$A$5:$A$807,0))</f>
        <v>135.18231292517009</v>
      </c>
      <c r="L313" s="14">
        <f t="shared" si="4"/>
        <v>-0.25702719952134578</v>
      </c>
      <c r="M313" s="15">
        <f>IF(L313&gt;Benchmark!$B$2,1,IF(L313&lt;-Benchmark!$B$2,5,3))</f>
        <v>5</v>
      </c>
      <c r="N313" s="3" t="s">
        <v>31</v>
      </c>
    </row>
    <row r="314" spans="1:14" x14ac:dyDescent="0.35">
      <c r="A314" s="11" t="s">
        <v>11</v>
      </c>
      <c r="B314" s="11" t="s">
        <v>464</v>
      </c>
      <c r="C314" s="11">
        <v>8</v>
      </c>
      <c r="D314" s="11">
        <v>3</v>
      </c>
      <c r="E314" s="11" t="s">
        <v>48</v>
      </c>
      <c r="F314" s="11" t="s">
        <v>43</v>
      </c>
      <c r="G314" s="12">
        <v>4.68</v>
      </c>
      <c r="H314" s="13">
        <v>121.33974358974361</v>
      </c>
      <c r="I314" s="11" t="s">
        <v>74</v>
      </c>
      <c r="J314" s="11" t="s">
        <v>37</v>
      </c>
      <c r="K314" s="7">
        <f>INDEX(Benchmark!$H$5:$H$807,MATCH(I314,Benchmark!$A$5:$A$807,0))</f>
        <v>131.10214067278289</v>
      </c>
      <c r="L314" s="14">
        <f t="shared" si="4"/>
        <v>-7.446405552907942E-2</v>
      </c>
      <c r="M314" s="15">
        <f>IF(L314&gt;Benchmark!$B$2,1,IF(L314&lt;-Benchmark!$B$2,5,3))</f>
        <v>5</v>
      </c>
      <c r="N314" s="3" t="s">
        <v>31</v>
      </c>
    </row>
    <row r="315" spans="1:14" x14ac:dyDescent="0.35">
      <c r="A315" s="11" t="s">
        <v>11</v>
      </c>
      <c r="B315" s="11" t="s">
        <v>465</v>
      </c>
      <c r="C315" s="11">
        <v>8</v>
      </c>
      <c r="D315" s="11">
        <v>3</v>
      </c>
      <c r="E315" s="11" t="s">
        <v>48</v>
      </c>
      <c r="F315" s="11" t="s">
        <v>131</v>
      </c>
      <c r="G315" s="12">
        <v>2.64</v>
      </c>
      <c r="H315" s="13">
        <v>86.696969696969688</v>
      </c>
      <c r="I315" s="11" t="s">
        <v>74</v>
      </c>
      <c r="J315" s="11" t="s">
        <v>37</v>
      </c>
      <c r="K315" s="7">
        <f>INDEX(Benchmark!$H$5:$H$807,MATCH(I315,Benchmark!$A$5:$A$807,0))</f>
        <v>131.10214067278289</v>
      </c>
      <c r="L315" s="14">
        <f t="shared" si="4"/>
        <v>-0.33870668127871251</v>
      </c>
      <c r="M315" s="15">
        <f>IF(L315&gt;Benchmark!$B$2,1,IF(L315&lt;-Benchmark!$B$2,5,3))</f>
        <v>5</v>
      </c>
      <c r="N315" s="3" t="s">
        <v>31</v>
      </c>
    </row>
    <row r="316" spans="1:14" x14ac:dyDescent="0.35">
      <c r="A316" s="11" t="s">
        <v>11</v>
      </c>
      <c r="B316" s="11" t="s">
        <v>466</v>
      </c>
      <c r="C316" s="11">
        <v>8</v>
      </c>
      <c r="D316" s="11">
        <v>1</v>
      </c>
      <c r="E316" s="11" t="s">
        <v>78</v>
      </c>
      <c r="F316" s="11" t="s">
        <v>79</v>
      </c>
      <c r="G316" s="12">
        <v>7.54</v>
      </c>
      <c r="H316" s="13">
        <v>111.6366047745358</v>
      </c>
      <c r="I316" s="11" t="s">
        <v>80</v>
      </c>
      <c r="J316" s="11" t="s">
        <v>37</v>
      </c>
      <c r="K316" s="7">
        <f>INDEX(Benchmark!$H$5:$H$807,MATCH(I316,Benchmark!$A$5:$A$807,0))</f>
        <v>110.9357798165138</v>
      </c>
      <c r="L316" s="14">
        <f t="shared" si="4"/>
        <v>6.3173933529934168E-3</v>
      </c>
      <c r="M316" s="17">
        <f>IF(L316&gt;Benchmark!$B$2,1,IF(L316&lt;-Benchmark!$B$2,5,3))</f>
        <v>3</v>
      </c>
      <c r="N316" s="3" t="s">
        <v>31</v>
      </c>
    </row>
    <row r="317" spans="1:14" x14ac:dyDescent="0.35">
      <c r="A317" s="11" t="s">
        <v>11</v>
      </c>
      <c r="B317" s="11" t="s">
        <v>467</v>
      </c>
      <c r="C317" s="11">
        <v>8</v>
      </c>
      <c r="D317" s="11">
        <v>1</v>
      </c>
      <c r="E317" s="11" t="s">
        <v>78</v>
      </c>
      <c r="F317" s="11" t="s">
        <v>28</v>
      </c>
      <c r="G317" s="12">
        <v>2.97</v>
      </c>
      <c r="H317" s="13">
        <v>85.569023569023557</v>
      </c>
      <c r="I317" s="11" t="s">
        <v>80</v>
      </c>
      <c r="J317" s="11" t="s">
        <v>37</v>
      </c>
      <c r="K317" s="7">
        <f>INDEX(Benchmark!$H$5:$H$807,MATCH(I317,Benchmark!$A$5:$A$807,0))</f>
        <v>110.9357798165138</v>
      </c>
      <c r="L317" s="14">
        <f t="shared" si="4"/>
        <v>-0.22866163008405849</v>
      </c>
      <c r="M317" s="15">
        <f>IF(L317&gt;Benchmark!$B$2,1,IF(L317&lt;-Benchmark!$B$2,5,3))</f>
        <v>5</v>
      </c>
      <c r="N317" s="3" t="s">
        <v>31</v>
      </c>
    </row>
    <row r="318" spans="1:14" x14ac:dyDescent="0.35">
      <c r="A318" s="11" t="s">
        <v>11</v>
      </c>
      <c r="B318" s="11" t="s">
        <v>468</v>
      </c>
      <c r="C318" s="11">
        <v>8</v>
      </c>
      <c r="D318" s="11">
        <v>3</v>
      </c>
      <c r="E318" s="11" t="s">
        <v>48</v>
      </c>
      <c r="F318" s="11" t="s">
        <v>28</v>
      </c>
      <c r="G318" s="12">
        <v>2.7</v>
      </c>
      <c r="H318" s="13">
        <v>59.68148148148147</v>
      </c>
      <c r="I318" s="11" t="s">
        <v>232</v>
      </c>
      <c r="J318" s="11" t="s">
        <v>30</v>
      </c>
      <c r="K318" s="7">
        <f>INDEX(Benchmark!$H$5:$H$807,MATCH(I318,Benchmark!$A$5:$A$807,0))</f>
        <v>132.08750000000001</v>
      </c>
      <c r="L318" s="14">
        <f t="shared" si="4"/>
        <v>-0.5481670749958818</v>
      </c>
      <c r="M318" s="15">
        <f>IF(L318&gt;Benchmark!$B$2,1,IF(L318&lt;-Benchmark!$B$2,5,3))</f>
        <v>5</v>
      </c>
      <c r="N318" s="3" t="s">
        <v>31</v>
      </c>
    </row>
    <row r="319" spans="1:14" x14ac:dyDescent="0.35">
      <c r="A319" s="11" t="s">
        <v>11</v>
      </c>
      <c r="B319" s="11" t="s">
        <v>469</v>
      </c>
      <c r="C319" s="11">
        <v>8</v>
      </c>
      <c r="D319" s="11">
        <v>1</v>
      </c>
      <c r="E319" s="11" t="s">
        <v>78</v>
      </c>
      <c r="F319" s="11" t="s">
        <v>54</v>
      </c>
      <c r="G319" s="12">
        <v>2.95</v>
      </c>
      <c r="H319" s="13">
        <v>115.3932203389831</v>
      </c>
      <c r="I319" s="11" t="s">
        <v>80</v>
      </c>
      <c r="J319" s="11" t="s">
        <v>37</v>
      </c>
      <c r="K319" s="7">
        <f>INDEX(Benchmark!$H$5:$H$807,MATCH(I319,Benchmark!$A$5:$A$807,0))</f>
        <v>110.9357798165138</v>
      </c>
      <c r="L319" s="14">
        <f t="shared" si="4"/>
        <v>4.0180368586598902E-2</v>
      </c>
      <c r="M319" s="17">
        <f>IF(L319&gt;Benchmark!$B$2,1,IF(L319&lt;-Benchmark!$B$2,5,3))</f>
        <v>3</v>
      </c>
      <c r="N319" s="3" t="s">
        <v>31</v>
      </c>
    </row>
    <row r="320" spans="1:14" x14ac:dyDescent="0.35">
      <c r="A320" s="11" t="s">
        <v>11</v>
      </c>
      <c r="B320" s="11" t="s">
        <v>470</v>
      </c>
      <c r="C320" s="11">
        <v>8</v>
      </c>
      <c r="D320" s="11">
        <v>1</v>
      </c>
      <c r="E320" s="11" t="s">
        <v>78</v>
      </c>
      <c r="F320" s="11" t="s">
        <v>54</v>
      </c>
      <c r="G320" s="12">
        <v>5.42</v>
      </c>
      <c r="H320" s="13">
        <v>88.223247232472332</v>
      </c>
      <c r="I320" s="11" t="s">
        <v>80</v>
      </c>
      <c r="J320" s="11" t="s">
        <v>37</v>
      </c>
      <c r="K320" s="7">
        <f>INDEX(Benchmark!$H$5:$H$807,MATCH(I320,Benchmark!$A$5:$A$807,0))</f>
        <v>110.9357798165138</v>
      </c>
      <c r="L320" s="14">
        <f t="shared" si="4"/>
        <v>-0.20473586269107835</v>
      </c>
      <c r="M320" s="15">
        <f>IF(L320&gt;Benchmark!$B$2,1,IF(L320&lt;-Benchmark!$B$2,5,3))</f>
        <v>5</v>
      </c>
      <c r="N320" s="3" t="s">
        <v>31</v>
      </c>
    </row>
    <row r="321" spans="1:14" x14ac:dyDescent="0.35">
      <c r="A321" s="11" t="s">
        <v>11</v>
      </c>
      <c r="B321" s="11" t="s">
        <v>471</v>
      </c>
      <c r="C321" s="11">
        <v>8</v>
      </c>
      <c r="D321" s="11">
        <v>2</v>
      </c>
      <c r="E321" s="11" t="s">
        <v>34</v>
      </c>
      <c r="F321" s="11" t="s">
        <v>54</v>
      </c>
      <c r="G321" s="12">
        <v>5.27</v>
      </c>
      <c r="H321" s="13">
        <v>103.18406072106259</v>
      </c>
      <c r="I321" s="11" t="s">
        <v>36</v>
      </c>
      <c r="J321" s="11" t="s">
        <v>37</v>
      </c>
      <c r="K321" s="7">
        <f>INDEX(Benchmark!$H$5:$H$807,MATCH(I321,Benchmark!$A$5:$A$807,0))</f>
        <v>135.18231292517009</v>
      </c>
      <c r="L321" s="14">
        <f t="shared" si="4"/>
        <v>-0.23670442909066125</v>
      </c>
      <c r="M321" s="15">
        <f>IF(L321&gt;Benchmark!$B$2,1,IF(L321&lt;-Benchmark!$B$2,5,3))</f>
        <v>5</v>
      </c>
      <c r="N321" s="3" t="s">
        <v>31</v>
      </c>
    </row>
    <row r="322" spans="1:14" x14ac:dyDescent="0.35">
      <c r="A322" s="11" t="s">
        <v>11</v>
      </c>
      <c r="B322" s="11" t="s">
        <v>472</v>
      </c>
      <c r="C322" s="11">
        <v>8</v>
      </c>
      <c r="D322" s="11">
        <v>2</v>
      </c>
      <c r="E322" s="11" t="s">
        <v>78</v>
      </c>
      <c r="F322" s="11" t="s">
        <v>196</v>
      </c>
      <c r="G322" s="12">
        <v>5.26</v>
      </c>
      <c r="H322" s="13">
        <v>83.870722433460088</v>
      </c>
      <c r="I322" s="11" t="s">
        <v>80</v>
      </c>
      <c r="J322" s="11" t="s">
        <v>37</v>
      </c>
      <c r="K322" s="7">
        <f>INDEX(Benchmark!$H$5:$H$807,MATCH(I322,Benchmark!$A$5:$A$807,0))</f>
        <v>110.9357798165138</v>
      </c>
      <c r="L322" s="14">
        <f t="shared" si="4"/>
        <v>-0.24397049741588273</v>
      </c>
      <c r="M322" s="15">
        <f>IF(L322&gt;Benchmark!$B$2,1,IF(L322&lt;-Benchmark!$B$2,5,3))</f>
        <v>5</v>
      </c>
      <c r="N322" s="3" t="s">
        <v>31</v>
      </c>
    </row>
    <row r="323" spans="1:14" x14ac:dyDescent="0.35">
      <c r="A323" s="11" t="s">
        <v>11</v>
      </c>
      <c r="B323" s="11" t="s">
        <v>473</v>
      </c>
      <c r="C323" s="11">
        <v>8</v>
      </c>
      <c r="D323" s="11">
        <v>11</v>
      </c>
      <c r="E323" s="11" t="s">
        <v>198</v>
      </c>
      <c r="F323" s="11" t="s">
        <v>364</v>
      </c>
      <c r="G323" s="12">
        <v>5.26</v>
      </c>
      <c r="H323" s="13">
        <v>39.136882129277573</v>
      </c>
      <c r="I323" s="11" t="s">
        <v>474</v>
      </c>
      <c r="J323" s="11" t="s">
        <v>30</v>
      </c>
      <c r="K323" s="7">
        <f>INDEX(Benchmark!$H$5:$H$807,MATCH(I323,Benchmark!$A$5:$A$807,0))</f>
        <v>87.310559006211165</v>
      </c>
      <c r="L323" s="14">
        <f t="shared" si="4"/>
        <v>-0.55175086982900401</v>
      </c>
      <c r="M323" s="15">
        <f>IF(L323&gt;Benchmark!$B$2,1,IF(L323&lt;-Benchmark!$B$2,5,3))</f>
        <v>5</v>
      </c>
      <c r="N323" s="3" t="s">
        <v>31</v>
      </c>
    </row>
    <row r="324" spans="1:14" x14ac:dyDescent="0.35">
      <c r="A324" s="11" t="s">
        <v>11</v>
      </c>
      <c r="B324" s="11" t="s">
        <v>475</v>
      </c>
      <c r="C324" s="11">
        <v>8</v>
      </c>
      <c r="D324" s="11">
        <v>5</v>
      </c>
      <c r="E324" s="11" t="s">
        <v>104</v>
      </c>
      <c r="F324" s="11" t="s">
        <v>93</v>
      </c>
      <c r="G324" s="12">
        <v>8</v>
      </c>
      <c r="H324" s="13">
        <v>54.39875</v>
      </c>
      <c r="I324" s="11" t="s">
        <v>179</v>
      </c>
      <c r="J324" s="11" t="s">
        <v>30</v>
      </c>
      <c r="K324" s="7">
        <f>INDEX(Benchmark!$H$5:$H$807,MATCH(I324,Benchmark!$A$5:$A$807,0))</f>
        <v>82.615094339622644</v>
      </c>
      <c r="L324" s="14">
        <f t="shared" si="4"/>
        <v>-0.34153981866349981</v>
      </c>
      <c r="M324" s="15">
        <f>IF(L324&gt;Benchmark!$B$2,1,IF(L324&lt;-Benchmark!$B$2,5,3))</f>
        <v>5</v>
      </c>
      <c r="N324" s="3" t="s">
        <v>31</v>
      </c>
    </row>
    <row r="325" spans="1:14" x14ac:dyDescent="0.35">
      <c r="A325" s="11" t="s">
        <v>11</v>
      </c>
      <c r="B325" s="11" t="s">
        <v>476</v>
      </c>
      <c r="C325" s="11">
        <v>8</v>
      </c>
      <c r="D325" s="11">
        <v>12</v>
      </c>
      <c r="E325" s="11" t="s">
        <v>198</v>
      </c>
      <c r="F325" s="11" t="s">
        <v>43</v>
      </c>
      <c r="G325" s="12">
        <v>5.92</v>
      </c>
      <c r="H325" s="13">
        <v>52.363175675675677</v>
      </c>
      <c r="I325" s="11" t="s">
        <v>199</v>
      </c>
      <c r="J325" s="11" t="s">
        <v>30</v>
      </c>
      <c r="K325" s="7">
        <f>INDEX(Benchmark!$H$5:$H$807,MATCH(I325,Benchmark!$A$5:$A$807,0))</f>
        <v>100.40672268907559</v>
      </c>
      <c r="L325" s="14">
        <f t="shared" ref="L325:L388" si="5">H325/K325-1</f>
        <v>-0.47848934540144217</v>
      </c>
      <c r="M325" s="15">
        <f>IF(L325&gt;Benchmark!$B$2,1,IF(L325&lt;-Benchmark!$B$2,5,3))</f>
        <v>5</v>
      </c>
      <c r="N325" s="3" t="s">
        <v>31</v>
      </c>
    </row>
    <row r="326" spans="1:14" x14ac:dyDescent="0.35">
      <c r="A326" s="11" t="s">
        <v>11</v>
      </c>
      <c r="B326" s="11" t="s">
        <v>477</v>
      </c>
      <c r="C326" s="11">
        <v>8</v>
      </c>
      <c r="D326" s="11">
        <v>7</v>
      </c>
      <c r="E326" s="11" t="s">
        <v>156</v>
      </c>
      <c r="F326" s="11" t="s">
        <v>43</v>
      </c>
      <c r="G326" s="12">
        <v>10.99</v>
      </c>
      <c r="H326" s="13">
        <v>81.749772520473158</v>
      </c>
      <c r="I326" s="11" t="s">
        <v>227</v>
      </c>
      <c r="J326" s="11" t="s">
        <v>30</v>
      </c>
      <c r="K326" s="7">
        <f>INDEX(Benchmark!$H$5:$H$807,MATCH(I326,Benchmark!$A$5:$A$807,0))</f>
        <v>106.9290263876251</v>
      </c>
      <c r="L326" s="14">
        <f t="shared" si="5"/>
        <v>-0.23547632217163761</v>
      </c>
      <c r="M326" s="15">
        <f>IF(L326&gt;Benchmark!$B$2,1,IF(L326&lt;-Benchmark!$B$2,5,3))</f>
        <v>5</v>
      </c>
      <c r="N326" s="3" t="s">
        <v>31</v>
      </c>
    </row>
    <row r="327" spans="1:14" x14ac:dyDescent="0.35">
      <c r="A327" s="11" t="s">
        <v>11</v>
      </c>
      <c r="B327" s="11" t="s">
        <v>478</v>
      </c>
      <c r="C327" s="11">
        <v>8</v>
      </c>
      <c r="D327" s="11">
        <v>4</v>
      </c>
      <c r="E327" s="11" t="s">
        <v>27</v>
      </c>
      <c r="F327" s="11" t="s">
        <v>479</v>
      </c>
      <c r="G327" s="12">
        <v>9.0399999999999991</v>
      </c>
      <c r="H327" s="13">
        <v>121.15154867256641</v>
      </c>
      <c r="I327" s="11" t="s">
        <v>480</v>
      </c>
      <c r="J327" s="11" t="s">
        <v>30</v>
      </c>
      <c r="K327" s="7">
        <f>INDEX(Benchmark!$H$5:$H$807,MATCH(I327,Benchmark!$A$5:$A$807,0))</f>
        <v>145.11619718309859</v>
      </c>
      <c r="L327" s="14">
        <f t="shared" si="5"/>
        <v>-0.16514110055058207</v>
      </c>
      <c r="M327" s="15">
        <f>IF(L327&gt;Benchmark!$B$2,1,IF(L327&lt;-Benchmark!$B$2,5,3))</f>
        <v>5</v>
      </c>
      <c r="N327" s="3" t="s">
        <v>31</v>
      </c>
    </row>
    <row r="328" spans="1:14" x14ac:dyDescent="0.35">
      <c r="A328" s="11" t="s">
        <v>11</v>
      </c>
      <c r="B328" s="11" t="s">
        <v>481</v>
      </c>
      <c r="C328" s="11">
        <v>8</v>
      </c>
      <c r="D328" s="11">
        <v>3</v>
      </c>
      <c r="E328" s="11" t="s">
        <v>88</v>
      </c>
      <c r="F328" s="11" t="s">
        <v>479</v>
      </c>
      <c r="G328" s="12">
        <v>5.72</v>
      </c>
      <c r="H328" s="13">
        <v>116.3776223776224</v>
      </c>
      <c r="I328" s="11" t="s">
        <v>218</v>
      </c>
      <c r="J328" s="11" t="s">
        <v>37</v>
      </c>
      <c r="K328" s="7">
        <f>INDEX(Benchmark!$H$5:$H$807,MATCH(I328,Benchmark!$A$5:$A$807,0))</f>
        <v>110.4166666666667</v>
      </c>
      <c r="L328" s="14">
        <f t="shared" si="5"/>
        <v>5.3986013986013992E-2</v>
      </c>
      <c r="M328" s="16">
        <f>IF(L328&gt;Benchmark!$B$2,1,IF(L328&lt;-Benchmark!$B$2,5,3))</f>
        <v>1</v>
      </c>
      <c r="N328" s="3" t="s">
        <v>31</v>
      </c>
    </row>
    <row r="329" spans="1:14" x14ac:dyDescent="0.35">
      <c r="A329" s="11" t="s">
        <v>11</v>
      </c>
      <c r="B329" s="11" t="s">
        <v>482</v>
      </c>
      <c r="C329" s="11">
        <v>8</v>
      </c>
      <c r="D329" s="11">
        <v>5</v>
      </c>
      <c r="E329" s="11" t="s">
        <v>27</v>
      </c>
      <c r="F329" s="11" t="s">
        <v>479</v>
      </c>
      <c r="G329" s="12">
        <v>8.52</v>
      </c>
      <c r="H329" s="13">
        <v>119.1467136150235</v>
      </c>
      <c r="I329" s="11" t="s">
        <v>480</v>
      </c>
      <c r="J329" s="11" t="s">
        <v>30</v>
      </c>
      <c r="K329" s="7">
        <f>INDEX(Benchmark!$H$5:$H$807,MATCH(I329,Benchmark!$A$5:$A$807,0))</f>
        <v>145.11619718309859</v>
      </c>
      <c r="L329" s="14">
        <f t="shared" si="5"/>
        <v>-0.17895647813392201</v>
      </c>
      <c r="M329" s="15">
        <f>IF(L329&gt;Benchmark!$B$2,1,IF(L329&lt;-Benchmark!$B$2,5,3))</f>
        <v>5</v>
      </c>
      <c r="N329" s="3" t="s">
        <v>31</v>
      </c>
    </row>
    <row r="330" spans="1:14" x14ac:dyDescent="0.35">
      <c r="A330" s="11" t="s">
        <v>11</v>
      </c>
      <c r="B330" s="11" t="s">
        <v>483</v>
      </c>
      <c r="C330" s="11">
        <v>8</v>
      </c>
      <c r="D330" s="11">
        <v>4</v>
      </c>
      <c r="E330" s="11" t="s">
        <v>48</v>
      </c>
      <c r="F330" s="11" t="s">
        <v>59</v>
      </c>
      <c r="G330" s="12">
        <v>14.44</v>
      </c>
      <c r="H330" s="13">
        <v>84.79986149584488</v>
      </c>
      <c r="I330" s="11" t="s">
        <v>484</v>
      </c>
      <c r="J330" s="11" t="s">
        <v>30</v>
      </c>
      <c r="K330" s="7">
        <f>INDEX(Benchmark!$H$5:$H$807,MATCH(I330,Benchmark!$A$5:$A$807,0))</f>
        <v>127.89353612167299</v>
      </c>
      <c r="L330" s="14">
        <f t="shared" si="5"/>
        <v>-0.33694959051589946</v>
      </c>
      <c r="M330" s="15">
        <f>IF(L330&gt;Benchmark!$B$2,1,IF(L330&lt;-Benchmark!$B$2,5,3))</f>
        <v>5</v>
      </c>
      <c r="N330" s="3" t="s">
        <v>31</v>
      </c>
    </row>
    <row r="331" spans="1:14" x14ac:dyDescent="0.35">
      <c r="A331" s="11" t="s">
        <v>11</v>
      </c>
      <c r="B331" s="11" t="s">
        <v>485</v>
      </c>
      <c r="C331" s="11">
        <v>8</v>
      </c>
      <c r="D331" s="11">
        <v>5</v>
      </c>
      <c r="E331" s="11" t="s">
        <v>34</v>
      </c>
      <c r="F331" s="11" t="s">
        <v>59</v>
      </c>
      <c r="G331" s="12">
        <v>12.37</v>
      </c>
      <c r="H331" s="13">
        <v>115.605497170574</v>
      </c>
      <c r="I331" s="11" t="s">
        <v>60</v>
      </c>
      <c r="J331" s="11" t="s">
        <v>30</v>
      </c>
      <c r="K331" s="7">
        <f>INDEX(Benchmark!$H$5:$H$807,MATCH(I331,Benchmark!$A$5:$A$807,0))</f>
        <v>161.8744075829384</v>
      </c>
      <c r="L331" s="14">
        <f t="shared" si="5"/>
        <v>-0.28583215285997532</v>
      </c>
      <c r="M331" s="15">
        <f>IF(L331&gt;Benchmark!$B$2,1,IF(L331&lt;-Benchmark!$B$2,5,3))</f>
        <v>5</v>
      </c>
      <c r="N331" s="3" t="s">
        <v>31</v>
      </c>
    </row>
    <row r="332" spans="1:14" x14ac:dyDescent="0.35">
      <c r="A332" s="11" t="s">
        <v>11</v>
      </c>
      <c r="B332" s="11" t="s">
        <v>486</v>
      </c>
      <c r="C332" s="11">
        <v>8</v>
      </c>
      <c r="D332" s="11">
        <v>3</v>
      </c>
      <c r="E332" s="11" t="s">
        <v>48</v>
      </c>
      <c r="F332" s="11" t="s">
        <v>59</v>
      </c>
      <c r="G332" s="12">
        <v>4.1500000000000004</v>
      </c>
      <c r="H332" s="13">
        <v>100.0698795180723</v>
      </c>
      <c r="I332" s="11" t="s">
        <v>484</v>
      </c>
      <c r="J332" s="11" t="s">
        <v>30</v>
      </c>
      <c r="K332" s="7">
        <f>INDEX(Benchmark!$H$5:$H$807,MATCH(I332,Benchmark!$A$5:$A$807,0))</f>
        <v>127.89353612167299</v>
      </c>
      <c r="L332" s="14">
        <f t="shared" si="5"/>
        <v>-0.21755326693860699</v>
      </c>
      <c r="M332" s="15">
        <f>IF(L332&gt;Benchmark!$B$2,1,IF(L332&lt;-Benchmark!$B$2,5,3))</f>
        <v>5</v>
      </c>
      <c r="N332" s="3" t="s">
        <v>31</v>
      </c>
    </row>
    <row r="333" spans="1:14" x14ac:dyDescent="0.35">
      <c r="A333" s="11" t="s">
        <v>11</v>
      </c>
      <c r="B333" s="11" t="s">
        <v>487</v>
      </c>
      <c r="C333" s="11">
        <v>8</v>
      </c>
      <c r="D333" s="11">
        <v>3</v>
      </c>
      <c r="E333" s="11" t="s">
        <v>48</v>
      </c>
      <c r="F333" s="11" t="s">
        <v>28</v>
      </c>
      <c r="G333" s="12">
        <v>1.02</v>
      </c>
      <c r="H333" s="13">
        <v>133.20588235294119</v>
      </c>
      <c r="I333" s="11" t="s">
        <v>232</v>
      </c>
      <c r="J333" s="11" t="s">
        <v>30</v>
      </c>
      <c r="K333" s="7">
        <f>INDEX(Benchmark!$H$5:$H$807,MATCH(I333,Benchmark!$A$5:$A$807,0))</f>
        <v>132.08750000000001</v>
      </c>
      <c r="L333" s="14">
        <f t="shared" si="5"/>
        <v>8.4669810007849122E-3</v>
      </c>
      <c r="M333" s="17">
        <f>IF(L333&gt;Benchmark!$B$2,1,IF(L333&lt;-Benchmark!$B$2,5,3))</f>
        <v>3</v>
      </c>
      <c r="N333" s="3" t="s">
        <v>31</v>
      </c>
    </row>
    <row r="334" spans="1:14" x14ac:dyDescent="0.35">
      <c r="A334" s="11" t="s">
        <v>11</v>
      </c>
      <c r="B334" s="11" t="s">
        <v>488</v>
      </c>
      <c r="C334" s="11">
        <v>8</v>
      </c>
      <c r="D334" s="11">
        <v>13</v>
      </c>
      <c r="E334" s="11" t="s">
        <v>489</v>
      </c>
      <c r="F334" s="11" t="s">
        <v>59</v>
      </c>
      <c r="G334" s="12">
        <v>1.95</v>
      </c>
      <c r="H334" s="13">
        <v>112.77948717948721</v>
      </c>
      <c r="I334" s="11" t="s">
        <v>490</v>
      </c>
      <c r="J334" s="11" t="s">
        <v>30</v>
      </c>
      <c r="K334" s="7">
        <f>INDEX(Benchmark!$H$5:$H$807,MATCH(I334,Benchmark!$A$5:$A$807,0))</f>
        <v>118.9701834862385</v>
      </c>
      <c r="L334" s="14">
        <f t="shared" si="5"/>
        <v>-5.2035696048727931E-2</v>
      </c>
      <c r="M334" s="15">
        <f>IF(L334&gt;Benchmark!$B$2,1,IF(L334&lt;-Benchmark!$B$2,5,3))</f>
        <v>5</v>
      </c>
      <c r="N334" s="3" t="s">
        <v>31</v>
      </c>
    </row>
    <row r="335" spans="1:14" x14ac:dyDescent="0.35">
      <c r="A335" s="11" t="s">
        <v>11</v>
      </c>
      <c r="B335" s="11" t="s">
        <v>491</v>
      </c>
      <c r="C335" s="11">
        <v>8</v>
      </c>
      <c r="D335" s="11">
        <v>3</v>
      </c>
      <c r="E335" s="11" t="s">
        <v>88</v>
      </c>
      <c r="F335" s="11" t="s">
        <v>186</v>
      </c>
      <c r="G335" s="12">
        <v>30.11</v>
      </c>
      <c r="H335" s="13">
        <v>84.206243772832948</v>
      </c>
      <c r="I335" s="11" t="s">
        <v>258</v>
      </c>
      <c r="J335" s="11" t="s">
        <v>30</v>
      </c>
      <c r="K335" s="7">
        <f>INDEX(Benchmark!$H$5:$H$807,MATCH(I335,Benchmark!$A$5:$A$807,0))</f>
        <v>107.4748001390337</v>
      </c>
      <c r="L335" s="14">
        <f t="shared" si="5"/>
        <v>-0.21650243904710331</v>
      </c>
      <c r="M335" s="15">
        <f>IF(L335&gt;Benchmark!$B$2,1,IF(L335&lt;-Benchmark!$B$2,5,3))</f>
        <v>5</v>
      </c>
      <c r="N335" s="3" t="s">
        <v>31</v>
      </c>
    </row>
    <row r="336" spans="1:14" x14ac:dyDescent="0.35">
      <c r="A336" s="11" t="s">
        <v>11</v>
      </c>
      <c r="B336" s="11" t="s">
        <v>492</v>
      </c>
      <c r="C336" s="11">
        <v>8</v>
      </c>
      <c r="D336" s="11">
        <v>5</v>
      </c>
      <c r="E336" s="11" t="s">
        <v>88</v>
      </c>
      <c r="F336" s="11" t="s">
        <v>93</v>
      </c>
      <c r="G336" s="12">
        <v>9.3000000000000007</v>
      </c>
      <c r="H336" s="13">
        <v>92.631182795698919</v>
      </c>
      <c r="I336" s="11" t="s">
        <v>173</v>
      </c>
      <c r="J336" s="11" t="s">
        <v>30</v>
      </c>
      <c r="K336" s="7">
        <f>INDEX(Benchmark!$H$5:$H$807,MATCH(I336,Benchmark!$A$5:$A$807,0))</f>
        <v>85.703225806451599</v>
      </c>
      <c r="L336" s="14">
        <f t="shared" si="5"/>
        <v>8.0836595402991263E-2</v>
      </c>
      <c r="M336" s="16">
        <f>IF(L336&gt;Benchmark!$B$2,1,IF(L336&lt;-Benchmark!$B$2,5,3))</f>
        <v>1</v>
      </c>
      <c r="N336" s="3" t="s">
        <v>31</v>
      </c>
    </row>
    <row r="337" spans="1:14" x14ac:dyDescent="0.35">
      <c r="A337" s="11" t="s">
        <v>11</v>
      </c>
      <c r="B337" s="11" t="s">
        <v>493</v>
      </c>
      <c r="C337" s="11">
        <v>8</v>
      </c>
      <c r="D337" s="11">
        <v>5</v>
      </c>
      <c r="E337" s="11" t="s">
        <v>27</v>
      </c>
      <c r="F337" s="11" t="s">
        <v>84</v>
      </c>
      <c r="G337" s="12">
        <v>26.42</v>
      </c>
      <c r="H337" s="13">
        <v>107.9814534443603</v>
      </c>
      <c r="I337" s="11" t="s">
        <v>154</v>
      </c>
      <c r="J337" s="11" t="s">
        <v>30</v>
      </c>
      <c r="K337" s="7">
        <f>INDEX(Benchmark!$H$5:$H$807,MATCH(I337,Benchmark!$A$5:$A$807,0))</f>
        <v>125.7999199629302</v>
      </c>
      <c r="L337" s="14">
        <f t="shared" si="5"/>
        <v>-0.14164131840322725</v>
      </c>
      <c r="M337" s="15">
        <f>IF(L337&gt;Benchmark!$B$2,1,IF(L337&lt;-Benchmark!$B$2,5,3))</f>
        <v>5</v>
      </c>
      <c r="N337" s="3" t="s">
        <v>31</v>
      </c>
    </row>
    <row r="338" spans="1:14" x14ac:dyDescent="0.35">
      <c r="A338" s="11" t="s">
        <v>11</v>
      </c>
      <c r="B338" s="11" t="s">
        <v>494</v>
      </c>
      <c r="C338" s="11">
        <v>8</v>
      </c>
      <c r="D338" s="11">
        <v>1</v>
      </c>
      <c r="E338" s="11" t="s">
        <v>27</v>
      </c>
      <c r="F338" s="11" t="s">
        <v>182</v>
      </c>
      <c r="G338" s="12">
        <v>6.08</v>
      </c>
      <c r="H338" s="13">
        <v>127.5065789473684</v>
      </c>
      <c r="I338" s="11" t="s">
        <v>144</v>
      </c>
      <c r="J338" s="11" t="s">
        <v>37</v>
      </c>
      <c r="K338" s="7">
        <f>INDEX(Benchmark!$H$5:$H$807,MATCH(I338,Benchmark!$A$5:$A$807,0))</f>
        <v>131.49167927382749</v>
      </c>
      <c r="L338" s="14">
        <f t="shared" si="5"/>
        <v>-3.0306863129797246E-2</v>
      </c>
      <c r="M338" s="17">
        <f>IF(L338&gt;Benchmark!$B$2,1,IF(L338&lt;-Benchmark!$B$2,5,3))</f>
        <v>3</v>
      </c>
      <c r="N338" s="3" t="s">
        <v>31</v>
      </c>
    </row>
    <row r="339" spans="1:14" x14ac:dyDescent="0.35">
      <c r="A339" s="11" t="s">
        <v>11</v>
      </c>
      <c r="B339" s="11" t="s">
        <v>495</v>
      </c>
      <c r="C339" s="11">
        <v>9</v>
      </c>
      <c r="D339" s="11">
        <v>2</v>
      </c>
      <c r="E339" s="11" t="s">
        <v>34</v>
      </c>
      <c r="F339" s="11" t="s">
        <v>28</v>
      </c>
      <c r="G339" s="12">
        <v>2.08</v>
      </c>
      <c r="H339" s="13">
        <v>109.5384615384615</v>
      </c>
      <c r="I339" s="11" t="s">
        <v>46</v>
      </c>
      <c r="J339" s="11" t="s">
        <v>30</v>
      </c>
      <c r="K339" s="7">
        <f>INDEX(Benchmark!$H$5:$H$807,MATCH(I339,Benchmark!$A$5:$A$807,0))</f>
        <v>132.55534709193239</v>
      </c>
      <c r="L339" s="14">
        <f t="shared" si="5"/>
        <v>-0.17363981203646028</v>
      </c>
      <c r="M339" s="15">
        <f>IF(L339&gt;Benchmark!$B$2,1,IF(L339&lt;-Benchmark!$B$2,5,3))</f>
        <v>5</v>
      </c>
      <c r="N339" s="3" t="s">
        <v>31</v>
      </c>
    </row>
    <row r="340" spans="1:14" x14ac:dyDescent="0.35">
      <c r="A340" s="11" t="s">
        <v>11</v>
      </c>
      <c r="B340" s="11" t="s">
        <v>496</v>
      </c>
      <c r="C340" s="11">
        <v>9</v>
      </c>
      <c r="D340" s="11">
        <v>4</v>
      </c>
      <c r="E340" s="11" t="s">
        <v>48</v>
      </c>
      <c r="F340" s="11" t="s">
        <v>54</v>
      </c>
      <c r="G340" s="12">
        <v>8.6300000000000008</v>
      </c>
      <c r="H340" s="13">
        <v>89.753186558516802</v>
      </c>
      <c r="I340" s="11" t="s">
        <v>74</v>
      </c>
      <c r="J340" s="11" t="s">
        <v>37</v>
      </c>
      <c r="K340" s="7">
        <f>INDEX(Benchmark!$H$5:$H$807,MATCH(I340,Benchmark!$A$5:$A$807,0))</f>
        <v>131.10214067278289</v>
      </c>
      <c r="L340" s="14">
        <f t="shared" si="5"/>
        <v>-0.31539495771826276</v>
      </c>
      <c r="M340" s="15">
        <f>IF(L340&gt;Benchmark!$B$2,1,IF(L340&lt;-Benchmark!$B$2,5,3))</f>
        <v>5</v>
      </c>
      <c r="N340" s="3" t="s">
        <v>31</v>
      </c>
    </row>
    <row r="341" spans="1:14" x14ac:dyDescent="0.35">
      <c r="A341" s="11" t="s">
        <v>11</v>
      </c>
      <c r="B341" s="11" t="s">
        <v>497</v>
      </c>
      <c r="C341" s="11">
        <v>9</v>
      </c>
      <c r="D341" s="11">
        <v>4</v>
      </c>
      <c r="E341" s="11" t="s">
        <v>48</v>
      </c>
      <c r="F341" s="11" t="s">
        <v>62</v>
      </c>
      <c r="G341" s="12">
        <v>10.91</v>
      </c>
      <c r="H341" s="13">
        <v>98.310724106324471</v>
      </c>
      <c r="I341" s="11" t="s">
        <v>63</v>
      </c>
      <c r="J341" s="11" t="s">
        <v>30</v>
      </c>
      <c r="K341" s="7">
        <f>INDEX(Benchmark!$H$5:$H$807,MATCH(I341,Benchmark!$A$5:$A$807,0))</f>
        <v>137.65788021464641</v>
      </c>
      <c r="L341" s="14">
        <f t="shared" si="5"/>
        <v>-0.28583293631261009</v>
      </c>
      <c r="M341" s="15">
        <f>IF(L341&gt;Benchmark!$B$2,1,IF(L341&lt;-Benchmark!$B$2,5,3))</f>
        <v>5</v>
      </c>
      <c r="N341" s="3" t="s">
        <v>31</v>
      </c>
    </row>
    <row r="342" spans="1:14" x14ac:dyDescent="0.35">
      <c r="A342" s="11" t="s">
        <v>11</v>
      </c>
      <c r="B342" s="11" t="s">
        <v>498</v>
      </c>
      <c r="C342" s="11">
        <v>9</v>
      </c>
      <c r="D342" s="11">
        <v>4</v>
      </c>
      <c r="E342" s="11" t="s">
        <v>34</v>
      </c>
      <c r="F342" s="11" t="s">
        <v>499</v>
      </c>
      <c r="G342" s="12">
        <v>7.35</v>
      </c>
      <c r="H342" s="13">
        <v>119.07755102040819</v>
      </c>
      <c r="I342" s="11" t="s">
        <v>36</v>
      </c>
      <c r="J342" s="11" t="s">
        <v>37</v>
      </c>
      <c r="K342" s="7">
        <f>INDEX(Benchmark!$H$5:$H$807,MATCH(I342,Benchmark!$A$5:$A$807,0))</f>
        <v>135.18231292517009</v>
      </c>
      <c r="L342" s="14">
        <f t="shared" si="5"/>
        <v>-0.11913364667518789</v>
      </c>
      <c r="M342" s="15">
        <f>IF(L342&gt;Benchmark!$B$2,1,IF(L342&lt;-Benchmark!$B$2,5,3))</f>
        <v>5</v>
      </c>
      <c r="N342" s="3" t="s">
        <v>31</v>
      </c>
    </row>
    <row r="343" spans="1:14" x14ac:dyDescent="0.35">
      <c r="A343" s="11" t="s">
        <v>11</v>
      </c>
      <c r="B343" s="11" t="s">
        <v>500</v>
      </c>
      <c r="C343" s="11">
        <v>9</v>
      </c>
      <c r="D343" s="11">
        <v>4</v>
      </c>
      <c r="E343" s="11" t="s">
        <v>48</v>
      </c>
      <c r="F343" s="11" t="s">
        <v>499</v>
      </c>
      <c r="G343" s="12">
        <v>5.43</v>
      </c>
      <c r="H343" s="13">
        <v>93.163904235727443</v>
      </c>
      <c r="I343" s="11" t="s">
        <v>74</v>
      </c>
      <c r="J343" s="11" t="s">
        <v>37</v>
      </c>
      <c r="K343" s="7">
        <f>INDEX(Benchmark!$H$5:$H$807,MATCH(I343,Benchmark!$A$5:$A$807,0))</f>
        <v>131.10214067278289</v>
      </c>
      <c r="L343" s="14">
        <f t="shared" si="5"/>
        <v>-0.28937922937311367</v>
      </c>
      <c r="M343" s="15">
        <f>IF(L343&gt;Benchmark!$B$2,1,IF(L343&lt;-Benchmark!$B$2,5,3))</f>
        <v>5</v>
      </c>
      <c r="N343" s="3" t="s">
        <v>31</v>
      </c>
    </row>
    <row r="344" spans="1:14" x14ac:dyDescent="0.35">
      <c r="A344" s="11" t="s">
        <v>11</v>
      </c>
      <c r="B344" s="11" t="s">
        <v>501</v>
      </c>
      <c r="C344" s="11">
        <v>9</v>
      </c>
      <c r="D344" s="11">
        <v>4</v>
      </c>
      <c r="E344" s="11" t="s">
        <v>48</v>
      </c>
      <c r="F344" s="11" t="s">
        <v>502</v>
      </c>
      <c r="G344" s="12">
        <v>19.03</v>
      </c>
      <c r="H344" s="13">
        <v>94.08985811875985</v>
      </c>
      <c r="I344" s="11" t="s">
        <v>74</v>
      </c>
      <c r="J344" s="11" t="s">
        <v>37</v>
      </c>
      <c r="K344" s="7">
        <f>INDEX(Benchmark!$H$5:$H$807,MATCH(I344,Benchmark!$A$5:$A$807,0))</f>
        <v>131.10214067278289</v>
      </c>
      <c r="L344" s="14">
        <f t="shared" si="5"/>
        <v>-0.2823163860184541</v>
      </c>
      <c r="M344" s="15">
        <f>IF(L344&gt;Benchmark!$B$2,1,IF(L344&lt;-Benchmark!$B$2,5,3))</f>
        <v>5</v>
      </c>
      <c r="N344" s="3" t="s">
        <v>31</v>
      </c>
    </row>
    <row r="345" spans="1:14" x14ac:dyDescent="0.35">
      <c r="A345" s="11" t="s">
        <v>11</v>
      </c>
      <c r="B345" s="11" t="s">
        <v>503</v>
      </c>
      <c r="C345" s="11">
        <v>9</v>
      </c>
      <c r="D345" s="11">
        <v>1</v>
      </c>
      <c r="E345" s="11" t="s">
        <v>78</v>
      </c>
      <c r="F345" s="11" t="s">
        <v>39</v>
      </c>
      <c r="G345" s="12">
        <v>4.47</v>
      </c>
      <c r="H345" s="13">
        <v>107.39597315436239</v>
      </c>
      <c r="I345" s="11" t="s">
        <v>80</v>
      </c>
      <c r="J345" s="11" t="s">
        <v>37</v>
      </c>
      <c r="K345" s="7">
        <f>INDEX(Benchmark!$H$5:$H$807,MATCH(I345,Benchmark!$A$5:$A$807,0))</f>
        <v>110.9357798165138</v>
      </c>
      <c r="L345" s="14">
        <f t="shared" si="5"/>
        <v>-3.1908611162297595E-2</v>
      </c>
      <c r="M345" s="17">
        <f>IF(L345&gt;Benchmark!$B$2,1,IF(L345&lt;-Benchmark!$B$2,5,3))</f>
        <v>3</v>
      </c>
      <c r="N345" s="3" t="s">
        <v>31</v>
      </c>
    </row>
    <row r="346" spans="1:14" x14ac:dyDescent="0.35">
      <c r="A346" s="11" t="s">
        <v>11</v>
      </c>
      <c r="B346" s="11" t="s">
        <v>504</v>
      </c>
      <c r="C346" s="11">
        <v>9</v>
      </c>
      <c r="D346" s="11">
        <v>4</v>
      </c>
      <c r="E346" s="11" t="s">
        <v>34</v>
      </c>
      <c r="F346" s="11" t="s">
        <v>39</v>
      </c>
      <c r="G346" s="12">
        <v>6.13</v>
      </c>
      <c r="H346" s="13">
        <v>111.4241435562806</v>
      </c>
      <c r="I346" s="11" t="s">
        <v>51</v>
      </c>
      <c r="J346" s="11" t="s">
        <v>30</v>
      </c>
      <c r="K346" s="7">
        <f>INDEX(Benchmark!$H$5:$H$807,MATCH(I346,Benchmark!$A$5:$A$807,0))</f>
        <v>134.7097020626432</v>
      </c>
      <c r="L346" s="14">
        <f t="shared" si="5"/>
        <v>-0.17285732319068059</v>
      </c>
      <c r="M346" s="15">
        <f>IF(L346&gt;Benchmark!$B$2,1,IF(L346&lt;-Benchmark!$B$2,5,3))</f>
        <v>5</v>
      </c>
      <c r="N346" s="3" t="s">
        <v>31</v>
      </c>
    </row>
    <row r="347" spans="1:14" x14ac:dyDescent="0.35">
      <c r="A347" s="11" t="s">
        <v>11</v>
      </c>
      <c r="B347" s="11" t="s">
        <v>505</v>
      </c>
      <c r="C347" s="11">
        <v>9</v>
      </c>
      <c r="D347" s="11">
        <v>4</v>
      </c>
      <c r="E347" s="11" t="s">
        <v>27</v>
      </c>
      <c r="F347" s="11" t="s">
        <v>39</v>
      </c>
      <c r="G347" s="12">
        <v>6.62</v>
      </c>
      <c r="H347" s="13">
        <v>122.7613293051359</v>
      </c>
      <c r="I347" s="11" t="s">
        <v>40</v>
      </c>
      <c r="J347" s="11" t="s">
        <v>30</v>
      </c>
      <c r="K347" s="7">
        <f>INDEX(Benchmark!$H$5:$H$807,MATCH(I347,Benchmark!$A$5:$A$807,0))</f>
        <v>132.44401544401541</v>
      </c>
      <c r="L347" s="14">
        <f t="shared" si="5"/>
        <v>-7.3107766375238081E-2</v>
      </c>
      <c r="M347" s="15">
        <f>IF(L347&gt;Benchmark!$B$2,1,IF(L347&lt;-Benchmark!$B$2,5,3))</f>
        <v>5</v>
      </c>
      <c r="N347" s="3" t="s">
        <v>31</v>
      </c>
    </row>
    <row r="348" spans="1:14" x14ac:dyDescent="0.35">
      <c r="A348" s="11" t="s">
        <v>11</v>
      </c>
      <c r="B348" s="11" t="s">
        <v>506</v>
      </c>
      <c r="C348" s="11">
        <v>9</v>
      </c>
      <c r="D348" s="11">
        <v>7</v>
      </c>
      <c r="E348" s="11" t="s">
        <v>88</v>
      </c>
      <c r="F348" s="11" t="s">
        <v>39</v>
      </c>
      <c r="G348" s="12">
        <v>18.940000000000001</v>
      </c>
      <c r="H348" s="13">
        <v>109.94720168954591</v>
      </c>
      <c r="I348" s="11" t="s">
        <v>140</v>
      </c>
      <c r="J348" s="11" t="s">
        <v>30</v>
      </c>
      <c r="K348" s="7">
        <f>INDEX(Benchmark!$H$5:$H$807,MATCH(I348,Benchmark!$A$5:$A$807,0))</f>
        <v>121.38787286830549</v>
      </c>
      <c r="L348" s="14">
        <f t="shared" si="5"/>
        <v>-9.4248880950172365E-2</v>
      </c>
      <c r="M348" s="15">
        <f>IF(L348&gt;Benchmark!$B$2,1,IF(L348&lt;-Benchmark!$B$2,5,3))</f>
        <v>5</v>
      </c>
      <c r="N348" s="3" t="s">
        <v>31</v>
      </c>
    </row>
    <row r="349" spans="1:14" x14ac:dyDescent="0.35">
      <c r="A349" s="11" t="s">
        <v>11</v>
      </c>
      <c r="B349" s="11" t="s">
        <v>507</v>
      </c>
      <c r="C349" s="11">
        <v>9</v>
      </c>
      <c r="D349" s="11">
        <v>2</v>
      </c>
      <c r="E349" s="11" t="s">
        <v>34</v>
      </c>
      <c r="F349" s="11" t="s">
        <v>39</v>
      </c>
      <c r="G349" s="12">
        <v>6.39</v>
      </c>
      <c r="H349" s="13">
        <v>121.78873239436621</v>
      </c>
      <c r="I349" s="11" t="s">
        <v>51</v>
      </c>
      <c r="J349" s="11" t="s">
        <v>30</v>
      </c>
      <c r="K349" s="7">
        <f>INDEX(Benchmark!$H$5:$H$807,MATCH(I349,Benchmark!$A$5:$A$807,0))</f>
        <v>134.7097020626432</v>
      </c>
      <c r="L349" s="14">
        <f t="shared" si="5"/>
        <v>-9.5917142347092699E-2</v>
      </c>
      <c r="M349" s="15">
        <f>IF(L349&gt;Benchmark!$B$2,1,IF(L349&lt;-Benchmark!$B$2,5,3))</f>
        <v>5</v>
      </c>
      <c r="N349" s="3" t="s">
        <v>31</v>
      </c>
    </row>
    <row r="350" spans="1:14" x14ac:dyDescent="0.35">
      <c r="A350" s="11" t="s">
        <v>11</v>
      </c>
      <c r="B350" s="11" t="s">
        <v>508</v>
      </c>
      <c r="C350" s="11">
        <v>9</v>
      </c>
      <c r="D350" s="11">
        <v>4</v>
      </c>
      <c r="E350" s="11" t="s">
        <v>34</v>
      </c>
      <c r="F350" s="11" t="s">
        <v>39</v>
      </c>
      <c r="G350" s="12">
        <v>20.62</v>
      </c>
      <c r="H350" s="13">
        <v>102.94131910766249</v>
      </c>
      <c r="I350" s="11" t="s">
        <v>51</v>
      </c>
      <c r="J350" s="11" t="s">
        <v>30</v>
      </c>
      <c r="K350" s="7">
        <f>INDEX(Benchmark!$H$5:$H$807,MATCH(I350,Benchmark!$A$5:$A$807,0))</f>
        <v>134.7097020626432</v>
      </c>
      <c r="L350" s="14">
        <f t="shared" si="5"/>
        <v>-0.23582847017364539</v>
      </c>
      <c r="M350" s="15">
        <f>IF(L350&gt;Benchmark!$B$2,1,IF(L350&lt;-Benchmark!$B$2,5,3))</f>
        <v>5</v>
      </c>
      <c r="N350" s="3" t="s">
        <v>31</v>
      </c>
    </row>
    <row r="351" spans="1:14" x14ac:dyDescent="0.35">
      <c r="A351" s="11" t="s">
        <v>11</v>
      </c>
      <c r="B351" s="11" t="s">
        <v>509</v>
      </c>
      <c r="C351" s="11">
        <v>9</v>
      </c>
      <c r="D351" s="11">
        <v>3</v>
      </c>
      <c r="E351" s="11" t="s">
        <v>48</v>
      </c>
      <c r="F351" s="11" t="s">
        <v>39</v>
      </c>
      <c r="G351" s="12">
        <v>12.84</v>
      </c>
      <c r="H351" s="13">
        <v>96.162772585669785</v>
      </c>
      <c r="I351" s="11" t="s">
        <v>49</v>
      </c>
      <c r="J351" s="11" t="s">
        <v>30</v>
      </c>
      <c r="K351" s="7">
        <f>INDEX(Benchmark!$H$5:$H$807,MATCH(I351,Benchmark!$A$5:$A$807,0))</f>
        <v>132.03967168262659</v>
      </c>
      <c r="L351" s="14">
        <f t="shared" si="5"/>
        <v>-0.27171302866604585</v>
      </c>
      <c r="M351" s="15">
        <f>IF(L351&gt;Benchmark!$B$2,1,IF(L351&lt;-Benchmark!$B$2,5,3))</f>
        <v>5</v>
      </c>
      <c r="N351" s="3" t="s">
        <v>31</v>
      </c>
    </row>
    <row r="352" spans="1:14" x14ac:dyDescent="0.35">
      <c r="A352" s="11" t="s">
        <v>11</v>
      </c>
      <c r="B352" s="11" t="s">
        <v>510</v>
      </c>
      <c r="C352" s="11">
        <v>9</v>
      </c>
      <c r="D352" s="11">
        <v>3</v>
      </c>
      <c r="E352" s="11" t="s">
        <v>27</v>
      </c>
      <c r="F352" s="11" t="s">
        <v>39</v>
      </c>
      <c r="G352" s="12">
        <v>10.66</v>
      </c>
      <c r="H352" s="13">
        <v>142.56472795497189</v>
      </c>
      <c r="I352" s="11" t="s">
        <v>40</v>
      </c>
      <c r="J352" s="11" t="s">
        <v>30</v>
      </c>
      <c r="K352" s="7">
        <f>INDEX(Benchmark!$H$5:$H$807,MATCH(I352,Benchmark!$A$5:$A$807,0))</f>
        <v>132.44401544401541</v>
      </c>
      <c r="L352" s="14">
        <f t="shared" si="5"/>
        <v>7.6415023185661068E-2</v>
      </c>
      <c r="M352" s="16">
        <f>IF(L352&gt;Benchmark!$B$2,1,IF(L352&lt;-Benchmark!$B$2,5,3))</f>
        <v>1</v>
      </c>
      <c r="N352" s="3" t="s">
        <v>31</v>
      </c>
    </row>
    <row r="353" spans="1:14" x14ac:dyDescent="0.35">
      <c r="A353" s="11" t="s">
        <v>11</v>
      </c>
      <c r="B353" s="11" t="s">
        <v>511</v>
      </c>
      <c r="C353" s="11">
        <v>9</v>
      </c>
      <c r="D353" s="11">
        <v>2</v>
      </c>
      <c r="E353" s="11" t="s">
        <v>34</v>
      </c>
      <c r="F353" s="11" t="s">
        <v>35</v>
      </c>
      <c r="G353" s="12">
        <v>12.89</v>
      </c>
      <c r="H353" s="13">
        <v>121.8161365399534</v>
      </c>
      <c r="I353" s="11" t="s">
        <v>36</v>
      </c>
      <c r="J353" s="11" t="s">
        <v>37</v>
      </c>
      <c r="K353" s="7">
        <f>INDEX(Benchmark!$H$5:$H$807,MATCH(I353,Benchmark!$A$5:$A$807,0))</f>
        <v>135.18231292517009</v>
      </c>
      <c r="L353" s="14">
        <f t="shared" si="5"/>
        <v>-9.8875186376012891E-2</v>
      </c>
      <c r="M353" s="15">
        <f>IF(L353&gt;Benchmark!$B$2,1,IF(L353&lt;-Benchmark!$B$2,5,3))</f>
        <v>5</v>
      </c>
      <c r="N353" s="3" t="s">
        <v>31</v>
      </c>
    </row>
    <row r="354" spans="1:14" x14ac:dyDescent="0.35">
      <c r="A354" s="11" t="s">
        <v>11</v>
      </c>
      <c r="B354" s="11" t="s">
        <v>512</v>
      </c>
      <c r="C354" s="11">
        <v>9</v>
      </c>
      <c r="D354" s="11">
        <v>3</v>
      </c>
      <c r="E354" s="11" t="s">
        <v>48</v>
      </c>
      <c r="F354" s="11" t="s">
        <v>435</v>
      </c>
      <c r="G354" s="12">
        <v>9.0500000000000007</v>
      </c>
      <c r="H354" s="13">
        <v>87.372375690607726</v>
      </c>
      <c r="I354" s="11" t="s">
        <v>74</v>
      </c>
      <c r="J354" s="11" t="s">
        <v>37</v>
      </c>
      <c r="K354" s="7">
        <f>INDEX(Benchmark!$H$5:$H$807,MATCH(I354,Benchmark!$A$5:$A$807,0))</f>
        <v>131.10214067278289</v>
      </c>
      <c r="L354" s="14">
        <f t="shared" si="5"/>
        <v>-0.33355492715652946</v>
      </c>
      <c r="M354" s="15">
        <f>IF(L354&gt;Benchmark!$B$2,1,IF(L354&lt;-Benchmark!$B$2,5,3))</f>
        <v>5</v>
      </c>
      <c r="N354" s="3" t="s">
        <v>31</v>
      </c>
    </row>
    <row r="355" spans="1:14" x14ac:dyDescent="0.35">
      <c r="A355" s="11" t="s">
        <v>11</v>
      </c>
      <c r="B355" s="11" t="s">
        <v>513</v>
      </c>
      <c r="C355" s="11">
        <v>9</v>
      </c>
      <c r="D355" s="11">
        <v>2</v>
      </c>
      <c r="E355" s="11" t="s">
        <v>34</v>
      </c>
      <c r="F355" s="11" t="s">
        <v>84</v>
      </c>
      <c r="G355" s="12">
        <v>7.15</v>
      </c>
      <c r="H355" s="13">
        <v>146.85454545454539</v>
      </c>
      <c r="I355" s="11" t="s">
        <v>96</v>
      </c>
      <c r="J355" s="11" t="s">
        <v>30</v>
      </c>
      <c r="K355" s="7">
        <f>INDEX(Benchmark!$H$5:$H$807,MATCH(I355,Benchmark!$A$5:$A$807,0))</f>
        <v>126.5322222222222</v>
      </c>
      <c r="L355" s="14">
        <f t="shared" si="5"/>
        <v>0.16060986581451253</v>
      </c>
      <c r="M355" s="16">
        <f>IF(L355&gt;Benchmark!$B$2,1,IF(L355&lt;-Benchmark!$B$2,5,3))</f>
        <v>1</v>
      </c>
      <c r="N355" s="3" t="s">
        <v>31</v>
      </c>
    </row>
    <row r="356" spans="1:14" x14ac:dyDescent="0.35">
      <c r="A356" s="11" t="s">
        <v>11</v>
      </c>
      <c r="B356" s="11" t="s">
        <v>514</v>
      </c>
      <c r="C356" s="11">
        <v>9</v>
      </c>
      <c r="D356" s="11">
        <v>3</v>
      </c>
      <c r="E356" s="11" t="s">
        <v>27</v>
      </c>
      <c r="F356" s="11" t="s">
        <v>186</v>
      </c>
      <c r="G356" s="12">
        <v>6.9</v>
      </c>
      <c r="H356" s="13">
        <v>127.97391304347821</v>
      </c>
      <c r="I356" s="11" t="s">
        <v>515</v>
      </c>
      <c r="J356" s="11" t="s">
        <v>30</v>
      </c>
      <c r="K356" s="7">
        <f>INDEX(Benchmark!$H$5:$H$807,MATCH(I356,Benchmark!$A$5:$A$807,0))</f>
        <v>138.46153846153851</v>
      </c>
      <c r="L356" s="14">
        <f t="shared" si="5"/>
        <v>-7.5743961352657707E-2</v>
      </c>
      <c r="M356" s="15">
        <f>IF(L356&gt;Benchmark!$B$2,1,IF(L356&lt;-Benchmark!$B$2,5,3))</f>
        <v>5</v>
      </c>
      <c r="N356" s="3" t="s">
        <v>31</v>
      </c>
    </row>
    <row r="357" spans="1:14" x14ac:dyDescent="0.35">
      <c r="A357" s="11" t="s">
        <v>11</v>
      </c>
      <c r="B357" s="11" t="s">
        <v>516</v>
      </c>
      <c r="C357" s="11">
        <v>9</v>
      </c>
      <c r="D357" s="11">
        <v>2</v>
      </c>
      <c r="E357" s="11" t="s">
        <v>88</v>
      </c>
      <c r="F357" s="11" t="s">
        <v>73</v>
      </c>
      <c r="G357" s="12">
        <v>1.19</v>
      </c>
      <c r="H357" s="13">
        <v>98.890756302521012</v>
      </c>
      <c r="I357" s="11" t="s">
        <v>218</v>
      </c>
      <c r="J357" s="11" t="s">
        <v>37</v>
      </c>
      <c r="K357" s="7">
        <f>INDEX(Benchmark!$H$5:$H$807,MATCH(I357,Benchmark!$A$5:$A$807,0))</f>
        <v>110.4166666666667</v>
      </c>
      <c r="L357" s="14">
        <f t="shared" si="5"/>
        <v>-0.10438560329792312</v>
      </c>
      <c r="M357" s="15">
        <f>IF(L357&gt;Benchmark!$B$2,1,IF(L357&lt;-Benchmark!$B$2,5,3))</f>
        <v>5</v>
      </c>
      <c r="N357" s="3" t="s">
        <v>31</v>
      </c>
    </row>
    <row r="358" spans="1:14" x14ac:dyDescent="0.35">
      <c r="A358" s="11" t="s">
        <v>11</v>
      </c>
      <c r="B358" s="11" t="s">
        <v>517</v>
      </c>
      <c r="C358" s="11">
        <v>9</v>
      </c>
      <c r="D358" s="11">
        <v>1</v>
      </c>
      <c r="E358" s="11" t="s">
        <v>27</v>
      </c>
      <c r="F358" s="11" t="s">
        <v>28</v>
      </c>
      <c r="G358" s="12">
        <v>9.6</v>
      </c>
      <c r="H358" s="13">
        <v>103.4427083333333</v>
      </c>
      <c r="I358" s="11" t="s">
        <v>29</v>
      </c>
      <c r="J358" s="11" t="s">
        <v>30</v>
      </c>
      <c r="K358" s="7">
        <f>INDEX(Benchmark!$H$5:$H$807,MATCH(I358,Benchmark!$A$5:$A$807,0))</f>
        <v>129.66292797447881</v>
      </c>
      <c r="L358" s="14">
        <f t="shared" si="5"/>
        <v>-0.20221832138717677</v>
      </c>
      <c r="M358" s="15">
        <f>IF(L358&gt;Benchmark!$B$2,1,IF(L358&lt;-Benchmark!$B$2,5,3))</f>
        <v>5</v>
      </c>
      <c r="N358" s="3" t="s">
        <v>31</v>
      </c>
    </row>
    <row r="359" spans="1:14" x14ac:dyDescent="0.35">
      <c r="A359" s="11" t="s">
        <v>11</v>
      </c>
      <c r="B359" s="11" t="s">
        <v>518</v>
      </c>
      <c r="C359" s="11">
        <v>9</v>
      </c>
      <c r="D359" s="11">
        <v>4</v>
      </c>
      <c r="E359" s="11" t="s">
        <v>88</v>
      </c>
      <c r="F359" s="11" t="s">
        <v>28</v>
      </c>
      <c r="G359" s="12">
        <v>18.64</v>
      </c>
      <c r="H359" s="13">
        <v>109.0273605150215</v>
      </c>
      <c r="I359" s="11" t="s">
        <v>164</v>
      </c>
      <c r="J359" s="11" t="s">
        <v>30</v>
      </c>
      <c r="K359" s="7">
        <f>INDEX(Benchmark!$H$5:$H$807,MATCH(I359,Benchmark!$A$5:$A$807,0))</f>
        <v>119.49786485666441</v>
      </c>
      <c r="L359" s="14">
        <f t="shared" si="5"/>
        <v>-8.7620848742377855E-2</v>
      </c>
      <c r="M359" s="15">
        <f>IF(L359&gt;Benchmark!$B$2,1,IF(L359&lt;-Benchmark!$B$2,5,3))</f>
        <v>5</v>
      </c>
      <c r="N359" s="3" t="s">
        <v>31</v>
      </c>
    </row>
    <row r="360" spans="1:14" x14ac:dyDescent="0.35">
      <c r="A360" s="11" t="s">
        <v>11</v>
      </c>
      <c r="B360" s="11" t="s">
        <v>519</v>
      </c>
      <c r="C360" s="11">
        <v>9</v>
      </c>
      <c r="D360" s="11">
        <v>5</v>
      </c>
      <c r="E360" s="11" t="s">
        <v>104</v>
      </c>
      <c r="F360" s="11" t="s">
        <v>28</v>
      </c>
      <c r="G360" s="12">
        <v>4.95</v>
      </c>
      <c r="H360" s="13">
        <v>101.8080808080808</v>
      </c>
      <c r="I360" s="11" t="s">
        <v>520</v>
      </c>
      <c r="J360" s="11" t="s">
        <v>30</v>
      </c>
      <c r="K360" s="7">
        <f>INDEX(Benchmark!$H$5:$H$807,MATCH(I360,Benchmark!$A$5:$A$807,0))</f>
        <v>102.58217893217891</v>
      </c>
      <c r="L360" s="14">
        <f t="shared" si="5"/>
        <v>-7.5461267459515646E-3</v>
      </c>
      <c r="M360" s="17">
        <f>IF(L360&gt;Benchmark!$B$2,1,IF(L360&lt;-Benchmark!$B$2,5,3))</f>
        <v>3</v>
      </c>
      <c r="N360" s="3" t="s">
        <v>31</v>
      </c>
    </row>
    <row r="361" spans="1:14" x14ac:dyDescent="0.35">
      <c r="A361" s="11" t="s">
        <v>11</v>
      </c>
      <c r="B361" s="11" t="s">
        <v>521</v>
      </c>
      <c r="C361" s="11">
        <v>9</v>
      </c>
      <c r="D361" s="11">
        <v>7</v>
      </c>
      <c r="E361" s="11" t="s">
        <v>27</v>
      </c>
      <c r="F361" s="11" t="s">
        <v>89</v>
      </c>
      <c r="G361" s="12">
        <v>16.43</v>
      </c>
      <c r="H361" s="13">
        <v>128.09860012172851</v>
      </c>
      <c r="I361" s="11" t="s">
        <v>522</v>
      </c>
      <c r="J361" s="11" t="s">
        <v>30</v>
      </c>
      <c r="K361" s="7">
        <f>INDEX(Benchmark!$H$5:$H$807,MATCH(I361,Benchmark!$A$5:$A$807,0))</f>
        <v>161.39531345100431</v>
      </c>
      <c r="L361" s="14">
        <f t="shared" si="5"/>
        <v>-0.20630532954963332</v>
      </c>
      <c r="M361" s="15">
        <f>IF(L361&gt;Benchmark!$B$2,1,IF(L361&lt;-Benchmark!$B$2,5,3))</f>
        <v>5</v>
      </c>
      <c r="N361" s="3" t="s">
        <v>31</v>
      </c>
    </row>
    <row r="362" spans="1:14" x14ac:dyDescent="0.35">
      <c r="A362" s="11" t="s">
        <v>11</v>
      </c>
      <c r="B362" s="11" t="s">
        <v>523</v>
      </c>
      <c r="C362" s="11">
        <v>9</v>
      </c>
      <c r="D362" s="11">
        <v>2</v>
      </c>
      <c r="E362" s="11" t="s">
        <v>88</v>
      </c>
      <c r="F362" s="11" t="s">
        <v>524</v>
      </c>
      <c r="G362" s="12">
        <v>15.97</v>
      </c>
      <c r="H362" s="13">
        <v>129.92298058860359</v>
      </c>
      <c r="I362" s="11" t="s">
        <v>218</v>
      </c>
      <c r="J362" s="11" t="s">
        <v>37</v>
      </c>
      <c r="K362" s="7">
        <f>INDEX(Benchmark!$H$5:$H$807,MATCH(I362,Benchmark!$A$5:$A$807,0))</f>
        <v>110.4166666666667</v>
      </c>
      <c r="L362" s="14">
        <f t="shared" si="5"/>
        <v>0.17666095627414546</v>
      </c>
      <c r="M362" s="16">
        <f>IF(L362&gt;Benchmark!$B$2,1,IF(L362&lt;-Benchmark!$B$2,5,3))</f>
        <v>1</v>
      </c>
      <c r="N362" s="3" t="s">
        <v>31</v>
      </c>
    </row>
    <row r="363" spans="1:14" x14ac:dyDescent="0.35">
      <c r="A363" s="11" t="s">
        <v>11</v>
      </c>
      <c r="B363" s="11" t="s">
        <v>525</v>
      </c>
      <c r="C363" s="11">
        <v>9</v>
      </c>
      <c r="D363" s="11">
        <v>4</v>
      </c>
      <c r="E363" s="11" t="s">
        <v>27</v>
      </c>
      <c r="F363" s="11" t="s">
        <v>84</v>
      </c>
      <c r="G363" s="12">
        <v>3.83</v>
      </c>
      <c r="H363" s="13">
        <v>117.89556135770231</v>
      </c>
      <c r="I363" s="11" t="s">
        <v>154</v>
      </c>
      <c r="J363" s="11" t="s">
        <v>30</v>
      </c>
      <c r="K363" s="7">
        <f>INDEX(Benchmark!$H$5:$H$807,MATCH(I363,Benchmark!$A$5:$A$807,0))</f>
        <v>125.7999199629302</v>
      </c>
      <c r="L363" s="14">
        <f t="shared" si="5"/>
        <v>-6.2832779286005058E-2</v>
      </c>
      <c r="M363" s="15">
        <f>IF(L363&gt;Benchmark!$B$2,1,IF(L363&lt;-Benchmark!$B$2,5,3))</f>
        <v>5</v>
      </c>
      <c r="N363" s="3" t="s">
        <v>31</v>
      </c>
    </row>
    <row r="364" spans="1:14" x14ac:dyDescent="0.35">
      <c r="A364" s="11" t="s">
        <v>11</v>
      </c>
      <c r="B364" s="11" t="s">
        <v>526</v>
      </c>
      <c r="C364" s="11">
        <v>9</v>
      </c>
      <c r="D364" s="11">
        <v>3</v>
      </c>
      <c r="E364" s="11" t="s">
        <v>27</v>
      </c>
      <c r="F364" s="11" t="s">
        <v>39</v>
      </c>
      <c r="G364" s="12">
        <v>5.72</v>
      </c>
      <c r="H364" s="13">
        <v>118.02972027972029</v>
      </c>
      <c r="I364" s="11" t="s">
        <v>40</v>
      </c>
      <c r="J364" s="11" t="s">
        <v>30</v>
      </c>
      <c r="K364" s="7">
        <f>INDEX(Benchmark!$H$5:$H$807,MATCH(I364,Benchmark!$A$5:$A$807,0))</f>
        <v>132.44401544401541</v>
      </c>
      <c r="L364" s="14">
        <f t="shared" si="5"/>
        <v>-0.108833118023276</v>
      </c>
      <c r="M364" s="15">
        <f>IF(L364&gt;Benchmark!$B$2,1,IF(L364&lt;-Benchmark!$B$2,5,3))</f>
        <v>5</v>
      </c>
      <c r="N364" s="3" t="s">
        <v>31</v>
      </c>
    </row>
    <row r="365" spans="1:14" x14ac:dyDescent="0.35">
      <c r="A365" s="11" t="s">
        <v>11</v>
      </c>
      <c r="B365" s="11" t="s">
        <v>527</v>
      </c>
      <c r="C365" s="11">
        <v>9</v>
      </c>
      <c r="D365" s="11">
        <v>3</v>
      </c>
      <c r="E365" s="11" t="s">
        <v>48</v>
      </c>
      <c r="F365" s="11" t="s">
        <v>39</v>
      </c>
      <c r="G365" s="12">
        <v>8.1300000000000008</v>
      </c>
      <c r="H365" s="13">
        <v>96.832718327183258</v>
      </c>
      <c r="I365" s="11" t="s">
        <v>49</v>
      </c>
      <c r="J365" s="11" t="s">
        <v>30</v>
      </c>
      <c r="K365" s="7">
        <f>INDEX(Benchmark!$H$5:$H$807,MATCH(I365,Benchmark!$A$5:$A$807,0))</f>
        <v>132.03967168262659</v>
      </c>
      <c r="L365" s="14">
        <f t="shared" si="5"/>
        <v>-0.26663920704125599</v>
      </c>
      <c r="M365" s="15">
        <f>IF(L365&gt;Benchmark!$B$2,1,IF(L365&lt;-Benchmark!$B$2,5,3))</f>
        <v>5</v>
      </c>
      <c r="N365" s="3" t="s">
        <v>31</v>
      </c>
    </row>
    <row r="366" spans="1:14" x14ac:dyDescent="0.35">
      <c r="A366" s="11" t="s">
        <v>11</v>
      </c>
      <c r="B366" s="11" t="s">
        <v>528</v>
      </c>
      <c r="C366" s="11">
        <v>9</v>
      </c>
      <c r="D366" s="11">
        <v>1</v>
      </c>
      <c r="E366" s="11" t="s">
        <v>78</v>
      </c>
      <c r="F366" s="11" t="s">
        <v>62</v>
      </c>
      <c r="G366" s="12">
        <v>3.61</v>
      </c>
      <c r="H366" s="13">
        <v>80.21329639889197</v>
      </c>
      <c r="I366" s="11" t="s">
        <v>80</v>
      </c>
      <c r="J366" s="11" t="s">
        <v>37</v>
      </c>
      <c r="K366" s="7">
        <f>INDEX(Benchmark!$H$5:$H$807,MATCH(I366,Benchmark!$A$5:$A$807,0))</f>
        <v>110.9357798165138</v>
      </c>
      <c r="L366" s="14">
        <f t="shared" si="5"/>
        <v>-0.27693935598087815</v>
      </c>
      <c r="M366" s="15">
        <f>IF(L366&gt;Benchmark!$B$2,1,IF(L366&lt;-Benchmark!$B$2,5,3))</f>
        <v>5</v>
      </c>
      <c r="N366" s="3" t="s">
        <v>31</v>
      </c>
    </row>
    <row r="367" spans="1:14" x14ac:dyDescent="0.35">
      <c r="A367" s="11" t="s">
        <v>11</v>
      </c>
      <c r="B367" s="11" t="s">
        <v>529</v>
      </c>
      <c r="C367" s="11">
        <v>9</v>
      </c>
      <c r="D367" s="11">
        <v>6</v>
      </c>
      <c r="E367" s="11" t="s">
        <v>27</v>
      </c>
      <c r="F367" s="11" t="s">
        <v>62</v>
      </c>
      <c r="G367" s="12">
        <v>11.49</v>
      </c>
      <c r="H367" s="13">
        <v>99.483028720626621</v>
      </c>
      <c r="I367" s="11" t="s">
        <v>65</v>
      </c>
      <c r="J367" s="11" t="s">
        <v>30</v>
      </c>
      <c r="K367" s="7">
        <f>INDEX(Benchmark!$H$5:$H$807,MATCH(I367,Benchmark!$A$5:$A$807,0))</f>
        <v>136.9924703665755</v>
      </c>
      <c r="L367" s="14">
        <f t="shared" si="5"/>
        <v>-0.27380659349800829</v>
      </c>
      <c r="M367" s="15">
        <f>IF(L367&gt;Benchmark!$B$2,1,IF(L367&lt;-Benchmark!$B$2,5,3))</f>
        <v>5</v>
      </c>
      <c r="N367" s="3" t="s">
        <v>31</v>
      </c>
    </row>
    <row r="368" spans="1:14" x14ac:dyDescent="0.35">
      <c r="A368" s="11" t="s">
        <v>11</v>
      </c>
      <c r="B368" s="11" t="s">
        <v>530</v>
      </c>
      <c r="C368" s="11">
        <v>9</v>
      </c>
      <c r="D368" s="11">
        <v>3</v>
      </c>
      <c r="E368" s="11" t="s">
        <v>48</v>
      </c>
      <c r="F368" s="11" t="s">
        <v>39</v>
      </c>
      <c r="G368" s="12">
        <v>0.42</v>
      </c>
      <c r="H368" s="13">
        <v>68.571428571428569</v>
      </c>
      <c r="I368" s="11" t="s">
        <v>49</v>
      </c>
      <c r="J368" s="11" t="s">
        <v>30</v>
      </c>
      <c r="K368" s="7">
        <f>INDEX(Benchmark!$H$5:$H$807,MATCH(I368,Benchmark!$A$5:$A$807,0))</f>
        <v>132.03967168262659</v>
      </c>
      <c r="L368" s="14">
        <f t="shared" si="5"/>
        <v>-0.48067555987076116</v>
      </c>
      <c r="M368" s="15">
        <f>IF(L368&gt;Benchmark!$B$2,1,IF(L368&lt;-Benchmark!$B$2,5,3))</f>
        <v>5</v>
      </c>
      <c r="N368" s="3" t="s">
        <v>31</v>
      </c>
    </row>
    <row r="369" spans="1:14" x14ac:dyDescent="0.35">
      <c r="A369" s="11" t="s">
        <v>11</v>
      </c>
      <c r="B369" s="11" t="s">
        <v>531</v>
      </c>
      <c r="C369" s="11">
        <v>9</v>
      </c>
      <c r="D369" s="11">
        <v>3</v>
      </c>
      <c r="E369" s="11" t="s">
        <v>104</v>
      </c>
      <c r="F369" s="11" t="s">
        <v>43</v>
      </c>
      <c r="G369" s="12">
        <v>2.34</v>
      </c>
      <c r="H369" s="13">
        <v>120.69230769230769</v>
      </c>
      <c r="I369" s="11" t="s">
        <v>324</v>
      </c>
      <c r="J369" s="11" t="s">
        <v>30</v>
      </c>
      <c r="K369" s="7">
        <f>INDEX(Benchmark!$H$5:$H$807,MATCH(I369,Benchmark!$A$5:$A$807,0))</f>
        <v>109.75467980295571</v>
      </c>
      <c r="L369" s="14">
        <f t="shared" si="5"/>
        <v>9.9655230273447026E-2</v>
      </c>
      <c r="M369" s="16">
        <f>IF(L369&gt;Benchmark!$B$2,1,IF(L369&lt;-Benchmark!$B$2,5,3))</f>
        <v>1</v>
      </c>
      <c r="N369" s="3" t="s">
        <v>31</v>
      </c>
    </row>
    <row r="370" spans="1:14" x14ac:dyDescent="0.35">
      <c r="A370" s="11" t="s">
        <v>11</v>
      </c>
      <c r="B370" s="11" t="s">
        <v>532</v>
      </c>
      <c r="C370" s="11">
        <v>9</v>
      </c>
      <c r="D370" s="11">
        <v>3</v>
      </c>
      <c r="E370" s="11" t="s">
        <v>27</v>
      </c>
      <c r="F370" s="11" t="s">
        <v>43</v>
      </c>
      <c r="G370" s="12">
        <v>16.55</v>
      </c>
      <c r="H370" s="13">
        <v>109.32688821752269</v>
      </c>
      <c r="I370" s="11" t="s">
        <v>44</v>
      </c>
      <c r="J370" s="11" t="s">
        <v>30</v>
      </c>
      <c r="K370" s="7">
        <f>INDEX(Benchmark!$H$5:$H$807,MATCH(I370,Benchmark!$A$5:$A$807,0))</f>
        <v>118.6146621100209</v>
      </c>
      <c r="L370" s="14">
        <f t="shared" si="5"/>
        <v>-7.8302072671954659E-2</v>
      </c>
      <c r="M370" s="15">
        <f>IF(L370&gt;Benchmark!$B$2,1,IF(L370&lt;-Benchmark!$B$2,5,3))</f>
        <v>5</v>
      </c>
      <c r="N370" s="3" t="s">
        <v>31</v>
      </c>
    </row>
    <row r="371" spans="1:14" x14ac:dyDescent="0.35">
      <c r="A371" s="11" t="s">
        <v>11</v>
      </c>
      <c r="B371" s="11" t="s">
        <v>533</v>
      </c>
      <c r="C371" s="11">
        <v>9</v>
      </c>
      <c r="D371" s="11">
        <v>6</v>
      </c>
      <c r="E371" s="11" t="s">
        <v>104</v>
      </c>
      <c r="F371" s="11" t="s">
        <v>43</v>
      </c>
      <c r="G371" s="12">
        <v>23.58</v>
      </c>
      <c r="H371" s="13">
        <v>100.3723494486853</v>
      </c>
      <c r="I371" s="11" t="s">
        <v>324</v>
      </c>
      <c r="J371" s="11" t="s">
        <v>30</v>
      </c>
      <c r="K371" s="7">
        <f>INDEX(Benchmark!$H$5:$H$807,MATCH(I371,Benchmark!$A$5:$A$807,0))</f>
        <v>109.75467980295571</v>
      </c>
      <c r="L371" s="14">
        <f t="shared" si="5"/>
        <v>-8.5484558572943348E-2</v>
      </c>
      <c r="M371" s="15">
        <f>IF(L371&gt;Benchmark!$B$2,1,IF(L371&lt;-Benchmark!$B$2,5,3))</f>
        <v>5</v>
      </c>
      <c r="N371" s="3" t="s">
        <v>31</v>
      </c>
    </row>
    <row r="372" spans="1:14" x14ac:dyDescent="0.35">
      <c r="A372" s="11" t="s">
        <v>11</v>
      </c>
      <c r="B372" s="11" t="s">
        <v>534</v>
      </c>
      <c r="C372" s="11">
        <v>9</v>
      </c>
      <c r="D372" s="11">
        <v>8</v>
      </c>
      <c r="E372" s="11" t="s">
        <v>198</v>
      </c>
      <c r="F372" s="11" t="s">
        <v>43</v>
      </c>
      <c r="G372" s="12">
        <v>5.97</v>
      </c>
      <c r="H372" s="13">
        <v>106.5209380234506</v>
      </c>
      <c r="I372" s="11" t="s">
        <v>199</v>
      </c>
      <c r="J372" s="11" t="s">
        <v>30</v>
      </c>
      <c r="K372" s="7">
        <f>INDEX(Benchmark!$H$5:$H$807,MATCH(I372,Benchmark!$A$5:$A$807,0))</f>
        <v>100.40672268907559</v>
      </c>
      <c r="L372" s="14">
        <f t="shared" si="5"/>
        <v>6.0894481670401568E-2</v>
      </c>
      <c r="M372" s="16">
        <f>IF(L372&gt;Benchmark!$B$2,1,IF(L372&lt;-Benchmark!$B$2,5,3))</f>
        <v>1</v>
      </c>
      <c r="N372" s="3" t="s">
        <v>31</v>
      </c>
    </row>
    <row r="373" spans="1:14" x14ac:dyDescent="0.35">
      <c r="A373" s="11" t="s">
        <v>11</v>
      </c>
      <c r="B373" s="11" t="s">
        <v>535</v>
      </c>
      <c r="C373" s="11">
        <v>9</v>
      </c>
      <c r="D373" s="11">
        <v>2</v>
      </c>
      <c r="E373" s="11" t="s">
        <v>78</v>
      </c>
      <c r="F373" s="11" t="s">
        <v>43</v>
      </c>
      <c r="G373" s="12">
        <v>14.36</v>
      </c>
      <c r="H373" s="13">
        <v>121.4456824512535</v>
      </c>
      <c r="I373" s="11" t="s">
        <v>80</v>
      </c>
      <c r="J373" s="11" t="s">
        <v>37</v>
      </c>
      <c r="K373" s="7">
        <f>INDEX(Benchmark!$H$5:$H$807,MATCH(I373,Benchmark!$A$5:$A$807,0))</f>
        <v>110.9357798165138</v>
      </c>
      <c r="L373" s="14">
        <f t="shared" si="5"/>
        <v>9.47386195159301E-2</v>
      </c>
      <c r="M373" s="16">
        <f>IF(L373&gt;Benchmark!$B$2,1,IF(L373&lt;-Benchmark!$B$2,5,3))</f>
        <v>1</v>
      </c>
      <c r="N373" s="3" t="s">
        <v>31</v>
      </c>
    </row>
    <row r="374" spans="1:14" x14ac:dyDescent="0.35">
      <c r="A374" s="11" t="s">
        <v>11</v>
      </c>
      <c r="B374" s="11" t="s">
        <v>536</v>
      </c>
      <c r="C374" s="11">
        <v>9</v>
      </c>
      <c r="D374" s="11">
        <v>6</v>
      </c>
      <c r="E374" s="11" t="s">
        <v>104</v>
      </c>
      <c r="F374" s="11" t="s">
        <v>43</v>
      </c>
      <c r="G374" s="12">
        <v>3.31</v>
      </c>
      <c r="H374" s="13">
        <v>77.096676737160124</v>
      </c>
      <c r="I374" s="11" t="s">
        <v>324</v>
      </c>
      <c r="J374" s="11" t="s">
        <v>30</v>
      </c>
      <c r="K374" s="7">
        <f>INDEX(Benchmark!$H$5:$H$807,MATCH(I374,Benchmark!$A$5:$A$807,0))</f>
        <v>109.75467980295571</v>
      </c>
      <c r="L374" s="14">
        <f t="shared" si="5"/>
        <v>-0.29755453821583744</v>
      </c>
      <c r="M374" s="15">
        <f>IF(L374&gt;Benchmark!$B$2,1,IF(L374&lt;-Benchmark!$B$2,5,3))</f>
        <v>5</v>
      </c>
      <c r="N374" s="3" t="s">
        <v>31</v>
      </c>
    </row>
    <row r="375" spans="1:14" x14ac:dyDescent="0.35">
      <c r="A375" s="11" t="s">
        <v>11</v>
      </c>
      <c r="B375" s="11" t="s">
        <v>537</v>
      </c>
      <c r="C375" s="11">
        <v>9</v>
      </c>
      <c r="D375" s="11">
        <v>2</v>
      </c>
      <c r="E375" s="11" t="s">
        <v>78</v>
      </c>
      <c r="F375" s="11" t="s">
        <v>328</v>
      </c>
      <c r="G375" s="12">
        <v>5.53</v>
      </c>
      <c r="H375" s="13">
        <v>61.990958408679923</v>
      </c>
      <c r="I375" s="11" t="s">
        <v>80</v>
      </c>
      <c r="J375" s="11" t="s">
        <v>37</v>
      </c>
      <c r="K375" s="7">
        <f>INDEX(Benchmark!$H$5:$H$807,MATCH(I375,Benchmark!$A$5:$A$807,0))</f>
        <v>110.9357798165138</v>
      </c>
      <c r="L375" s="14">
        <f t="shared" si="5"/>
        <v>-0.44119959754001747</v>
      </c>
      <c r="M375" s="15">
        <f>IF(L375&gt;Benchmark!$B$2,1,IF(L375&lt;-Benchmark!$B$2,5,3))</f>
        <v>5</v>
      </c>
      <c r="N375" s="3" t="s">
        <v>31</v>
      </c>
    </row>
    <row r="376" spans="1:14" x14ac:dyDescent="0.35">
      <c r="A376" s="11" t="s">
        <v>11</v>
      </c>
      <c r="B376" s="11" t="s">
        <v>538</v>
      </c>
      <c r="C376" s="11">
        <v>9</v>
      </c>
      <c r="D376" s="11">
        <v>4</v>
      </c>
      <c r="E376" s="11" t="s">
        <v>104</v>
      </c>
      <c r="F376" s="11" t="s">
        <v>43</v>
      </c>
      <c r="G376" s="12">
        <v>8.2200000000000006</v>
      </c>
      <c r="H376" s="13">
        <v>94.422141119221408</v>
      </c>
      <c r="I376" s="11" t="s">
        <v>324</v>
      </c>
      <c r="J376" s="11" t="s">
        <v>30</v>
      </c>
      <c r="K376" s="7">
        <f>INDEX(Benchmark!$H$5:$H$807,MATCH(I376,Benchmark!$A$5:$A$807,0))</f>
        <v>109.75467980295571</v>
      </c>
      <c r="L376" s="14">
        <f t="shared" si="5"/>
        <v>-0.13969826809445429</v>
      </c>
      <c r="M376" s="15">
        <f>IF(L376&gt;Benchmark!$B$2,1,IF(L376&lt;-Benchmark!$B$2,5,3))</f>
        <v>5</v>
      </c>
      <c r="N376" s="3" t="s">
        <v>31</v>
      </c>
    </row>
    <row r="377" spans="1:14" x14ac:dyDescent="0.35">
      <c r="A377" s="11" t="s">
        <v>11</v>
      </c>
      <c r="B377" s="11" t="s">
        <v>539</v>
      </c>
      <c r="C377" s="11">
        <v>9</v>
      </c>
      <c r="D377" s="11">
        <v>3</v>
      </c>
      <c r="E377" s="11" t="s">
        <v>27</v>
      </c>
      <c r="F377" s="11" t="s">
        <v>43</v>
      </c>
      <c r="G377" s="12">
        <v>5.37</v>
      </c>
      <c r="H377" s="13">
        <v>95.824953445065177</v>
      </c>
      <c r="I377" s="11" t="s">
        <v>44</v>
      </c>
      <c r="J377" s="11" t="s">
        <v>30</v>
      </c>
      <c r="K377" s="7">
        <f>INDEX(Benchmark!$H$5:$H$807,MATCH(I377,Benchmark!$A$5:$A$807,0))</f>
        <v>118.6146621100209</v>
      </c>
      <c r="L377" s="14">
        <f t="shared" si="5"/>
        <v>-0.1921323069134333</v>
      </c>
      <c r="M377" s="15">
        <f>IF(L377&gt;Benchmark!$B$2,1,IF(L377&lt;-Benchmark!$B$2,5,3))</f>
        <v>5</v>
      </c>
      <c r="N377" s="3" t="s">
        <v>31</v>
      </c>
    </row>
    <row r="378" spans="1:14" x14ac:dyDescent="0.35">
      <c r="A378" s="11" t="s">
        <v>11</v>
      </c>
      <c r="B378" s="11" t="s">
        <v>540</v>
      </c>
      <c r="C378" s="11">
        <v>9</v>
      </c>
      <c r="D378" s="11">
        <v>2</v>
      </c>
      <c r="E378" s="11" t="s">
        <v>27</v>
      </c>
      <c r="F378" s="11" t="s">
        <v>332</v>
      </c>
      <c r="G378" s="12">
        <v>8.6199999999999992</v>
      </c>
      <c r="H378" s="13">
        <v>52.495359628770302</v>
      </c>
      <c r="I378" s="11" t="s">
        <v>144</v>
      </c>
      <c r="J378" s="11" t="s">
        <v>37</v>
      </c>
      <c r="K378" s="7">
        <f>INDEX(Benchmark!$H$5:$H$807,MATCH(I378,Benchmark!$A$5:$A$807,0))</f>
        <v>131.49167927382749</v>
      </c>
      <c r="L378" s="14">
        <f t="shared" si="5"/>
        <v>-0.60077048282689982</v>
      </c>
      <c r="M378" s="15">
        <f>IF(L378&gt;Benchmark!$B$2,1,IF(L378&lt;-Benchmark!$B$2,5,3))</f>
        <v>5</v>
      </c>
      <c r="N378" s="3" t="s">
        <v>31</v>
      </c>
    </row>
    <row r="379" spans="1:14" x14ac:dyDescent="0.35">
      <c r="A379" s="11" t="s">
        <v>11</v>
      </c>
      <c r="B379" s="11" t="s">
        <v>541</v>
      </c>
      <c r="C379" s="11">
        <v>9</v>
      </c>
      <c r="D379" s="11">
        <v>4</v>
      </c>
      <c r="E379" s="11" t="s">
        <v>48</v>
      </c>
      <c r="F379" s="11" t="s">
        <v>84</v>
      </c>
      <c r="G379" s="12">
        <v>21.13</v>
      </c>
      <c r="H379" s="13">
        <v>122.4178892569806</v>
      </c>
      <c r="I379" s="11" t="s">
        <v>85</v>
      </c>
      <c r="J379" s="11" t="s">
        <v>30</v>
      </c>
      <c r="K379" s="7">
        <f>INDEX(Benchmark!$H$5:$H$807,MATCH(I379,Benchmark!$A$5:$A$807,0))</f>
        <v>131.0681628892149</v>
      </c>
      <c r="L379" s="14">
        <f t="shared" si="5"/>
        <v>-6.5998282432217614E-2</v>
      </c>
      <c r="M379" s="15">
        <f>IF(L379&gt;Benchmark!$B$2,1,IF(L379&lt;-Benchmark!$B$2,5,3))</f>
        <v>5</v>
      </c>
      <c r="N379" s="3" t="s">
        <v>31</v>
      </c>
    </row>
    <row r="380" spans="1:14" x14ac:dyDescent="0.35">
      <c r="A380" s="11" t="s">
        <v>11</v>
      </c>
      <c r="B380" s="11" t="s">
        <v>542</v>
      </c>
      <c r="C380" s="11">
        <v>9</v>
      </c>
      <c r="D380" s="11">
        <v>7</v>
      </c>
      <c r="E380" s="11" t="s">
        <v>156</v>
      </c>
      <c r="F380" s="11" t="s">
        <v>220</v>
      </c>
      <c r="G380" s="12">
        <v>6.7</v>
      </c>
      <c r="H380" s="13">
        <v>95.5</v>
      </c>
      <c r="I380" s="11" t="s">
        <v>225</v>
      </c>
      <c r="J380" s="11" t="s">
        <v>30</v>
      </c>
      <c r="K380" s="7">
        <f>INDEX(Benchmark!$H$5:$H$807,MATCH(I380,Benchmark!$A$5:$A$807,0))</f>
        <v>96.843952483801289</v>
      </c>
      <c r="L380" s="14">
        <f t="shared" si="5"/>
        <v>-1.3877505505840326E-2</v>
      </c>
      <c r="M380" s="17">
        <f>IF(L380&gt;Benchmark!$B$2,1,IF(L380&lt;-Benchmark!$B$2,5,3))</f>
        <v>3</v>
      </c>
      <c r="N380" s="3" t="s">
        <v>31</v>
      </c>
    </row>
    <row r="381" spans="1:14" x14ac:dyDescent="0.35">
      <c r="A381" s="11" t="s">
        <v>11</v>
      </c>
      <c r="B381" s="11" t="s">
        <v>543</v>
      </c>
      <c r="C381" s="11">
        <v>9</v>
      </c>
      <c r="D381" s="11">
        <v>2</v>
      </c>
      <c r="E381" s="11" t="s">
        <v>78</v>
      </c>
      <c r="F381" s="11" t="s">
        <v>101</v>
      </c>
      <c r="G381" s="12">
        <v>4.75</v>
      </c>
      <c r="H381" s="13">
        <v>107.2821052631579</v>
      </c>
      <c r="I381" s="11" t="s">
        <v>80</v>
      </c>
      <c r="J381" s="11" t="s">
        <v>37</v>
      </c>
      <c r="K381" s="7">
        <f>INDEX(Benchmark!$H$5:$H$807,MATCH(I381,Benchmark!$A$5:$A$807,0))</f>
        <v>110.9357798165138</v>
      </c>
      <c r="L381" s="14">
        <f t="shared" si="5"/>
        <v>-3.2935041871964388E-2</v>
      </c>
      <c r="M381" s="17">
        <f>IF(L381&gt;Benchmark!$B$2,1,IF(L381&lt;-Benchmark!$B$2,5,3))</f>
        <v>3</v>
      </c>
      <c r="N381" s="3" t="s">
        <v>31</v>
      </c>
    </row>
    <row r="382" spans="1:14" x14ac:dyDescent="0.35">
      <c r="A382" s="11" t="s">
        <v>11</v>
      </c>
      <c r="B382" s="11" t="s">
        <v>544</v>
      </c>
      <c r="C382" s="11">
        <v>9</v>
      </c>
      <c r="D382" s="11">
        <v>2</v>
      </c>
      <c r="E382" s="11" t="s">
        <v>27</v>
      </c>
      <c r="F382" s="11" t="s">
        <v>84</v>
      </c>
      <c r="G382" s="12">
        <v>5.5</v>
      </c>
      <c r="H382" s="13">
        <v>114.0381818181818</v>
      </c>
      <c r="I382" s="11" t="s">
        <v>154</v>
      </c>
      <c r="J382" s="11" t="s">
        <v>30</v>
      </c>
      <c r="K382" s="7">
        <f>INDEX(Benchmark!$H$5:$H$807,MATCH(I382,Benchmark!$A$5:$A$807,0))</f>
        <v>125.7999199629302</v>
      </c>
      <c r="L382" s="14">
        <f t="shared" si="5"/>
        <v>-9.3495593226245788E-2</v>
      </c>
      <c r="M382" s="15">
        <f>IF(L382&gt;Benchmark!$B$2,1,IF(L382&lt;-Benchmark!$B$2,5,3))</f>
        <v>5</v>
      </c>
      <c r="N382" s="3" t="s">
        <v>31</v>
      </c>
    </row>
    <row r="383" spans="1:14" x14ac:dyDescent="0.35">
      <c r="A383" s="11" t="s">
        <v>11</v>
      </c>
      <c r="B383" s="11" t="s">
        <v>545</v>
      </c>
      <c r="C383" s="11">
        <v>9</v>
      </c>
      <c r="D383" s="11">
        <v>1</v>
      </c>
      <c r="E383" s="11" t="s">
        <v>34</v>
      </c>
      <c r="F383" s="11" t="s">
        <v>230</v>
      </c>
      <c r="G383" s="12">
        <v>13.89</v>
      </c>
      <c r="H383" s="13">
        <v>77.889848812095039</v>
      </c>
      <c r="I383" s="11" t="s">
        <v>36</v>
      </c>
      <c r="J383" s="11" t="s">
        <v>37</v>
      </c>
      <c r="K383" s="7">
        <f>INDEX(Benchmark!$H$5:$H$807,MATCH(I383,Benchmark!$A$5:$A$807,0))</f>
        <v>135.18231292517009</v>
      </c>
      <c r="L383" s="14">
        <f t="shared" si="5"/>
        <v>-0.423816273544522</v>
      </c>
      <c r="M383" s="15">
        <f>IF(L383&gt;Benchmark!$B$2,1,IF(L383&lt;-Benchmark!$B$2,5,3))</f>
        <v>5</v>
      </c>
      <c r="N383" s="3" t="s">
        <v>31</v>
      </c>
    </row>
    <row r="384" spans="1:14" x14ac:dyDescent="0.35">
      <c r="A384" s="11" t="s">
        <v>11</v>
      </c>
      <c r="B384" s="11" t="s">
        <v>546</v>
      </c>
      <c r="C384" s="11">
        <v>9</v>
      </c>
      <c r="D384" s="11">
        <v>2</v>
      </c>
      <c r="E384" s="11" t="s">
        <v>27</v>
      </c>
      <c r="F384" s="11" t="s">
        <v>186</v>
      </c>
      <c r="G384" s="12">
        <v>7.84</v>
      </c>
      <c r="H384" s="13">
        <v>93.556122448979593</v>
      </c>
      <c r="I384" s="11" t="s">
        <v>515</v>
      </c>
      <c r="J384" s="11" t="s">
        <v>30</v>
      </c>
      <c r="K384" s="7">
        <f>INDEX(Benchmark!$H$5:$H$807,MATCH(I384,Benchmark!$A$5:$A$807,0))</f>
        <v>138.46153846153851</v>
      </c>
      <c r="L384" s="14">
        <f t="shared" si="5"/>
        <v>-0.32431689342403647</v>
      </c>
      <c r="M384" s="15">
        <f>IF(L384&gt;Benchmark!$B$2,1,IF(L384&lt;-Benchmark!$B$2,5,3))</f>
        <v>5</v>
      </c>
      <c r="N384" s="3" t="s">
        <v>31</v>
      </c>
    </row>
    <row r="385" spans="1:14" x14ac:dyDescent="0.35">
      <c r="A385" s="11" t="s">
        <v>11</v>
      </c>
      <c r="B385" s="11" t="s">
        <v>547</v>
      </c>
      <c r="C385" s="11">
        <v>9</v>
      </c>
      <c r="D385" s="11">
        <v>2</v>
      </c>
      <c r="E385" s="11" t="s">
        <v>78</v>
      </c>
      <c r="F385" s="11" t="s">
        <v>54</v>
      </c>
      <c r="G385" s="12">
        <v>0.8</v>
      </c>
      <c r="H385" s="13">
        <v>92.524999999999991</v>
      </c>
      <c r="I385" s="11" t="s">
        <v>80</v>
      </c>
      <c r="J385" s="11" t="s">
        <v>37</v>
      </c>
      <c r="K385" s="7">
        <f>INDEX(Benchmark!$H$5:$H$807,MATCH(I385,Benchmark!$A$5:$A$807,0))</f>
        <v>110.9357798165138</v>
      </c>
      <c r="L385" s="14">
        <f t="shared" si="5"/>
        <v>-0.16595889844525347</v>
      </c>
      <c r="M385" s="15">
        <f>IF(L385&gt;Benchmark!$B$2,1,IF(L385&lt;-Benchmark!$B$2,5,3))</f>
        <v>5</v>
      </c>
      <c r="N385" s="3" t="s">
        <v>31</v>
      </c>
    </row>
    <row r="386" spans="1:14" x14ac:dyDescent="0.35">
      <c r="A386" s="11" t="s">
        <v>11</v>
      </c>
      <c r="B386" s="11" t="s">
        <v>548</v>
      </c>
      <c r="C386" s="11">
        <v>9</v>
      </c>
      <c r="D386" s="11">
        <v>1</v>
      </c>
      <c r="E386" s="11" t="s">
        <v>34</v>
      </c>
      <c r="F386" s="11" t="s">
        <v>54</v>
      </c>
      <c r="G386" s="12">
        <v>2.5099999999999998</v>
      </c>
      <c r="H386" s="13">
        <v>56.79681274900399</v>
      </c>
      <c r="I386" s="11" t="s">
        <v>36</v>
      </c>
      <c r="J386" s="11" t="s">
        <v>37</v>
      </c>
      <c r="K386" s="7">
        <f>INDEX(Benchmark!$H$5:$H$807,MATCH(I386,Benchmark!$A$5:$A$807,0))</f>
        <v>135.18231292517009</v>
      </c>
      <c r="L386" s="14">
        <f t="shared" si="5"/>
        <v>-0.57985026650310567</v>
      </c>
      <c r="M386" s="15">
        <f>IF(L386&gt;Benchmark!$B$2,1,IF(L386&lt;-Benchmark!$B$2,5,3))</f>
        <v>5</v>
      </c>
      <c r="N386" s="3" t="s">
        <v>31</v>
      </c>
    </row>
    <row r="387" spans="1:14" x14ac:dyDescent="0.35">
      <c r="A387" s="11" t="s">
        <v>11</v>
      </c>
      <c r="B387" s="11" t="s">
        <v>549</v>
      </c>
      <c r="C387" s="11">
        <v>9</v>
      </c>
      <c r="D387" s="11">
        <v>7</v>
      </c>
      <c r="E387" s="11" t="s">
        <v>53</v>
      </c>
      <c r="F387" s="11" t="s">
        <v>54</v>
      </c>
      <c r="G387" s="12">
        <v>1</v>
      </c>
      <c r="H387" s="13">
        <v>91.66</v>
      </c>
      <c r="I387" s="11" t="s">
        <v>55</v>
      </c>
      <c r="J387" s="11" t="s">
        <v>30</v>
      </c>
      <c r="K387" s="7">
        <f>INDEX(Benchmark!$H$5:$H$807,MATCH(I387,Benchmark!$A$5:$A$807,0))</f>
        <v>108.2167919977298</v>
      </c>
      <c r="L387" s="14">
        <f t="shared" si="5"/>
        <v>-0.15299651460816854</v>
      </c>
      <c r="M387" s="15">
        <f>IF(L387&gt;Benchmark!$B$2,1,IF(L387&lt;-Benchmark!$B$2,5,3))</f>
        <v>5</v>
      </c>
      <c r="N387" s="3" t="s">
        <v>31</v>
      </c>
    </row>
    <row r="388" spans="1:14" x14ac:dyDescent="0.35">
      <c r="A388" s="11" t="s">
        <v>11</v>
      </c>
      <c r="B388" s="11" t="s">
        <v>550</v>
      </c>
      <c r="C388" s="11">
        <v>9</v>
      </c>
      <c r="D388" s="11">
        <v>2</v>
      </c>
      <c r="E388" s="11" t="s">
        <v>78</v>
      </c>
      <c r="F388" s="11" t="s">
        <v>54</v>
      </c>
      <c r="G388" s="12">
        <v>2</v>
      </c>
      <c r="H388" s="13">
        <v>91.325000000000003</v>
      </c>
      <c r="I388" s="11" t="s">
        <v>80</v>
      </c>
      <c r="J388" s="11" t="s">
        <v>37</v>
      </c>
      <c r="K388" s="7">
        <f>INDEX(Benchmark!$H$5:$H$807,MATCH(I388,Benchmark!$A$5:$A$807,0))</f>
        <v>110.9357798165138</v>
      </c>
      <c r="L388" s="14">
        <f t="shared" si="5"/>
        <v>-0.17677596758187253</v>
      </c>
      <c r="M388" s="15">
        <f>IF(L388&gt;Benchmark!$B$2,1,IF(L388&lt;-Benchmark!$B$2,5,3))</f>
        <v>5</v>
      </c>
      <c r="N388" s="3" t="s">
        <v>31</v>
      </c>
    </row>
    <row r="389" spans="1:14" x14ac:dyDescent="0.35">
      <c r="A389" s="11" t="s">
        <v>11</v>
      </c>
      <c r="B389" s="11" t="s">
        <v>551</v>
      </c>
      <c r="C389" s="11">
        <v>9</v>
      </c>
      <c r="D389" s="11">
        <v>7</v>
      </c>
      <c r="E389" s="11" t="s">
        <v>104</v>
      </c>
      <c r="F389" s="11" t="s">
        <v>196</v>
      </c>
      <c r="G389" s="12">
        <v>8.9700000000000006</v>
      </c>
      <c r="H389" s="13">
        <v>83.661092530657754</v>
      </c>
      <c r="I389" s="11" t="s">
        <v>260</v>
      </c>
      <c r="J389" s="11" t="s">
        <v>30</v>
      </c>
      <c r="K389" s="7">
        <f>INDEX(Benchmark!$H$5:$H$807,MATCH(I389,Benchmark!$A$5:$A$807,0))</f>
        <v>95.444586191346446</v>
      </c>
      <c r="L389" s="14">
        <f t="shared" ref="L389:L452" si="6">H389/K389-1</f>
        <v>-0.12345900517673414</v>
      </c>
      <c r="M389" s="15">
        <f>IF(L389&gt;Benchmark!$B$2,1,IF(L389&lt;-Benchmark!$B$2,5,3))</f>
        <v>5</v>
      </c>
      <c r="N389" s="3" t="s">
        <v>31</v>
      </c>
    </row>
    <row r="390" spans="1:14" x14ac:dyDescent="0.35">
      <c r="A390" s="11" t="s">
        <v>11</v>
      </c>
      <c r="B390" s="11" t="s">
        <v>552</v>
      </c>
      <c r="C390" s="11">
        <v>9</v>
      </c>
      <c r="D390" s="11">
        <v>7</v>
      </c>
      <c r="E390" s="11" t="s">
        <v>156</v>
      </c>
      <c r="F390" s="11" t="s">
        <v>196</v>
      </c>
      <c r="G390" s="12">
        <v>10.5</v>
      </c>
      <c r="H390" s="13">
        <v>74.334285714285713</v>
      </c>
      <c r="I390" s="11" t="s">
        <v>553</v>
      </c>
      <c r="J390" s="11" t="s">
        <v>30</v>
      </c>
      <c r="K390" s="7">
        <f>INDEX(Benchmark!$H$5:$H$807,MATCH(I390,Benchmark!$A$5:$A$807,0))</f>
        <v>90.046961826052751</v>
      </c>
      <c r="L390" s="14">
        <f t="shared" si="6"/>
        <v>-0.17449423937389286</v>
      </c>
      <c r="M390" s="15">
        <f>IF(L390&gt;Benchmark!$B$2,1,IF(L390&lt;-Benchmark!$B$2,5,3))</f>
        <v>5</v>
      </c>
      <c r="N390" s="3" t="s">
        <v>31</v>
      </c>
    </row>
    <row r="391" spans="1:14" x14ac:dyDescent="0.35">
      <c r="A391" s="11" t="s">
        <v>11</v>
      </c>
      <c r="B391" s="11" t="s">
        <v>554</v>
      </c>
      <c r="C391" s="11">
        <v>9</v>
      </c>
      <c r="D391" s="11">
        <v>7</v>
      </c>
      <c r="E391" s="11" t="s">
        <v>78</v>
      </c>
      <c r="F391" s="11" t="s">
        <v>364</v>
      </c>
      <c r="G391" s="12">
        <v>5.52</v>
      </c>
      <c r="H391" s="13">
        <v>85.565217391304358</v>
      </c>
      <c r="I391" s="11" t="s">
        <v>80</v>
      </c>
      <c r="J391" s="11" t="s">
        <v>37</v>
      </c>
      <c r="K391" s="7">
        <f>INDEX(Benchmark!$H$5:$H$807,MATCH(I391,Benchmark!$A$5:$A$807,0))</f>
        <v>110.9357798165138</v>
      </c>
      <c r="L391" s="14">
        <f t="shared" si="6"/>
        <v>-0.22869593982367087</v>
      </c>
      <c r="M391" s="15">
        <f>IF(L391&gt;Benchmark!$B$2,1,IF(L391&lt;-Benchmark!$B$2,5,3))</f>
        <v>5</v>
      </c>
      <c r="N391" s="3" t="s">
        <v>31</v>
      </c>
    </row>
    <row r="392" spans="1:14" x14ac:dyDescent="0.35">
      <c r="A392" s="11" t="s">
        <v>11</v>
      </c>
      <c r="B392" s="11" t="s">
        <v>555</v>
      </c>
      <c r="C392" s="11">
        <v>9</v>
      </c>
      <c r="D392" s="11">
        <v>2</v>
      </c>
      <c r="E392" s="11" t="s">
        <v>78</v>
      </c>
      <c r="F392" s="11" t="s">
        <v>43</v>
      </c>
      <c r="G392" s="12">
        <v>9.4600000000000009</v>
      </c>
      <c r="H392" s="13">
        <v>107.8816067653277</v>
      </c>
      <c r="I392" s="11" t="s">
        <v>80</v>
      </c>
      <c r="J392" s="11" t="s">
        <v>37</v>
      </c>
      <c r="K392" s="7">
        <f>INDEX(Benchmark!$H$5:$H$807,MATCH(I392,Benchmark!$A$5:$A$807,0))</f>
        <v>110.9357798165138</v>
      </c>
      <c r="L392" s="14">
        <f t="shared" si="6"/>
        <v>-2.7531000874899458E-2</v>
      </c>
      <c r="M392" s="17">
        <f>IF(L392&gt;Benchmark!$B$2,1,IF(L392&lt;-Benchmark!$B$2,5,3))</f>
        <v>3</v>
      </c>
      <c r="N392" s="3" t="s">
        <v>31</v>
      </c>
    </row>
    <row r="393" spans="1:14" x14ac:dyDescent="0.35">
      <c r="A393" s="11" t="s">
        <v>11</v>
      </c>
      <c r="B393" s="11" t="s">
        <v>556</v>
      </c>
      <c r="C393" s="11">
        <v>9</v>
      </c>
      <c r="D393" s="11">
        <v>11</v>
      </c>
      <c r="E393" s="11" t="s">
        <v>198</v>
      </c>
      <c r="F393" s="11" t="s">
        <v>196</v>
      </c>
      <c r="G393" s="12">
        <v>11.34</v>
      </c>
      <c r="H393" s="13">
        <v>76.382716049382708</v>
      </c>
      <c r="I393" s="11" t="s">
        <v>262</v>
      </c>
      <c r="J393" s="11" t="s">
        <v>30</v>
      </c>
      <c r="K393" s="7">
        <f>INDEX(Benchmark!$H$5:$H$807,MATCH(I393,Benchmark!$A$5:$A$807,0))</f>
        <v>91.824427480916029</v>
      </c>
      <c r="L393" s="14">
        <f t="shared" si="6"/>
        <v>-0.16816561622170301</v>
      </c>
      <c r="M393" s="15">
        <f>IF(L393&gt;Benchmark!$B$2,1,IF(L393&lt;-Benchmark!$B$2,5,3))</f>
        <v>5</v>
      </c>
      <c r="N393" s="3" t="s">
        <v>31</v>
      </c>
    </row>
    <row r="394" spans="1:14" x14ac:dyDescent="0.35">
      <c r="A394" s="11" t="s">
        <v>11</v>
      </c>
      <c r="B394" s="11" t="s">
        <v>557</v>
      </c>
      <c r="C394" s="11">
        <v>9</v>
      </c>
      <c r="D394" s="11">
        <v>9</v>
      </c>
      <c r="E394" s="11" t="s">
        <v>198</v>
      </c>
      <c r="F394" s="11" t="s">
        <v>196</v>
      </c>
      <c r="G394" s="12">
        <v>7.86</v>
      </c>
      <c r="H394" s="13">
        <v>83.108142493638681</v>
      </c>
      <c r="I394" s="11" t="s">
        <v>262</v>
      </c>
      <c r="J394" s="11" t="s">
        <v>30</v>
      </c>
      <c r="K394" s="7">
        <f>INDEX(Benchmark!$H$5:$H$807,MATCH(I394,Benchmark!$A$5:$A$807,0))</f>
        <v>91.824427480916029</v>
      </c>
      <c r="L394" s="14">
        <f t="shared" si="6"/>
        <v>-9.4923379610385994E-2</v>
      </c>
      <c r="M394" s="15">
        <f>IF(L394&gt;Benchmark!$B$2,1,IF(L394&lt;-Benchmark!$B$2,5,3))</f>
        <v>5</v>
      </c>
      <c r="N394" s="3" t="s">
        <v>31</v>
      </c>
    </row>
    <row r="395" spans="1:14" x14ac:dyDescent="0.35">
      <c r="A395" s="11" t="s">
        <v>11</v>
      </c>
      <c r="B395" s="11" t="s">
        <v>558</v>
      </c>
      <c r="C395" s="11">
        <v>9</v>
      </c>
      <c r="D395" s="11">
        <v>5</v>
      </c>
      <c r="E395" s="11" t="s">
        <v>27</v>
      </c>
      <c r="F395" s="11" t="s">
        <v>43</v>
      </c>
      <c r="G395" s="12">
        <v>3.63</v>
      </c>
      <c r="H395" s="13">
        <v>92.093663911845738</v>
      </c>
      <c r="I395" s="11" t="s">
        <v>44</v>
      </c>
      <c r="J395" s="11" t="s">
        <v>30</v>
      </c>
      <c r="K395" s="7">
        <f>INDEX(Benchmark!$H$5:$H$807,MATCH(I395,Benchmark!$A$5:$A$807,0))</f>
        <v>118.6146621100209</v>
      </c>
      <c r="L395" s="14">
        <f t="shared" si="6"/>
        <v>-0.22358954387591345</v>
      </c>
      <c r="M395" s="15">
        <f>IF(L395&gt;Benchmark!$B$2,1,IF(L395&lt;-Benchmark!$B$2,5,3))</f>
        <v>5</v>
      </c>
      <c r="N395" s="3" t="s">
        <v>31</v>
      </c>
    </row>
    <row r="396" spans="1:14" x14ac:dyDescent="0.35">
      <c r="A396" s="11" t="s">
        <v>11</v>
      </c>
      <c r="B396" s="11" t="s">
        <v>559</v>
      </c>
      <c r="C396" s="11">
        <v>9</v>
      </c>
      <c r="D396" s="11">
        <v>5</v>
      </c>
      <c r="E396" s="11" t="s">
        <v>34</v>
      </c>
      <c r="F396" s="11" t="s">
        <v>479</v>
      </c>
      <c r="G396" s="12">
        <v>12.07</v>
      </c>
      <c r="H396" s="13">
        <v>112.88152444076221</v>
      </c>
      <c r="I396" s="11" t="s">
        <v>36</v>
      </c>
      <c r="J396" s="11" t="s">
        <v>37</v>
      </c>
      <c r="K396" s="7">
        <f>INDEX(Benchmark!$H$5:$H$807,MATCH(I396,Benchmark!$A$5:$A$807,0))</f>
        <v>135.18231292517009</v>
      </c>
      <c r="L396" s="14">
        <f t="shared" si="6"/>
        <v>-0.16496824179027358</v>
      </c>
      <c r="M396" s="15">
        <f>IF(L396&gt;Benchmark!$B$2,1,IF(L396&lt;-Benchmark!$B$2,5,3))</f>
        <v>5</v>
      </c>
      <c r="N396" s="3" t="s">
        <v>31</v>
      </c>
    </row>
    <row r="397" spans="1:14" x14ac:dyDescent="0.35">
      <c r="A397" s="11" t="s">
        <v>11</v>
      </c>
      <c r="B397" s="11" t="s">
        <v>560</v>
      </c>
      <c r="C397" s="11">
        <v>9</v>
      </c>
      <c r="D397" s="11">
        <v>6</v>
      </c>
      <c r="E397" s="11" t="s">
        <v>27</v>
      </c>
      <c r="F397" s="11" t="s">
        <v>39</v>
      </c>
      <c r="G397" s="12">
        <v>34.96</v>
      </c>
      <c r="H397" s="13">
        <v>121.9476544622426</v>
      </c>
      <c r="I397" s="11" t="s">
        <v>40</v>
      </c>
      <c r="J397" s="11" t="s">
        <v>30</v>
      </c>
      <c r="K397" s="7">
        <f>INDEX(Benchmark!$H$5:$H$807,MATCH(I397,Benchmark!$A$5:$A$807,0))</f>
        <v>132.44401544401541</v>
      </c>
      <c r="L397" s="14">
        <f t="shared" si="6"/>
        <v>-7.9251304383848642E-2</v>
      </c>
      <c r="M397" s="15">
        <f>IF(L397&gt;Benchmark!$B$2,1,IF(L397&lt;-Benchmark!$B$2,5,3))</f>
        <v>5</v>
      </c>
      <c r="N397" s="3" t="s">
        <v>31</v>
      </c>
    </row>
    <row r="398" spans="1:14" x14ac:dyDescent="0.35">
      <c r="A398" s="11" t="s">
        <v>11</v>
      </c>
      <c r="B398" s="11" t="s">
        <v>561</v>
      </c>
      <c r="C398" s="11">
        <v>9</v>
      </c>
      <c r="D398" s="11">
        <v>6</v>
      </c>
      <c r="E398" s="11" t="s">
        <v>27</v>
      </c>
      <c r="F398" s="11" t="s">
        <v>39</v>
      </c>
      <c r="G398" s="12">
        <v>1.1399999999999999</v>
      </c>
      <c r="H398" s="13">
        <v>152.69298245614041</v>
      </c>
      <c r="I398" s="11" t="s">
        <v>40</v>
      </c>
      <c r="J398" s="11" t="s">
        <v>30</v>
      </c>
      <c r="K398" s="7">
        <f>INDEX(Benchmark!$H$5:$H$807,MATCH(I398,Benchmark!$A$5:$A$807,0))</f>
        <v>132.44401544401541</v>
      </c>
      <c r="L398" s="14">
        <f t="shared" si="6"/>
        <v>0.15288699111274173</v>
      </c>
      <c r="M398" s="16">
        <f>IF(L398&gt;Benchmark!$B$2,1,IF(L398&lt;-Benchmark!$B$2,5,3))</f>
        <v>1</v>
      </c>
      <c r="N398" s="3" t="s">
        <v>31</v>
      </c>
    </row>
    <row r="399" spans="1:14" x14ac:dyDescent="0.35">
      <c r="A399" s="11" t="s">
        <v>11</v>
      </c>
      <c r="B399" s="11" t="s">
        <v>562</v>
      </c>
      <c r="C399" s="11">
        <v>9</v>
      </c>
      <c r="D399" s="11">
        <v>10</v>
      </c>
      <c r="E399" s="11" t="s">
        <v>198</v>
      </c>
      <c r="F399" s="11" t="s">
        <v>28</v>
      </c>
      <c r="G399" s="12">
        <v>3.34</v>
      </c>
      <c r="H399" s="13">
        <v>93.134730538922156</v>
      </c>
      <c r="I399" s="11" t="s">
        <v>563</v>
      </c>
      <c r="J399" s="11" t="s">
        <v>30</v>
      </c>
      <c r="K399" s="7">
        <f>INDEX(Benchmark!$H$5:$H$807,MATCH(I399,Benchmark!$A$5:$A$807,0))</f>
        <v>120.9621621621622</v>
      </c>
      <c r="L399" s="14">
        <f t="shared" si="6"/>
        <v>-0.23005071276697675</v>
      </c>
      <c r="M399" s="15">
        <f>IF(L399&gt;Benchmark!$B$2,1,IF(L399&lt;-Benchmark!$B$2,5,3))</f>
        <v>5</v>
      </c>
      <c r="N399" s="3" t="s">
        <v>31</v>
      </c>
    </row>
    <row r="400" spans="1:14" x14ac:dyDescent="0.35">
      <c r="A400" s="11" t="s">
        <v>11</v>
      </c>
      <c r="B400" s="11" t="s">
        <v>564</v>
      </c>
      <c r="C400" s="11">
        <v>9</v>
      </c>
      <c r="D400" s="11">
        <v>10</v>
      </c>
      <c r="E400" s="11" t="s">
        <v>198</v>
      </c>
      <c r="F400" s="11" t="s">
        <v>59</v>
      </c>
      <c r="G400" s="12">
        <v>6.61</v>
      </c>
      <c r="H400" s="13">
        <v>87.390317700453849</v>
      </c>
      <c r="I400" s="11" t="s">
        <v>565</v>
      </c>
      <c r="J400" s="11" t="s">
        <v>30</v>
      </c>
      <c r="K400" s="7">
        <f>INDEX(Benchmark!$H$5:$H$807,MATCH(I400,Benchmark!$A$5:$A$807,0))</f>
        <v>122.2980097287159</v>
      </c>
      <c r="L400" s="14">
        <f t="shared" si="6"/>
        <v>-0.28543139913474513</v>
      </c>
      <c r="M400" s="15">
        <f>IF(L400&gt;Benchmark!$B$2,1,IF(L400&lt;-Benchmark!$B$2,5,3))</f>
        <v>5</v>
      </c>
      <c r="N400" s="3" t="s">
        <v>31</v>
      </c>
    </row>
    <row r="401" spans="1:14" x14ac:dyDescent="0.35">
      <c r="A401" s="11" t="s">
        <v>11</v>
      </c>
      <c r="B401" s="11" t="s">
        <v>566</v>
      </c>
      <c r="C401" s="11">
        <v>9</v>
      </c>
      <c r="D401" s="11">
        <v>7</v>
      </c>
      <c r="E401" s="11" t="s">
        <v>104</v>
      </c>
      <c r="F401" s="11" t="s">
        <v>59</v>
      </c>
      <c r="G401" s="12">
        <v>4.54</v>
      </c>
      <c r="H401" s="13">
        <v>115.0088105726872</v>
      </c>
      <c r="I401" s="11" t="s">
        <v>567</v>
      </c>
      <c r="J401" s="11" t="s">
        <v>30</v>
      </c>
      <c r="K401" s="7">
        <f>INDEX(Benchmark!$H$5:$H$807,MATCH(I401,Benchmark!$A$5:$A$807,0))</f>
        <v>151.80198019801981</v>
      </c>
      <c r="L401" s="14">
        <f t="shared" si="6"/>
        <v>-0.24237608480032569</v>
      </c>
      <c r="M401" s="15">
        <f>IF(L401&gt;Benchmark!$B$2,1,IF(L401&lt;-Benchmark!$B$2,5,3))</f>
        <v>5</v>
      </c>
      <c r="N401" s="3" t="s">
        <v>31</v>
      </c>
    </row>
    <row r="402" spans="1:14" x14ac:dyDescent="0.35">
      <c r="A402" s="11" t="s">
        <v>11</v>
      </c>
      <c r="B402" s="11" t="s">
        <v>568</v>
      </c>
      <c r="C402" s="11">
        <v>9</v>
      </c>
      <c r="D402" s="11">
        <v>5</v>
      </c>
      <c r="E402" s="11" t="s">
        <v>48</v>
      </c>
      <c r="F402" s="11" t="s">
        <v>39</v>
      </c>
      <c r="G402" s="12">
        <v>8.2799999999999994</v>
      </c>
      <c r="H402" s="13">
        <v>88.292270531400973</v>
      </c>
      <c r="I402" s="11" t="s">
        <v>49</v>
      </c>
      <c r="J402" s="11" t="s">
        <v>30</v>
      </c>
      <c r="K402" s="7">
        <f>INDEX(Benchmark!$H$5:$H$807,MATCH(I402,Benchmark!$A$5:$A$807,0))</f>
        <v>132.03967168262659</v>
      </c>
      <c r="L402" s="14">
        <f t="shared" si="6"/>
        <v>-0.33132012972872138</v>
      </c>
      <c r="M402" s="15">
        <f>IF(L402&gt;Benchmark!$B$2,1,IF(L402&lt;-Benchmark!$B$2,5,3))</f>
        <v>5</v>
      </c>
      <c r="N402" s="3" t="s">
        <v>31</v>
      </c>
    </row>
    <row r="403" spans="1:14" x14ac:dyDescent="0.35">
      <c r="A403" s="11" t="s">
        <v>11</v>
      </c>
      <c r="B403" s="11" t="s">
        <v>569</v>
      </c>
      <c r="C403" s="11">
        <v>9</v>
      </c>
      <c r="D403" s="11">
        <v>5</v>
      </c>
      <c r="E403" s="11" t="s">
        <v>27</v>
      </c>
      <c r="F403" s="11" t="s">
        <v>62</v>
      </c>
      <c r="G403" s="12">
        <v>6.24</v>
      </c>
      <c r="H403" s="13">
        <v>105.66185897435901</v>
      </c>
      <c r="I403" s="11" t="s">
        <v>65</v>
      </c>
      <c r="J403" s="11" t="s">
        <v>30</v>
      </c>
      <c r="K403" s="7">
        <f>INDEX(Benchmark!$H$5:$H$807,MATCH(I403,Benchmark!$A$5:$A$807,0))</f>
        <v>136.9924703665755</v>
      </c>
      <c r="L403" s="14">
        <f t="shared" si="6"/>
        <v>-0.22870316381900058</v>
      </c>
      <c r="M403" s="15">
        <f>IF(L403&gt;Benchmark!$B$2,1,IF(L403&lt;-Benchmark!$B$2,5,3))</f>
        <v>5</v>
      </c>
      <c r="N403" s="3" t="s">
        <v>31</v>
      </c>
    </row>
    <row r="404" spans="1:14" x14ac:dyDescent="0.35">
      <c r="A404" s="11" t="s">
        <v>11</v>
      </c>
      <c r="B404" s="11" t="s">
        <v>570</v>
      </c>
      <c r="C404" s="11">
        <v>9</v>
      </c>
      <c r="D404" s="11">
        <v>4</v>
      </c>
      <c r="E404" s="11" t="s">
        <v>48</v>
      </c>
      <c r="F404" s="11" t="s">
        <v>39</v>
      </c>
      <c r="G404" s="12">
        <v>10.28</v>
      </c>
      <c r="H404" s="13">
        <v>100.1838521400778</v>
      </c>
      <c r="I404" s="11" t="s">
        <v>49</v>
      </c>
      <c r="J404" s="11" t="s">
        <v>30</v>
      </c>
      <c r="K404" s="7">
        <f>INDEX(Benchmark!$H$5:$H$807,MATCH(I404,Benchmark!$A$5:$A$807,0))</f>
        <v>132.03967168262659</v>
      </c>
      <c r="L404" s="14">
        <f t="shared" si="6"/>
        <v>-0.24125945737821985</v>
      </c>
      <c r="M404" s="15">
        <f>IF(L404&gt;Benchmark!$B$2,1,IF(L404&lt;-Benchmark!$B$2,5,3))</f>
        <v>5</v>
      </c>
      <c r="N404" s="3" t="s">
        <v>31</v>
      </c>
    </row>
    <row r="405" spans="1:14" x14ac:dyDescent="0.35">
      <c r="A405" s="11" t="s">
        <v>11</v>
      </c>
      <c r="B405" s="11" t="s">
        <v>571</v>
      </c>
      <c r="C405" s="11">
        <v>9</v>
      </c>
      <c r="D405" s="11">
        <v>6</v>
      </c>
      <c r="E405" s="11" t="s">
        <v>27</v>
      </c>
      <c r="F405" s="11" t="s">
        <v>39</v>
      </c>
      <c r="G405" s="12">
        <v>9.77</v>
      </c>
      <c r="H405" s="13">
        <v>101.1914022517912</v>
      </c>
      <c r="I405" s="11" t="s">
        <v>40</v>
      </c>
      <c r="J405" s="11" t="s">
        <v>30</v>
      </c>
      <c r="K405" s="7">
        <f>INDEX(Benchmark!$H$5:$H$807,MATCH(I405,Benchmark!$A$5:$A$807,0))</f>
        <v>132.44401544401541</v>
      </c>
      <c r="L405" s="14">
        <f t="shared" si="6"/>
        <v>-0.23596848138023119</v>
      </c>
      <c r="M405" s="15">
        <f>IF(L405&gt;Benchmark!$B$2,1,IF(L405&lt;-Benchmark!$B$2,5,3))</f>
        <v>5</v>
      </c>
      <c r="N405" s="3" t="s">
        <v>31</v>
      </c>
    </row>
    <row r="406" spans="1:14" x14ac:dyDescent="0.35">
      <c r="A406" s="11" t="s">
        <v>11</v>
      </c>
      <c r="B406" s="11" t="s">
        <v>572</v>
      </c>
      <c r="C406" s="11">
        <v>9</v>
      </c>
      <c r="D406" s="11">
        <v>1</v>
      </c>
      <c r="E406" s="11" t="s">
        <v>27</v>
      </c>
      <c r="F406" s="11" t="s">
        <v>84</v>
      </c>
      <c r="G406" s="12">
        <v>7.53</v>
      </c>
      <c r="H406" s="13">
        <v>98.221779548472767</v>
      </c>
      <c r="I406" s="11" t="s">
        <v>154</v>
      </c>
      <c r="J406" s="11" t="s">
        <v>30</v>
      </c>
      <c r="K406" s="7">
        <f>INDEX(Benchmark!$H$5:$H$807,MATCH(I406,Benchmark!$A$5:$A$807,0))</f>
        <v>125.7999199629302</v>
      </c>
      <c r="L406" s="14">
        <f t="shared" si="6"/>
        <v>-0.21922224133834078</v>
      </c>
      <c r="M406" s="15">
        <f>IF(L406&gt;Benchmark!$B$2,1,IF(L406&lt;-Benchmark!$B$2,5,3))</f>
        <v>5</v>
      </c>
      <c r="N406" s="3" t="s">
        <v>31</v>
      </c>
    </row>
    <row r="407" spans="1:14" x14ac:dyDescent="0.35">
      <c r="A407" s="11" t="s">
        <v>11</v>
      </c>
      <c r="B407" s="11" t="s">
        <v>573</v>
      </c>
      <c r="C407" s="11">
        <v>9</v>
      </c>
      <c r="D407" s="11">
        <v>5</v>
      </c>
      <c r="E407" s="11" t="s">
        <v>88</v>
      </c>
      <c r="F407" s="11" t="s">
        <v>93</v>
      </c>
      <c r="G407" s="12">
        <v>8.93</v>
      </c>
      <c r="H407" s="13">
        <v>67.615901455767073</v>
      </c>
      <c r="I407" s="11" t="s">
        <v>173</v>
      </c>
      <c r="J407" s="11" t="s">
        <v>30</v>
      </c>
      <c r="K407" s="7">
        <f>INDEX(Benchmark!$H$5:$H$807,MATCH(I407,Benchmark!$A$5:$A$807,0))</f>
        <v>85.703225806451599</v>
      </c>
      <c r="L407" s="14">
        <f t="shared" si="6"/>
        <v>-0.21104601583529825</v>
      </c>
      <c r="M407" s="15">
        <f>IF(L407&gt;Benchmark!$B$2,1,IF(L407&lt;-Benchmark!$B$2,5,3))</f>
        <v>5</v>
      </c>
      <c r="N407" s="3" t="s">
        <v>31</v>
      </c>
    </row>
    <row r="408" spans="1:14" x14ac:dyDescent="0.35">
      <c r="A408" s="11" t="s">
        <v>11</v>
      </c>
      <c r="B408" s="11" t="s">
        <v>574</v>
      </c>
      <c r="C408" s="11">
        <v>9</v>
      </c>
      <c r="D408" s="11">
        <v>1</v>
      </c>
      <c r="E408" s="11" t="s">
        <v>78</v>
      </c>
      <c r="F408" s="11" t="s">
        <v>93</v>
      </c>
      <c r="G408" s="12">
        <v>8.08</v>
      </c>
      <c r="H408" s="13">
        <v>82.71039603960395</v>
      </c>
      <c r="I408" s="11" t="s">
        <v>94</v>
      </c>
      <c r="J408" s="11" t="s">
        <v>30</v>
      </c>
      <c r="K408" s="7">
        <f>INDEX(Benchmark!$H$5:$H$807,MATCH(I408,Benchmark!$A$5:$A$807,0))</f>
        <v>110.9357798165138</v>
      </c>
      <c r="L408" s="14">
        <f t="shared" si="6"/>
        <v>-0.25442993976870432</v>
      </c>
      <c r="M408" s="15">
        <f>IF(L408&gt;Benchmark!$B$2,1,IF(L408&lt;-Benchmark!$B$2,5,3))</f>
        <v>5</v>
      </c>
      <c r="N408" s="3" t="s">
        <v>31</v>
      </c>
    </row>
    <row r="409" spans="1:14" x14ac:dyDescent="0.35">
      <c r="A409" s="11" t="s">
        <v>11</v>
      </c>
      <c r="B409" s="11" t="s">
        <v>575</v>
      </c>
      <c r="C409" s="11">
        <v>9</v>
      </c>
      <c r="D409" s="11">
        <v>5</v>
      </c>
      <c r="E409" s="11" t="s">
        <v>104</v>
      </c>
      <c r="F409" s="11" t="s">
        <v>243</v>
      </c>
      <c r="G409" s="12">
        <v>2.0499999999999998</v>
      </c>
      <c r="H409" s="13">
        <v>89.780487804878064</v>
      </c>
      <c r="I409" s="11" t="s">
        <v>244</v>
      </c>
      <c r="J409" s="11" t="s">
        <v>30</v>
      </c>
      <c r="K409" s="7">
        <f>INDEX(Benchmark!$H$5:$H$807,MATCH(I409,Benchmark!$A$5:$A$807,0))</f>
        <v>86.575609756097563</v>
      </c>
      <c r="L409" s="14">
        <f t="shared" si="6"/>
        <v>3.7018255578093351E-2</v>
      </c>
      <c r="M409" s="17">
        <f>IF(L409&gt;Benchmark!$B$2,1,IF(L409&lt;-Benchmark!$B$2,5,3))</f>
        <v>3</v>
      </c>
      <c r="N409" s="3" t="s">
        <v>31</v>
      </c>
    </row>
    <row r="410" spans="1:14" x14ac:dyDescent="0.35">
      <c r="A410" s="11" t="s">
        <v>11</v>
      </c>
      <c r="B410" s="11" t="s">
        <v>576</v>
      </c>
      <c r="C410" s="11">
        <v>9</v>
      </c>
      <c r="D410" s="11">
        <v>4</v>
      </c>
      <c r="E410" s="11" t="s">
        <v>88</v>
      </c>
      <c r="F410" s="11" t="s">
        <v>93</v>
      </c>
      <c r="G410" s="12">
        <v>5.93</v>
      </c>
      <c r="H410" s="13">
        <v>72.82967959527825</v>
      </c>
      <c r="I410" s="11" t="s">
        <v>173</v>
      </c>
      <c r="J410" s="11" t="s">
        <v>30</v>
      </c>
      <c r="K410" s="7">
        <f>INDEX(Benchmark!$H$5:$H$807,MATCH(I410,Benchmark!$A$5:$A$807,0))</f>
        <v>85.703225806451599</v>
      </c>
      <c r="L410" s="14">
        <f t="shared" si="6"/>
        <v>-0.15021075449652732</v>
      </c>
      <c r="M410" s="15">
        <f>IF(L410&gt;Benchmark!$B$2,1,IF(L410&lt;-Benchmark!$B$2,5,3))</f>
        <v>5</v>
      </c>
      <c r="N410" s="3" t="s">
        <v>31</v>
      </c>
    </row>
    <row r="411" spans="1:14" x14ac:dyDescent="0.35">
      <c r="A411" s="11" t="s">
        <v>11</v>
      </c>
      <c r="B411" s="11" t="s">
        <v>577</v>
      </c>
      <c r="C411" s="11">
        <v>9</v>
      </c>
      <c r="D411" s="11">
        <v>3</v>
      </c>
      <c r="E411" s="11" t="s">
        <v>48</v>
      </c>
      <c r="F411" s="11" t="s">
        <v>360</v>
      </c>
      <c r="G411" s="12">
        <v>6.21</v>
      </c>
      <c r="H411" s="13">
        <v>96.426731078905007</v>
      </c>
      <c r="I411" s="11" t="s">
        <v>74</v>
      </c>
      <c r="J411" s="11" t="s">
        <v>37</v>
      </c>
      <c r="K411" s="7">
        <f>INDEX(Benchmark!$H$5:$H$807,MATCH(I411,Benchmark!$A$5:$A$807,0))</f>
        <v>131.10214067278289</v>
      </c>
      <c r="L411" s="14">
        <f t="shared" si="6"/>
        <v>-0.26449155914565914</v>
      </c>
      <c r="M411" s="15">
        <f>IF(L411&gt;Benchmark!$B$2,1,IF(L411&lt;-Benchmark!$B$2,5,3))</f>
        <v>5</v>
      </c>
      <c r="N411" s="3" t="s">
        <v>31</v>
      </c>
    </row>
    <row r="412" spans="1:14" x14ac:dyDescent="0.35">
      <c r="A412" s="11" t="s">
        <v>11</v>
      </c>
      <c r="B412" s="11" t="s">
        <v>578</v>
      </c>
      <c r="C412" s="11">
        <v>9</v>
      </c>
      <c r="D412" s="11">
        <v>4</v>
      </c>
      <c r="E412" s="11" t="s">
        <v>104</v>
      </c>
      <c r="F412" s="11" t="s">
        <v>360</v>
      </c>
      <c r="G412" s="12">
        <v>9.1199999999999992</v>
      </c>
      <c r="H412" s="13">
        <v>61.976973684210527</v>
      </c>
      <c r="I412" s="11" t="s">
        <v>204</v>
      </c>
      <c r="J412" s="11" t="s">
        <v>37</v>
      </c>
      <c r="K412" s="7">
        <f>INDEX(Benchmark!$H$5:$H$807,MATCH(I412,Benchmark!$A$5:$A$807,0))</f>
        <v>103.0479080166081</v>
      </c>
      <c r="L412" s="14">
        <f t="shared" si="6"/>
        <v>-0.39856155377533942</v>
      </c>
      <c r="M412" s="15">
        <f>IF(L412&gt;Benchmark!$B$2,1,IF(L412&lt;-Benchmark!$B$2,5,3))</f>
        <v>5</v>
      </c>
      <c r="N412" s="3" t="s">
        <v>31</v>
      </c>
    </row>
    <row r="413" spans="1:14" x14ac:dyDescent="0.35">
      <c r="A413" s="11" t="s">
        <v>11</v>
      </c>
      <c r="B413" s="11" t="s">
        <v>579</v>
      </c>
      <c r="C413" s="11">
        <v>9</v>
      </c>
      <c r="D413" s="11">
        <v>3</v>
      </c>
      <c r="E413" s="11" t="s">
        <v>78</v>
      </c>
      <c r="F413" s="11" t="s">
        <v>186</v>
      </c>
      <c r="G413" s="12">
        <v>8.24</v>
      </c>
      <c r="H413" s="13">
        <v>83.736650485436897</v>
      </c>
      <c r="I413" s="11" t="s">
        <v>80</v>
      </c>
      <c r="J413" s="11" t="s">
        <v>37</v>
      </c>
      <c r="K413" s="7">
        <f>INDEX(Benchmark!$H$5:$H$807,MATCH(I413,Benchmark!$A$5:$A$807,0))</f>
        <v>110.9357798165138</v>
      </c>
      <c r="L413" s="14">
        <f t="shared" si="6"/>
        <v>-0.24517905202508938</v>
      </c>
      <c r="M413" s="15">
        <f>IF(L413&gt;Benchmark!$B$2,1,IF(L413&lt;-Benchmark!$B$2,5,3))</f>
        <v>5</v>
      </c>
      <c r="N413" s="3" t="s">
        <v>31</v>
      </c>
    </row>
    <row r="414" spans="1:14" x14ac:dyDescent="0.35">
      <c r="A414" s="11" t="s">
        <v>11</v>
      </c>
      <c r="B414" s="11" t="s">
        <v>580</v>
      </c>
      <c r="C414" s="11">
        <v>9</v>
      </c>
      <c r="D414" s="11">
        <v>3</v>
      </c>
      <c r="E414" s="11" t="s">
        <v>88</v>
      </c>
      <c r="F414" s="11" t="s">
        <v>186</v>
      </c>
      <c r="G414" s="12">
        <v>8.61</v>
      </c>
      <c r="H414" s="13">
        <v>65.174216027874564</v>
      </c>
      <c r="I414" s="11" t="s">
        <v>258</v>
      </c>
      <c r="J414" s="11" t="s">
        <v>30</v>
      </c>
      <c r="K414" s="7">
        <f>INDEX(Benchmark!$H$5:$H$807,MATCH(I414,Benchmark!$A$5:$A$807,0))</f>
        <v>107.4748001390337</v>
      </c>
      <c r="L414" s="14">
        <f t="shared" si="6"/>
        <v>-0.39358606907328431</v>
      </c>
      <c r="M414" s="15">
        <f>IF(L414&gt;Benchmark!$B$2,1,IF(L414&lt;-Benchmark!$B$2,5,3))</f>
        <v>5</v>
      </c>
      <c r="N414" s="3" t="s">
        <v>31</v>
      </c>
    </row>
    <row r="415" spans="1:14" x14ac:dyDescent="0.35">
      <c r="A415" s="11" t="s">
        <v>11</v>
      </c>
      <c r="B415" s="11" t="s">
        <v>581</v>
      </c>
      <c r="C415" s="11">
        <v>9</v>
      </c>
      <c r="D415" s="11">
        <v>1</v>
      </c>
      <c r="E415" s="11" t="s">
        <v>78</v>
      </c>
      <c r="F415" s="11" t="s">
        <v>582</v>
      </c>
      <c r="G415" s="12">
        <v>10.23</v>
      </c>
      <c r="H415" s="13">
        <v>111.3108504398827</v>
      </c>
      <c r="I415" s="11" t="s">
        <v>80</v>
      </c>
      <c r="J415" s="11" t="s">
        <v>37</v>
      </c>
      <c r="K415" s="7">
        <f>INDEX(Benchmark!$H$5:$H$807,MATCH(I415,Benchmark!$A$5:$A$807,0))</f>
        <v>110.9357798165138</v>
      </c>
      <c r="L415" s="14">
        <f t="shared" si="6"/>
        <v>3.3809707200802563E-3</v>
      </c>
      <c r="M415" s="17">
        <f>IF(L415&gt;Benchmark!$B$2,1,IF(L415&lt;-Benchmark!$B$2,5,3))</f>
        <v>3</v>
      </c>
      <c r="N415" s="3" t="s">
        <v>31</v>
      </c>
    </row>
    <row r="416" spans="1:14" x14ac:dyDescent="0.35">
      <c r="A416" s="11" t="s">
        <v>11</v>
      </c>
      <c r="B416" s="11" t="s">
        <v>583</v>
      </c>
      <c r="C416" s="11">
        <v>9</v>
      </c>
      <c r="D416" s="11">
        <v>15</v>
      </c>
      <c r="E416" s="11" t="s">
        <v>198</v>
      </c>
      <c r="F416" s="11" t="s">
        <v>393</v>
      </c>
      <c r="G416" s="12">
        <v>5.28</v>
      </c>
      <c r="H416" s="13">
        <v>91.189393939393938</v>
      </c>
      <c r="I416" s="11" t="s">
        <v>394</v>
      </c>
      <c r="J416" s="11" t="s">
        <v>30</v>
      </c>
      <c r="K416" s="7">
        <f>INDEX(Benchmark!$H$5:$H$807,MATCH(I416,Benchmark!$A$5:$A$807,0))</f>
        <v>83.798922800718131</v>
      </c>
      <c r="L416" s="14">
        <f t="shared" si="6"/>
        <v>8.8192913365378933E-2</v>
      </c>
      <c r="M416" s="16">
        <f>IF(L416&gt;Benchmark!$B$2,1,IF(L416&lt;-Benchmark!$B$2,5,3))</f>
        <v>1</v>
      </c>
      <c r="N416" s="3" t="s">
        <v>31</v>
      </c>
    </row>
    <row r="417" spans="1:14" x14ac:dyDescent="0.35">
      <c r="A417" s="11" t="s">
        <v>11</v>
      </c>
      <c r="B417" s="11" t="s">
        <v>584</v>
      </c>
      <c r="C417" s="11">
        <v>9</v>
      </c>
      <c r="D417" s="11">
        <v>1</v>
      </c>
      <c r="E417" s="11" t="s">
        <v>27</v>
      </c>
      <c r="F417" s="11" t="s">
        <v>147</v>
      </c>
      <c r="G417" s="12">
        <v>4.95</v>
      </c>
      <c r="H417" s="13">
        <v>88.092929292929284</v>
      </c>
      <c r="I417" s="11" t="s">
        <v>192</v>
      </c>
      <c r="J417" s="11" t="s">
        <v>30</v>
      </c>
      <c r="K417" s="7">
        <f>INDEX(Benchmark!$H$5:$H$807,MATCH(I417,Benchmark!$A$5:$A$807,0))</f>
        <v>111.5504885993485</v>
      </c>
      <c r="L417" s="14">
        <f t="shared" si="6"/>
        <v>-0.21028647745928575</v>
      </c>
      <c r="M417" s="15">
        <f>IF(L417&gt;Benchmark!$B$2,1,IF(L417&lt;-Benchmark!$B$2,5,3))</f>
        <v>5</v>
      </c>
      <c r="N417" s="3" t="s">
        <v>31</v>
      </c>
    </row>
    <row r="418" spans="1:14" x14ac:dyDescent="0.35">
      <c r="A418" s="11" t="s">
        <v>11</v>
      </c>
      <c r="B418" s="11" t="s">
        <v>585</v>
      </c>
      <c r="C418" s="11">
        <v>10</v>
      </c>
      <c r="D418" s="11">
        <v>2</v>
      </c>
      <c r="E418" s="11" t="s">
        <v>48</v>
      </c>
      <c r="F418" s="11" t="s">
        <v>39</v>
      </c>
      <c r="G418" s="12">
        <v>7.92</v>
      </c>
      <c r="H418" s="13">
        <v>91</v>
      </c>
      <c r="I418" s="11" t="s">
        <v>49</v>
      </c>
      <c r="J418" s="11" t="s">
        <v>30</v>
      </c>
      <c r="K418" s="7">
        <f>INDEX(Benchmark!$H$5:$H$807,MATCH(I418,Benchmark!$A$5:$A$807,0))</f>
        <v>132.03967168262659</v>
      </c>
      <c r="L418" s="14">
        <f t="shared" si="6"/>
        <v>-0.31081319091182258</v>
      </c>
      <c r="M418" s="15">
        <f>IF(L418&gt;Benchmark!$B$2,1,IF(L418&lt;-Benchmark!$B$2,5,3))</f>
        <v>5</v>
      </c>
      <c r="N418" s="3" t="s">
        <v>586</v>
      </c>
    </row>
    <row r="419" spans="1:14" x14ac:dyDescent="0.35">
      <c r="A419" s="11" t="s">
        <v>11</v>
      </c>
      <c r="B419" s="11" t="s">
        <v>587</v>
      </c>
      <c r="C419" s="11">
        <v>10</v>
      </c>
      <c r="D419" s="11">
        <v>7</v>
      </c>
      <c r="E419" s="11" t="s">
        <v>27</v>
      </c>
      <c r="F419" s="11" t="s">
        <v>59</v>
      </c>
      <c r="G419" s="12">
        <v>11.29</v>
      </c>
      <c r="H419" s="13">
        <v>135</v>
      </c>
      <c r="I419" s="11" t="s">
        <v>137</v>
      </c>
      <c r="J419" s="11" t="s">
        <v>30</v>
      </c>
      <c r="K419" s="7">
        <f>INDEX(Benchmark!$H$5:$H$807,MATCH(I419,Benchmark!$A$5:$A$807,0))</f>
        <v>145.54881050041021</v>
      </c>
      <c r="L419" s="14">
        <f t="shared" si="6"/>
        <v>-7.2476102443863488E-2</v>
      </c>
      <c r="M419" s="15">
        <f>IF(L419&gt;Benchmark!$B$2,1,IF(L419&lt;-Benchmark!$B$2,5,3))</f>
        <v>5</v>
      </c>
      <c r="N419" s="3" t="s">
        <v>586</v>
      </c>
    </row>
    <row r="420" spans="1:14" x14ac:dyDescent="0.35">
      <c r="A420" s="11" t="s">
        <v>11</v>
      </c>
      <c r="B420" s="11" t="s">
        <v>588</v>
      </c>
      <c r="C420" s="11">
        <v>10</v>
      </c>
      <c r="D420" s="11">
        <v>3</v>
      </c>
      <c r="E420" s="11" t="s">
        <v>48</v>
      </c>
      <c r="F420" s="11" t="s">
        <v>169</v>
      </c>
      <c r="G420" s="12">
        <v>7.32</v>
      </c>
      <c r="H420" s="13">
        <v>107</v>
      </c>
      <c r="I420" s="11" t="s">
        <v>74</v>
      </c>
      <c r="J420" s="11" t="s">
        <v>37</v>
      </c>
      <c r="K420" s="7">
        <f>INDEX(Benchmark!$H$5:$H$807,MATCH(I420,Benchmark!$A$5:$A$807,0))</f>
        <v>131.10214067278289</v>
      </c>
      <c r="L420" s="14">
        <f t="shared" si="6"/>
        <v>-0.18384246473091004</v>
      </c>
      <c r="M420" s="15">
        <f>IF(L420&gt;Benchmark!$B$2,1,IF(L420&lt;-Benchmark!$B$2,5,3))</f>
        <v>5</v>
      </c>
      <c r="N420" s="3" t="s">
        <v>586</v>
      </c>
    </row>
    <row r="421" spans="1:14" x14ac:dyDescent="0.35">
      <c r="A421" s="11" t="s">
        <v>11</v>
      </c>
      <c r="B421" s="11" t="s">
        <v>589</v>
      </c>
      <c r="C421" s="11">
        <v>10</v>
      </c>
      <c r="D421" s="11">
        <v>5</v>
      </c>
      <c r="E421" s="11" t="s">
        <v>27</v>
      </c>
      <c r="F421" s="11" t="s">
        <v>169</v>
      </c>
      <c r="G421" s="12">
        <v>3.49</v>
      </c>
      <c r="H421" s="13">
        <v>101</v>
      </c>
      <c r="I421" s="11" t="s">
        <v>170</v>
      </c>
      <c r="J421" s="11" t="s">
        <v>30</v>
      </c>
      <c r="K421" s="7">
        <f>INDEX(Benchmark!$H$5:$H$807,MATCH(I421,Benchmark!$A$5:$A$807,0))</f>
        <v>155.66381578947369</v>
      </c>
      <c r="L421" s="14">
        <f t="shared" si="6"/>
        <v>-0.35116584745297097</v>
      </c>
      <c r="M421" s="15">
        <f>IF(L421&gt;Benchmark!$B$2,1,IF(L421&lt;-Benchmark!$B$2,5,3))</f>
        <v>5</v>
      </c>
      <c r="N421" s="3" t="s">
        <v>586</v>
      </c>
    </row>
    <row r="422" spans="1:14" x14ac:dyDescent="0.35">
      <c r="A422" s="11" t="s">
        <v>11</v>
      </c>
      <c r="B422" s="11" t="s">
        <v>590</v>
      </c>
      <c r="C422" s="11">
        <v>10</v>
      </c>
      <c r="D422" s="11">
        <v>3</v>
      </c>
      <c r="E422" s="11" t="s">
        <v>27</v>
      </c>
      <c r="F422" s="11" t="s">
        <v>169</v>
      </c>
      <c r="G422" s="12">
        <v>8.4499999999999993</v>
      </c>
      <c r="H422" s="13">
        <v>104</v>
      </c>
      <c r="I422" s="11" t="s">
        <v>170</v>
      </c>
      <c r="J422" s="11" t="s">
        <v>30</v>
      </c>
      <c r="K422" s="7">
        <f>INDEX(Benchmark!$H$5:$H$807,MATCH(I422,Benchmark!$A$5:$A$807,0))</f>
        <v>155.66381578947369</v>
      </c>
      <c r="L422" s="14">
        <f t="shared" si="6"/>
        <v>-0.33189354589216813</v>
      </c>
      <c r="M422" s="15">
        <f>IF(L422&gt;Benchmark!$B$2,1,IF(L422&lt;-Benchmark!$B$2,5,3))</f>
        <v>5</v>
      </c>
      <c r="N422" s="3" t="s">
        <v>586</v>
      </c>
    </row>
    <row r="423" spans="1:14" x14ac:dyDescent="0.35">
      <c r="A423" s="11" t="s">
        <v>11</v>
      </c>
      <c r="B423" s="11" t="s">
        <v>591</v>
      </c>
      <c r="C423" s="11">
        <v>10</v>
      </c>
      <c r="D423" s="11">
        <v>3</v>
      </c>
      <c r="E423" s="11" t="s">
        <v>34</v>
      </c>
      <c r="F423" s="11" t="s">
        <v>39</v>
      </c>
      <c r="G423" s="12">
        <v>10.210000000000001</v>
      </c>
      <c r="H423" s="13">
        <v>134</v>
      </c>
      <c r="I423" s="11" t="s">
        <v>51</v>
      </c>
      <c r="J423" s="11" t="s">
        <v>30</v>
      </c>
      <c r="K423" s="7">
        <f>INDEX(Benchmark!$H$5:$H$807,MATCH(I423,Benchmark!$A$5:$A$807,0))</f>
        <v>134.7097020626432</v>
      </c>
      <c r="L423" s="14">
        <f t="shared" si="6"/>
        <v>-5.2683812062265245E-3</v>
      </c>
      <c r="M423" s="17">
        <f>IF(L423&gt;Benchmark!$B$2,1,IF(L423&lt;-Benchmark!$B$2,5,3))</f>
        <v>3</v>
      </c>
      <c r="N423" s="3" t="s">
        <v>586</v>
      </c>
    </row>
    <row r="424" spans="1:14" x14ac:dyDescent="0.35">
      <c r="A424" s="11" t="s">
        <v>11</v>
      </c>
      <c r="B424" s="11" t="s">
        <v>592</v>
      </c>
      <c r="C424" s="11">
        <v>10</v>
      </c>
      <c r="D424" s="11">
        <v>6</v>
      </c>
      <c r="E424" s="11" t="s">
        <v>88</v>
      </c>
      <c r="F424" s="11" t="s">
        <v>186</v>
      </c>
      <c r="G424" s="12">
        <v>22.18</v>
      </c>
      <c r="H424" s="13">
        <v>81</v>
      </c>
      <c r="I424" s="11" t="s">
        <v>258</v>
      </c>
      <c r="J424" s="11" t="s">
        <v>30</v>
      </c>
      <c r="K424" s="7">
        <f>INDEX(Benchmark!$H$5:$H$807,MATCH(I424,Benchmark!$A$5:$A$807,0))</f>
        <v>107.4748001390337</v>
      </c>
      <c r="L424" s="14">
        <f t="shared" si="6"/>
        <v>-0.24633495577367759</v>
      </c>
      <c r="M424" s="15">
        <f>IF(L424&gt;Benchmark!$B$2,1,IF(L424&lt;-Benchmark!$B$2,5,3))</f>
        <v>5</v>
      </c>
      <c r="N424" s="3" t="s">
        <v>586</v>
      </c>
    </row>
    <row r="425" spans="1:14" x14ac:dyDescent="0.35">
      <c r="A425" s="11" t="s">
        <v>11</v>
      </c>
      <c r="B425" s="11" t="s">
        <v>593</v>
      </c>
      <c r="C425" s="11">
        <v>10</v>
      </c>
      <c r="D425" s="11">
        <v>2</v>
      </c>
      <c r="E425" s="11" t="s">
        <v>27</v>
      </c>
      <c r="F425" s="11" t="s">
        <v>186</v>
      </c>
      <c r="G425" s="12">
        <v>13.64</v>
      </c>
      <c r="H425" s="13">
        <v>123</v>
      </c>
      <c r="I425" s="11" t="s">
        <v>515</v>
      </c>
      <c r="J425" s="11" t="s">
        <v>30</v>
      </c>
      <c r="K425" s="7">
        <f>INDEX(Benchmark!$H$5:$H$807,MATCH(I425,Benchmark!$A$5:$A$807,0))</f>
        <v>138.46153846153851</v>
      </c>
      <c r="L425" s="14">
        <f t="shared" si="6"/>
        <v>-0.11166666666666702</v>
      </c>
      <c r="M425" s="15">
        <f>IF(L425&gt;Benchmark!$B$2,1,IF(L425&lt;-Benchmark!$B$2,5,3))</f>
        <v>5</v>
      </c>
      <c r="N425" s="3" t="s">
        <v>586</v>
      </c>
    </row>
    <row r="426" spans="1:14" x14ac:dyDescent="0.35">
      <c r="A426" s="11" t="s">
        <v>11</v>
      </c>
      <c r="B426" s="11" t="s">
        <v>594</v>
      </c>
      <c r="C426" s="11">
        <v>10</v>
      </c>
      <c r="D426" s="11">
        <v>4</v>
      </c>
      <c r="E426" s="11" t="s">
        <v>34</v>
      </c>
      <c r="F426" s="11" t="s">
        <v>524</v>
      </c>
      <c r="G426" s="12">
        <v>3.39</v>
      </c>
      <c r="H426" s="13">
        <v>82</v>
      </c>
      <c r="I426" s="11" t="s">
        <v>36</v>
      </c>
      <c r="J426" s="11" t="s">
        <v>37</v>
      </c>
      <c r="K426" s="7">
        <f>INDEX(Benchmark!$H$5:$H$807,MATCH(I426,Benchmark!$A$5:$A$807,0))</f>
        <v>135.18231292517009</v>
      </c>
      <c r="L426" s="14">
        <f t="shared" si="6"/>
        <v>-0.39341176944212408</v>
      </c>
      <c r="M426" s="15">
        <f>IF(L426&gt;Benchmark!$B$2,1,IF(L426&lt;-Benchmark!$B$2,5,3))</f>
        <v>5</v>
      </c>
      <c r="N426" s="3" t="s">
        <v>586</v>
      </c>
    </row>
    <row r="427" spans="1:14" x14ac:dyDescent="0.35">
      <c r="A427" s="11" t="s">
        <v>11</v>
      </c>
      <c r="B427" s="11" t="s">
        <v>595</v>
      </c>
      <c r="C427" s="11">
        <v>10</v>
      </c>
      <c r="D427" s="11">
        <v>5</v>
      </c>
      <c r="E427" s="11" t="s">
        <v>104</v>
      </c>
      <c r="F427" s="11" t="s">
        <v>84</v>
      </c>
      <c r="G427" s="12">
        <v>11.16</v>
      </c>
      <c r="H427" s="13">
        <v>90</v>
      </c>
      <c r="I427" s="11" t="s">
        <v>175</v>
      </c>
      <c r="J427" s="11" t="s">
        <v>30</v>
      </c>
      <c r="K427" s="7">
        <f>INDEX(Benchmark!$H$5:$H$807,MATCH(I427,Benchmark!$A$5:$A$807,0))</f>
        <v>107.50926587244901</v>
      </c>
      <c r="L427" s="14">
        <f t="shared" si="6"/>
        <v>-0.1628628540094611</v>
      </c>
      <c r="M427" s="15">
        <f>IF(L427&gt;Benchmark!$B$2,1,IF(L427&lt;-Benchmark!$B$2,5,3))</f>
        <v>5</v>
      </c>
      <c r="N427" s="3" t="s">
        <v>586</v>
      </c>
    </row>
    <row r="428" spans="1:14" x14ac:dyDescent="0.35">
      <c r="A428" s="11" t="s">
        <v>11</v>
      </c>
      <c r="B428" s="11" t="s">
        <v>596</v>
      </c>
      <c r="C428" s="11">
        <v>10</v>
      </c>
      <c r="D428" s="11">
        <v>1</v>
      </c>
      <c r="E428" s="11" t="s">
        <v>88</v>
      </c>
      <c r="F428" s="11" t="s">
        <v>220</v>
      </c>
      <c r="G428" s="12">
        <v>10.25</v>
      </c>
      <c r="H428" s="13">
        <v>73</v>
      </c>
      <c r="I428" s="11" t="s">
        <v>218</v>
      </c>
      <c r="J428" s="11" t="s">
        <v>37</v>
      </c>
      <c r="K428" s="7">
        <f>INDEX(Benchmark!$H$5:$H$807,MATCH(I428,Benchmark!$A$5:$A$807,0))</f>
        <v>110.4166666666667</v>
      </c>
      <c r="L428" s="14">
        <f t="shared" si="6"/>
        <v>-0.33886792452830206</v>
      </c>
      <c r="M428" s="15">
        <f>IF(L428&gt;Benchmark!$B$2,1,IF(L428&lt;-Benchmark!$B$2,5,3))</f>
        <v>5</v>
      </c>
      <c r="N428" s="3" t="s">
        <v>586</v>
      </c>
    </row>
    <row r="429" spans="1:14" x14ac:dyDescent="0.35">
      <c r="A429" s="11" t="s">
        <v>11</v>
      </c>
      <c r="B429" s="11" t="s">
        <v>597</v>
      </c>
      <c r="C429" s="11">
        <v>10</v>
      </c>
      <c r="D429" s="11">
        <v>5</v>
      </c>
      <c r="E429" s="11" t="s">
        <v>305</v>
      </c>
      <c r="F429" s="11" t="s">
        <v>186</v>
      </c>
      <c r="G429" s="12">
        <v>1.45</v>
      </c>
      <c r="H429" s="13">
        <v>141</v>
      </c>
      <c r="I429" s="11" t="s">
        <v>306</v>
      </c>
      <c r="J429" s="11" t="s">
        <v>37</v>
      </c>
      <c r="K429" s="7">
        <f>INDEX(Benchmark!$H$5:$H$807,MATCH(I429,Benchmark!$A$5:$A$807,0))</f>
        <v>108.9637989234559</v>
      </c>
      <c r="L429" s="14">
        <f t="shared" si="6"/>
        <v>0.29400774746343661</v>
      </c>
      <c r="M429" s="16">
        <f>IF(L429&gt;Benchmark!$B$2,1,IF(L429&lt;-Benchmark!$B$2,5,3))</f>
        <v>1</v>
      </c>
      <c r="N429" s="3" t="s">
        <v>586</v>
      </c>
    </row>
    <row r="430" spans="1:14" x14ac:dyDescent="0.35">
      <c r="A430" s="11" t="s">
        <v>11</v>
      </c>
      <c r="B430" s="11" t="s">
        <v>598</v>
      </c>
      <c r="C430" s="11">
        <v>10</v>
      </c>
      <c r="D430" s="11">
        <v>3</v>
      </c>
      <c r="E430" s="11" t="s">
        <v>27</v>
      </c>
      <c r="F430" s="11" t="s">
        <v>84</v>
      </c>
      <c r="G430" s="12">
        <v>8.4600000000000009</v>
      </c>
      <c r="H430" s="13">
        <v>103</v>
      </c>
      <c r="I430" s="11" t="s">
        <v>154</v>
      </c>
      <c r="J430" s="11" t="s">
        <v>30</v>
      </c>
      <c r="K430" s="7">
        <f>INDEX(Benchmark!$H$5:$H$807,MATCH(I430,Benchmark!$A$5:$A$807,0))</f>
        <v>125.7999199629302</v>
      </c>
      <c r="L430" s="14">
        <f t="shared" si="6"/>
        <v>-0.18123954267736198</v>
      </c>
      <c r="M430" s="15">
        <f>IF(L430&gt;Benchmark!$B$2,1,IF(L430&lt;-Benchmark!$B$2,5,3))</f>
        <v>5</v>
      </c>
      <c r="N430" s="3" t="s">
        <v>586</v>
      </c>
    </row>
    <row r="431" spans="1:14" x14ac:dyDescent="0.35">
      <c r="A431" s="11" t="s">
        <v>11</v>
      </c>
      <c r="B431" s="11" t="s">
        <v>599</v>
      </c>
      <c r="C431" s="11">
        <v>10</v>
      </c>
      <c r="D431" s="11">
        <v>1</v>
      </c>
      <c r="E431" s="11" t="s">
        <v>27</v>
      </c>
      <c r="F431" s="11" t="s">
        <v>93</v>
      </c>
      <c r="G431" s="12">
        <v>2.8</v>
      </c>
      <c r="H431" s="13">
        <v>74</v>
      </c>
      <c r="I431" s="11" t="s">
        <v>144</v>
      </c>
      <c r="J431" s="11" t="s">
        <v>37</v>
      </c>
      <c r="K431" s="7">
        <f>INDEX(Benchmark!$H$5:$H$807,MATCH(I431,Benchmark!$A$5:$A$807,0))</f>
        <v>131.49167927382749</v>
      </c>
      <c r="L431" s="14">
        <f t="shared" si="6"/>
        <v>-0.43722674766441139</v>
      </c>
      <c r="M431" s="15">
        <f>IF(L431&gt;Benchmark!$B$2,1,IF(L431&lt;-Benchmark!$B$2,5,3))</f>
        <v>5</v>
      </c>
      <c r="N431" s="3" t="s">
        <v>586</v>
      </c>
    </row>
    <row r="432" spans="1:14" x14ac:dyDescent="0.35">
      <c r="A432" s="11" t="s">
        <v>11</v>
      </c>
      <c r="B432" s="11" t="s">
        <v>600</v>
      </c>
      <c r="C432" s="11">
        <v>10</v>
      </c>
      <c r="D432" s="11">
        <v>4</v>
      </c>
      <c r="E432" s="11" t="s">
        <v>601</v>
      </c>
      <c r="F432" s="11" t="s">
        <v>182</v>
      </c>
      <c r="G432" s="12">
        <v>3</v>
      </c>
      <c r="H432" s="13">
        <v>66</v>
      </c>
      <c r="I432" s="11" t="s">
        <v>602</v>
      </c>
      <c r="J432" s="11" t="s">
        <v>30</v>
      </c>
      <c r="K432" s="7">
        <f>INDEX(Benchmark!$H$5:$H$807,MATCH(I432,Benchmark!$A$5:$A$807,0))</f>
        <v>122.0784988179669</v>
      </c>
      <c r="L432" s="14">
        <f t="shared" si="6"/>
        <v>-0.45936425628551025</v>
      </c>
      <c r="M432" s="15">
        <f>IF(L432&gt;Benchmark!$B$2,1,IF(L432&lt;-Benchmark!$B$2,5,3))</f>
        <v>5</v>
      </c>
      <c r="N432" s="3" t="s">
        <v>586</v>
      </c>
    </row>
    <row r="433" spans="1:14" x14ac:dyDescent="0.35">
      <c r="A433" s="11" t="s">
        <v>11</v>
      </c>
      <c r="B433" s="11" t="s">
        <v>603</v>
      </c>
      <c r="C433" s="11">
        <v>10</v>
      </c>
      <c r="D433" s="11">
        <v>3</v>
      </c>
      <c r="E433" s="11" t="s">
        <v>604</v>
      </c>
      <c r="F433" s="11" t="s">
        <v>84</v>
      </c>
      <c r="G433" s="12">
        <v>15.91</v>
      </c>
      <c r="H433" s="13">
        <v>90</v>
      </c>
      <c r="I433" s="11" t="s">
        <v>605</v>
      </c>
      <c r="J433" s="11" t="s">
        <v>30</v>
      </c>
      <c r="K433" s="7">
        <f>INDEX(Benchmark!$H$5:$H$807,MATCH(I433,Benchmark!$A$5:$A$807,0))</f>
        <v>116.93966059082339</v>
      </c>
      <c r="L433" s="14">
        <f t="shared" si="6"/>
        <v>-0.23037231726784602</v>
      </c>
      <c r="M433" s="15">
        <f>IF(L433&gt;Benchmark!$B$2,1,IF(L433&lt;-Benchmark!$B$2,5,3))</f>
        <v>5</v>
      </c>
      <c r="N433" s="3" t="s">
        <v>586</v>
      </c>
    </row>
    <row r="434" spans="1:14" x14ac:dyDescent="0.35">
      <c r="A434" s="11" t="s">
        <v>11</v>
      </c>
      <c r="B434" s="11" t="s">
        <v>606</v>
      </c>
      <c r="C434" s="11">
        <v>10</v>
      </c>
      <c r="D434" s="11">
        <v>3</v>
      </c>
      <c r="E434" s="11" t="s">
        <v>88</v>
      </c>
      <c r="F434" s="11" t="s">
        <v>84</v>
      </c>
      <c r="G434" s="12">
        <v>17.399999999999999</v>
      </c>
      <c r="H434" s="13">
        <v>106</v>
      </c>
      <c r="I434" s="11" t="s">
        <v>351</v>
      </c>
      <c r="J434" s="11" t="s">
        <v>30</v>
      </c>
      <c r="K434" s="7">
        <f>INDEX(Benchmark!$H$5:$H$807,MATCH(I434,Benchmark!$A$5:$A$807,0))</f>
        <v>106.29246581471931</v>
      </c>
      <c r="L434" s="14">
        <f t="shared" si="6"/>
        <v>-2.7515197100527189E-3</v>
      </c>
      <c r="M434" s="17">
        <f>IF(L434&gt;Benchmark!$B$2,1,IF(L434&lt;-Benchmark!$B$2,5,3))</f>
        <v>3</v>
      </c>
      <c r="N434" s="3" t="s">
        <v>586</v>
      </c>
    </row>
    <row r="435" spans="1:14" x14ac:dyDescent="0.35">
      <c r="A435" s="11" t="s">
        <v>11</v>
      </c>
      <c r="B435" s="11" t="s">
        <v>607</v>
      </c>
      <c r="C435" s="11">
        <v>10</v>
      </c>
      <c r="D435" s="11">
        <v>6</v>
      </c>
      <c r="E435" s="11" t="s">
        <v>104</v>
      </c>
      <c r="F435" s="11" t="s">
        <v>364</v>
      </c>
      <c r="G435" s="12">
        <v>15.24</v>
      </c>
      <c r="H435" s="13">
        <v>74</v>
      </c>
      <c r="I435" s="11" t="s">
        <v>402</v>
      </c>
      <c r="J435" s="11" t="s">
        <v>30</v>
      </c>
      <c r="K435" s="7">
        <f>INDEX(Benchmark!$H$5:$H$807,MATCH(I435,Benchmark!$A$5:$A$807,0))</f>
        <v>100.8908794788274</v>
      </c>
      <c r="L435" s="14">
        <f t="shared" si="6"/>
        <v>-0.26653429544610741</v>
      </c>
      <c r="M435" s="15">
        <f>IF(L435&gt;Benchmark!$B$2,1,IF(L435&lt;-Benchmark!$B$2,5,3))</f>
        <v>5</v>
      </c>
      <c r="N435" s="3" t="s">
        <v>586</v>
      </c>
    </row>
    <row r="436" spans="1:14" x14ac:dyDescent="0.35">
      <c r="A436" s="11" t="s">
        <v>11</v>
      </c>
      <c r="B436" s="11" t="s">
        <v>608</v>
      </c>
      <c r="C436" s="11">
        <v>10</v>
      </c>
      <c r="D436" s="11">
        <v>6</v>
      </c>
      <c r="E436" s="11" t="s">
        <v>104</v>
      </c>
      <c r="F436" s="11" t="s">
        <v>186</v>
      </c>
      <c r="G436" s="12">
        <v>15.41</v>
      </c>
      <c r="H436" s="13">
        <v>91</v>
      </c>
      <c r="I436" s="11" t="s">
        <v>609</v>
      </c>
      <c r="J436" s="11" t="s">
        <v>30</v>
      </c>
      <c r="K436" s="7">
        <f>INDEX(Benchmark!$H$5:$H$807,MATCH(I436,Benchmark!$A$5:$A$807,0))</f>
        <v>116.8160621761658</v>
      </c>
      <c r="L436" s="14">
        <f t="shared" si="6"/>
        <v>-0.22099753831141467</v>
      </c>
      <c r="M436" s="15">
        <f>IF(L436&gt;Benchmark!$B$2,1,IF(L436&lt;-Benchmark!$B$2,5,3))</f>
        <v>5</v>
      </c>
      <c r="N436" s="3" t="s">
        <v>586</v>
      </c>
    </row>
    <row r="437" spans="1:14" x14ac:dyDescent="0.35">
      <c r="A437" s="11" t="s">
        <v>11</v>
      </c>
      <c r="B437" s="11" t="s">
        <v>610</v>
      </c>
      <c r="C437" s="11">
        <v>10</v>
      </c>
      <c r="D437" s="11">
        <v>1</v>
      </c>
      <c r="E437" s="11" t="s">
        <v>604</v>
      </c>
      <c r="F437" s="11" t="s">
        <v>84</v>
      </c>
      <c r="G437" s="12">
        <v>6.73</v>
      </c>
      <c r="H437" s="13">
        <v>116</v>
      </c>
      <c r="I437" s="11" t="s">
        <v>605</v>
      </c>
      <c r="J437" s="11" t="s">
        <v>30</v>
      </c>
      <c r="K437" s="7">
        <f>INDEX(Benchmark!$H$5:$H$807,MATCH(I437,Benchmark!$A$5:$A$807,0))</f>
        <v>116.93966059082339</v>
      </c>
      <c r="L437" s="14">
        <f t="shared" si="6"/>
        <v>-8.0354311452237592E-3</v>
      </c>
      <c r="M437" s="17">
        <f>IF(L437&gt;Benchmark!$B$2,1,IF(L437&lt;-Benchmark!$B$2,5,3))</f>
        <v>3</v>
      </c>
      <c r="N437" s="3" t="s">
        <v>586</v>
      </c>
    </row>
    <row r="438" spans="1:14" x14ac:dyDescent="0.35">
      <c r="A438" s="11" t="s">
        <v>11</v>
      </c>
      <c r="B438" s="11" t="s">
        <v>611</v>
      </c>
      <c r="C438" s="11">
        <v>10</v>
      </c>
      <c r="D438" s="11">
        <v>1</v>
      </c>
      <c r="E438" s="11" t="s">
        <v>612</v>
      </c>
      <c r="F438" s="11" t="s">
        <v>147</v>
      </c>
      <c r="G438" s="12">
        <v>12.18</v>
      </c>
      <c r="H438" s="13">
        <v>100</v>
      </c>
      <c r="I438" s="11" t="s">
        <v>613</v>
      </c>
      <c r="J438" s="11" t="s">
        <v>614</v>
      </c>
      <c r="K438" s="7">
        <f>INDEX(Benchmark!$H$5:$H$807,MATCH(I438,Benchmark!$A$5:$A$807,0))</f>
        <v>101.10806788931789</v>
      </c>
      <c r="L438" s="14">
        <f t="shared" si="6"/>
        <v>-1.0959243040138844E-2</v>
      </c>
      <c r="M438" s="17">
        <f>IF(L438&gt;Benchmark!$B$2,1,IF(L438&lt;-Benchmark!$B$2,5,3))</f>
        <v>3</v>
      </c>
      <c r="N438" s="3" t="s">
        <v>586</v>
      </c>
    </row>
    <row r="439" spans="1:14" x14ac:dyDescent="0.35">
      <c r="A439" s="11" t="s">
        <v>11</v>
      </c>
      <c r="B439" s="11" t="s">
        <v>615</v>
      </c>
      <c r="C439" s="11">
        <v>10</v>
      </c>
      <c r="D439" s="11">
        <v>6</v>
      </c>
      <c r="E439" s="11" t="s">
        <v>104</v>
      </c>
      <c r="F439" s="11" t="s">
        <v>101</v>
      </c>
      <c r="G439" s="12">
        <v>8.7799999999999994</v>
      </c>
      <c r="H439" s="13">
        <v>41</v>
      </c>
      <c r="I439" s="11" t="s">
        <v>616</v>
      </c>
      <c r="J439" s="11" t="s">
        <v>30</v>
      </c>
      <c r="K439" s="7">
        <f>INDEX(Benchmark!$H$5:$H$807,MATCH(I439,Benchmark!$A$5:$A$807,0))</f>
        <v>120.3239845261122</v>
      </c>
      <c r="L439" s="14">
        <f t="shared" si="6"/>
        <v>-0.65925330546959771</v>
      </c>
      <c r="M439" s="15">
        <f>IF(L439&gt;Benchmark!$B$2,1,IF(L439&lt;-Benchmark!$B$2,5,3))</f>
        <v>5</v>
      </c>
      <c r="N439" s="3" t="s">
        <v>586</v>
      </c>
    </row>
    <row r="440" spans="1:14" x14ac:dyDescent="0.35">
      <c r="A440" s="11" t="s">
        <v>11</v>
      </c>
      <c r="B440" s="11" t="s">
        <v>617</v>
      </c>
      <c r="C440" s="11">
        <v>10</v>
      </c>
      <c r="D440" s="11">
        <v>3</v>
      </c>
      <c r="E440" s="11" t="s">
        <v>604</v>
      </c>
      <c r="F440" s="11" t="s">
        <v>101</v>
      </c>
      <c r="G440" s="12">
        <v>2.54</v>
      </c>
      <c r="H440" s="13">
        <v>72</v>
      </c>
      <c r="I440" s="11" t="s">
        <v>618</v>
      </c>
      <c r="J440" s="11" t="s">
        <v>30</v>
      </c>
      <c r="K440" s="7">
        <f>INDEX(Benchmark!$H$5:$H$807,MATCH(I440,Benchmark!$A$5:$A$807,0))</f>
        <v>120.8225311570823</v>
      </c>
      <c r="L440" s="14">
        <f t="shared" si="6"/>
        <v>-0.40408465779952707</v>
      </c>
      <c r="M440" s="15">
        <f>IF(L440&gt;Benchmark!$B$2,1,IF(L440&lt;-Benchmark!$B$2,5,3))</f>
        <v>5</v>
      </c>
      <c r="N440" s="3" t="s">
        <v>586</v>
      </c>
    </row>
    <row r="441" spans="1:14" x14ac:dyDescent="0.35">
      <c r="A441" s="11" t="s">
        <v>11</v>
      </c>
      <c r="B441" s="11" t="s">
        <v>619</v>
      </c>
      <c r="C441" s="11">
        <v>10</v>
      </c>
      <c r="D441" s="11">
        <v>3</v>
      </c>
      <c r="E441" s="11" t="s">
        <v>604</v>
      </c>
      <c r="F441" s="11" t="s">
        <v>101</v>
      </c>
      <c r="G441" s="12">
        <v>2.69</v>
      </c>
      <c r="H441" s="13">
        <v>71</v>
      </c>
      <c r="I441" s="11" t="s">
        <v>618</v>
      </c>
      <c r="J441" s="11" t="s">
        <v>30</v>
      </c>
      <c r="K441" s="7">
        <f>INDEX(Benchmark!$H$5:$H$807,MATCH(I441,Benchmark!$A$5:$A$807,0))</f>
        <v>120.8225311570823</v>
      </c>
      <c r="L441" s="14">
        <f t="shared" si="6"/>
        <v>-0.41236125977453364</v>
      </c>
      <c r="M441" s="15">
        <f>IF(L441&gt;Benchmark!$B$2,1,IF(L441&lt;-Benchmark!$B$2,5,3))</f>
        <v>5</v>
      </c>
      <c r="N441" s="3" t="s">
        <v>586</v>
      </c>
    </row>
    <row r="442" spans="1:14" x14ac:dyDescent="0.35">
      <c r="A442" s="11" t="s">
        <v>11</v>
      </c>
      <c r="B442" s="11" t="s">
        <v>620</v>
      </c>
      <c r="C442" s="11">
        <v>10</v>
      </c>
      <c r="D442" s="11">
        <v>3</v>
      </c>
      <c r="E442" s="11" t="s">
        <v>604</v>
      </c>
      <c r="F442" s="11" t="s">
        <v>101</v>
      </c>
      <c r="G442" s="12">
        <v>2.85</v>
      </c>
      <c r="H442" s="13">
        <v>75</v>
      </c>
      <c r="I442" s="11" t="s">
        <v>618</v>
      </c>
      <c r="J442" s="11" t="s">
        <v>30</v>
      </c>
      <c r="K442" s="7">
        <f>INDEX(Benchmark!$H$5:$H$807,MATCH(I442,Benchmark!$A$5:$A$807,0))</f>
        <v>120.8225311570823</v>
      </c>
      <c r="L442" s="14">
        <f t="shared" si="6"/>
        <v>-0.37925485187450736</v>
      </c>
      <c r="M442" s="15">
        <f>IF(L442&gt;Benchmark!$B$2,1,IF(L442&lt;-Benchmark!$B$2,5,3))</f>
        <v>5</v>
      </c>
      <c r="N442" s="3" t="s">
        <v>586</v>
      </c>
    </row>
    <row r="443" spans="1:14" x14ac:dyDescent="0.35">
      <c r="A443" s="11" t="s">
        <v>11</v>
      </c>
      <c r="B443" s="11" t="s">
        <v>621</v>
      </c>
      <c r="C443" s="11">
        <v>10</v>
      </c>
      <c r="D443" s="11">
        <v>2</v>
      </c>
      <c r="E443" s="11" t="s">
        <v>601</v>
      </c>
      <c r="F443" s="11" t="s">
        <v>84</v>
      </c>
      <c r="G443" s="12">
        <v>3.05</v>
      </c>
      <c r="H443" s="13">
        <v>70</v>
      </c>
      <c r="I443" s="11" t="s">
        <v>622</v>
      </c>
      <c r="J443" s="11" t="s">
        <v>37</v>
      </c>
      <c r="K443" s="7">
        <f>INDEX(Benchmark!$H$5:$H$807,MATCH(I443,Benchmark!$A$5:$A$807,0))</f>
        <v>115.0199387517528</v>
      </c>
      <c r="L443" s="14">
        <f t="shared" si="6"/>
        <v>-0.39140986545749434</v>
      </c>
      <c r="M443" s="15">
        <f>IF(L443&gt;Benchmark!$B$2,1,IF(L443&lt;-Benchmark!$B$2,5,3))</f>
        <v>5</v>
      </c>
      <c r="N443" s="3" t="s">
        <v>586</v>
      </c>
    </row>
    <row r="444" spans="1:14" x14ac:dyDescent="0.35">
      <c r="A444" s="11" t="s">
        <v>11</v>
      </c>
      <c r="B444" s="11" t="s">
        <v>623</v>
      </c>
      <c r="C444" s="11">
        <v>10</v>
      </c>
      <c r="D444" s="11">
        <v>2</v>
      </c>
      <c r="E444" s="11" t="s">
        <v>601</v>
      </c>
      <c r="F444" s="11" t="s">
        <v>84</v>
      </c>
      <c r="G444" s="12">
        <v>5.67</v>
      </c>
      <c r="H444" s="13">
        <v>80</v>
      </c>
      <c r="I444" s="11" t="s">
        <v>622</v>
      </c>
      <c r="J444" s="11" t="s">
        <v>37</v>
      </c>
      <c r="K444" s="7">
        <f>INDEX(Benchmark!$H$5:$H$807,MATCH(I444,Benchmark!$A$5:$A$807,0))</f>
        <v>115.0199387517528</v>
      </c>
      <c r="L444" s="14">
        <f t="shared" si="6"/>
        <v>-0.30446841766570776</v>
      </c>
      <c r="M444" s="15">
        <f>IF(L444&gt;Benchmark!$B$2,1,IF(L444&lt;-Benchmark!$B$2,5,3))</f>
        <v>5</v>
      </c>
      <c r="N444" s="3" t="s">
        <v>586</v>
      </c>
    </row>
    <row r="445" spans="1:14" x14ac:dyDescent="0.35">
      <c r="A445" s="11" t="s">
        <v>11</v>
      </c>
      <c r="B445" s="11" t="s">
        <v>624</v>
      </c>
      <c r="C445" s="11">
        <v>10</v>
      </c>
      <c r="D445" s="11">
        <v>7</v>
      </c>
      <c r="E445" s="11" t="s">
        <v>156</v>
      </c>
      <c r="F445" s="11" t="s">
        <v>625</v>
      </c>
      <c r="G445" s="12">
        <v>3.42</v>
      </c>
      <c r="H445" s="13">
        <v>67</v>
      </c>
      <c r="I445" s="11" t="s">
        <v>626</v>
      </c>
      <c r="J445" s="11" t="s">
        <v>30</v>
      </c>
      <c r="K445" s="7">
        <f>INDEX(Benchmark!$H$5:$H$807,MATCH(I445,Benchmark!$A$5:$A$807,0))</f>
        <v>110.9791666666667</v>
      </c>
      <c r="L445" s="14">
        <f t="shared" si="6"/>
        <v>-0.39628308616482089</v>
      </c>
      <c r="M445" s="15">
        <f>IF(L445&gt;Benchmark!$B$2,1,IF(L445&lt;-Benchmark!$B$2,5,3))</f>
        <v>5</v>
      </c>
      <c r="N445" s="3" t="s">
        <v>586</v>
      </c>
    </row>
    <row r="446" spans="1:14" x14ac:dyDescent="0.35">
      <c r="A446" s="11" t="s">
        <v>11</v>
      </c>
      <c r="B446" s="11" t="s">
        <v>627</v>
      </c>
      <c r="C446" s="11">
        <v>10</v>
      </c>
      <c r="D446" s="11">
        <v>7</v>
      </c>
      <c r="E446" s="11" t="s">
        <v>156</v>
      </c>
      <c r="F446" s="11" t="s">
        <v>625</v>
      </c>
      <c r="G446" s="12">
        <v>12.2</v>
      </c>
      <c r="H446" s="13">
        <v>60</v>
      </c>
      <c r="I446" s="11" t="s">
        <v>626</v>
      </c>
      <c r="J446" s="11" t="s">
        <v>30</v>
      </c>
      <c r="K446" s="7">
        <f>INDEX(Benchmark!$H$5:$H$807,MATCH(I446,Benchmark!$A$5:$A$807,0))</f>
        <v>110.9791666666667</v>
      </c>
      <c r="L446" s="14">
        <f t="shared" si="6"/>
        <v>-0.45935798761028734</v>
      </c>
      <c r="M446" s="15">
        <f>IF(L446&gt;Benchmark!$B$2,1,IF(L446&lt;-Benchmark!$B$2,5,3))</f>
        <v>5</v>
      </c>
      <c r="N446" s="3" t="s">
        <v>586</v>
      </c>
    </row>
    <row r="447" spans="1:14" x14ac:dyDescent="0.35">
      <c r="A447" s="11" t="s">
        <v>11</v>
      </c>
      <c r="B447" s="11" t="s">
        <v>628</v>
      </c>
      <c r="C447" s="11">
        <v>10</v>
      </c>
      <c r="D447" s="11">
        <v>3</v>
      </c>
      <c r="E447" s="11" t="s">
        <v>604</v>
      </c>
      <c r="F447" s="11" t="s">
        <v>625</v>
      </c>
      <c r="G447" s="12">
        <v>7.36</v>
      </c>
      <c r="H447" s="13">
        <v>62</v>
      </c>
      <c r="I447" s="11" t="s">
        <v>629</v>
      </c>
      <c r="J447" s="11" t="s">
        <v>37</v>
      </c>
      <c r="K447" s="7">
        <f>INDEX(Benchmark!$H$5:$H$807,MATCH(I447,Benchmark!$A$5:$A$807,0))</f>
        <v>118.194564546016</v>
      </c>
      <c r="L447" s="14">
        <f t="shared" si="6"/>
        <v>-0.47544119107218419</v>
      </c>
      <c r="M447" s="15">
        <f>IF(L447&gt;Benchmark!$B$2,1,IF(L447&lt;-Benchmark!$B$2,5,3))</f>
        <v>5</v>
      </c>
      <c r="N447" s="3" t="s">
        <v>586</v>
      </c>
    </row>
    <row r="448" spans="1:14" x14ac:dyDescent="0.35">
      <c r="A448" s="11" t="s">
        <v>11</v>
      </c>
      <c r="B448" s="11" t="s">
        <v>630</v>
      </c>
      <c r="C448" s="11">
        <v>10</v>
      </c>
      <c r="D448" s="11">
        <v>7</v>
      </c>
      <c r="E448" s="11" t="s">
        <v>156</v>
      </c>
      <c r="F448" s="11" t="s">
        <v>625</v>
      </c>
      <c r="G448" s="12">
        <v>1.98</v>
      </c>
      <c r="H448" s="13">
        <v>60</v>
      </c>
      <c r="I448" s="11" t="s">
        <v>626</v>
      </c>
      <c r="J448" s="11" t="s">
        <v>30</v>
      </c>
      <c r="K448" s="7">
        <f>INDEX(Benchmark!$H$5:$H$807,MATCH(I448,Benchmark!$A$5:$A$807,0))</f>
        <v>110.9791666666667</v>
      </c>
      <c r="L448" s="14">
        <f t="shared" si="6"/>
        <v>-0.45935798761028734</v>
      </c>
      <c r="M448" s="15">
        <f>IF(L448&gt;Benchmark!$B$2,1,IF(L448&lt;-Benchmark!$B$2,5,3))</f>
        <v>5</v>
      </c>
      <c r="N448" s="3" t="s">
        <v>586</v>
      </c>
    </row>
    <row r="449" spans="1:14" x14ac:dyDescent="0.35">
      <c r="A449" s="11" t="s">
        <v>11</v>
      </c>
      <c r="B449" s="11" t="s">
        <v>631</v>
      </c>
      <c r="C449" s="11">
        <v>10</v>
      </c>
      <c r="D449" s="11">
        <v>1</v>
      </c>
      <c r="E449" s="11" t="s">
        <v>34</v>
      </c>
      <c r="F449" s="11" t="s">
        <v>39</v>
      </c>
      <c r="G449" s="12">
        <v>6.59</v>
      </c>
      <c r="H449" s="13">
        <v>121</v>
      </c>
      <c r="I449" s="11" t="s">
        <v>51</v>
      </c>
      <c r="J449" s="11" t="s">
        <v>30</v>
      </c>
      <c r="K449" s="7">
        <f>INDEX(Benchmark!$H$5:$H$807,MATCH(I449,Benchmark!$A$5:$A$807,0))</f>
        <v>134.7097020626432</v>
      </c>
      <c r="L449" s="14">
        <f t="shared" si="6"/>
        <v>-0.1017721949698015</v>
      </c>
      <c r="M449" s="15">
        <f>IF(L449&gt;Benchmark!$B$2,1,IF(L449&lt;-Benchmark!$B$2,5,3))</f>
        <v>5</v>
      </c>
      <c r="N449" s="3" t="s">
        <v>586</v>
      </c>
    </row>
    <row r="450" spans="1:14" x14ac:dyDescent="0.35">
      <c r="A450" s="11" t="s">
        <v>7</v>
      </c>
      <c r="B450" s="11" t="s">
        <v>632</v>
      </c>
      <c r="C450" s="11">
        <v>1</v>
      </c>
      <c r="D450" s="11">
        <v>14</v>
      </c>
      <c r="E450" s="11" t="s">
        <v>198</v>
      </c>
      <c r="F450" s="11" t="s">
        <v>633</v>
      </c>
      <c r="G450" s="12">
        <v>9.6300000000000008</v>
      </c>
      <c r="H450" s="13">
        <v>113.2336448598131</v>
      </c>
      <c r="I450" s="11" t="s">
        <v>634</v>
      </c>
      <c r="J450" s="11" t="s">
        <v>30</v>
      </c>
      <c r="K450" s="7">
        <f>INDEX(Benchmark!$H$5:$H$807,MATCH(I450,Benchmark!$A$5:$A$807,0))</f>
        <v>122.7119856887299</v>
      </c>
      <c r="L450" s="14">
        <f t="shared" si="6"/>
        <v>-7.7240546436592394E-2</v>
      </c>
      <c r="M450" s="15">
        <f>IF(L450&gt;Benchmark!$B$2,1,IF(L450&lt;-Benchmark!$B$2,5,3))</f>
        <v>5</v>
      </c>
      <c r="N450" s="3" t="s">
        <v>31</v>
      </c>
    </row>
    <row r="451" spans="1:14" x14ac:dyDescent="0.35">
      <c r="A451" s="11" t="s">
        <v>7</v>
      </c>
      <c r="B451" s="11" t="s">
        <v>635</v>
      </c>
      <c r="C451" s="11">
        <v>1</v>
      </c>
      <c r="D451" s="11">
        <v>6</v>
      </c>
      <c r="E451" s="11" t="s">
        <v>198</v>
      </c>
      <c r="F451" s="11" t="s">
        <v>633</v>
      </c>
      <c r="G451" s="12">
        <v>5.62</v>
      </c>
      <c r="H451" s="13">
        <v>97.539145907473298</v>
      </c>
      <c r="I451" s="11" t="s">
        <v>634</v>
      </c>
      <c r="J451" s="11" t="s">
        <v>30</v>
      </c>
      <c r="K451" s="7">
        <f>INDEX(Benchmark!$H$5:$H$807,MATCH(I451,Benchmark!$A$5:$A$807,0))</f>
        <v>122.7119856887299</v>
      </c>
      <c r="L451" s="14">
        <f t="shared" si="6"/>
        <v>-0.20513758000061866</v>
      </c>
      <c r="M451" s="15">
        <f>IF(L451&gt;Benchmark!$B$2,1,IF(L451&lt;-Benchmark!$B$2,5,3))</f>
        <v>5</v>
      </c>
      <c r="N451" s="3" t="s">
        <v>31</v>
      </c>
    </row>
    <row r="452" spans="1:14" x14ac:dyDescent="0.35">
      <c r="A452" s="11" t="s">
        <v>7</v>
      </c>
      <c r="B452" s="11" t="s">
        <v>636</v>
      </c>
      <c r="C452" s="11">
        <v>1</v>
      </c>
      <c r="D452" s="11">
        <v>7</v>
      </c>
      <c r="E452" s="11" t="s">
        <v>104</v>
      </c>
      <c r="F452" s="11" t="s">
        <v>364</v>
      </c>
      <c r="G452" s="12">
        <v>15.64</v>
      </c>
      <c r="H452" s="13">
        <v>110.8772378516624</v>
      </c>
      <c r="I452" s="11" t="s">
        <v>637</v>
      </c>
      <c r="J452" s="11" t="s">
        <v>30</v>
      </c>
      <c r="K452" s="7">
        <f>INDEX(Benchmark!$H$5:$H$807,MATCH(I452,Benchmark!$A$5:$A$807,0))</f>
        <v>114.22005012531331</v>
      </c>
      <c r="L452" s="14">
        <f t="shared" si="6"/>
        <v>-2.9266422751377141E-2</v>
      </c>
      <c r="M452" s="17">
        <f>IF(L452&gt;Benchmark!$B$2,1,IF(L452&lt;-Benchmark!$B$2,5,3))</f>
        <v>3</v>
      </c>
      <c r="N452" s="3" t="s">
        <v>31</v>
      </c>
    </row>
    <row r="453" spans="1:14" x14ac:dyDescent="0.35">
      <c r="A453" s="11" t="s">
        <v>7</v>
      </c>
      <c r="B453" s="11" t="s">
        <v>638</v>
      </c>
      <c r="C453" s="11">
        <v>1</v>
      </c>
      <c r="D453" s="11">
        <v>14</v>
      </c>
      <c r="E453" s="11" t="s">
        <v>114</v>
      </c>
      <c r="F453" s="11" t="s">
        <v>502</v>
      </c>
      <c r="G453" s="12">
        <v>3.98</v>
      </c>
      <c r="H453" s="13">
        <v>135.8492462311558</v>
      </c>
      <c r="I453" s="11" t="s">
        <v>639</v>
      </c>
      <c r="J453" s="11" t="s">
        <v>30</v>
      </c>
      <c r="K453" s="7">
        <f>INDEX(Benchmark!$H$5:$H$807,MATCH(I453,Benchmark!$A$5:$A$807,0))</f>
        <v>130.28391959799001</v>
      </c>
      <c r="L453" s="14">
        <f t="shared" ref="L453:L516" si="7">H453/K453-1</f>
        <v>4.2716911268393165E-2</v>
      </c>
      <c r="M453" s="17">
        <f>IF(L453&gt;Benchmark!$B$2,1,IF(L453&lt;-Benchmark!$B$2,5,3))</f>
        <v>3</v>
      </c>
      <c r="N453" s="3" t="s">
        <v>31</v>
      </c>
    </row>
    <row r="454" spans="1:14" x14ac:dyDescent="0.35">
      <c r="A454" s="11" t="s">
        <v>7</v>
      </c>
      <c r="B454" s="11" t="s">
        <v>640</v>
      </c>
      <c r="C454" s="11">
        <v>2</v>
      </c>
      <c r="D454" s="11">
        <v>3</v>
      </c>
      <c r="E454" s="11" t="s">
        <v>88</v>
      </c>
      <c r="F454" s="11" t="s">
        <v>641</v>
      </c>
      <c r="G454" s="12">
        <v>17.59</v>
      </c>
      <c r="H454" s="13">
        <v>131.525298465037</v>
      </c>
      <c r="I454" s="11" t="s">
        <v>642</v>
      </c>
      <c r="J454" s="11" t="s">
        <v>30</v>
      </c>
      <c r="K454" s="7">
        <f>INDEX(Benchmark!$H$5:$H$807,MATCH(I454,Benchmark!$A$5:$A$807,0))</f>
        <v>123.2903898635478</v>
      </c>
      <c r="L454" s="14">
        <f t="shared" si="7"/>
        <v>6.6792785801093046E-2</v>
      </c>
      <c r="M454" s="16">
        <f>IF(L454&gt;Benchmark!$B$2,1,IF(L454&lt;-Benchmark!$B$2,5,3))</f>
        <v>1</v>
      </c>
      <c r="N454" s="3" t="s">
        <v>31</v>
      </c>
    </row>
    <row r="455" spans="1:14" x14ac:dyDescent="0.35">
      <c r="A455" s="11" t="s">
        <v>7</v>
      </c>
      <c r="B455" s="11" t="s">
        <v>643</v>
      </c>
      <c r="C455" s="11">
        <v>2</v>
      </c>
      <c r="D455" s="11">
        <v>4</v>
      </c>
      <c r="E455" s="11" t="s">
        <v>88</v>
      </c>
      <c r="F455" s="11" t="s">
        <v>633</v>
      </c>
      <c r="G455" s="12">
        <v>5.53</v>
      </c>
      <c r="H455" s="13">
        <v>103.4900542495479</v>
      </c>
      <c r="I455" s="11" t="s">
        <v>644</v>
      </c>
      <c r="J455" s="11" t="s">
        <v>30</v>
      </c>
      <c r="K455" s="7">
        <f>INDEX(Benchmark!$H$5:$H$807,MATCH(I455,Benchmark!$A$5:$A$807,0))</f>
        <v>108.726573100639</v>
      </c>
      <c r="L455" s="14">
        <f t="shared" si="7"/>
        <v>-4.8162272586703359E-2</v>
      </c>
      <c r="M455" s="17">
        <f>IF(L455&gt;Benchmark!$B$2,1,IF(L455&lt;-Benchmark!$B$2,5,3))</f>
        <v>3</v>
      </c>
      <c r="N455" s="3" t="s">
        <v>31</v>
      </c>
    </row>
    <row r="456" spans="1:14" x14ac:dyDescent="0.35">
      <c r="A456" s="11" t="s">
        <v>7</v>
      </c>
      <c r="B456" s="11" t="s">
        <v>645</v>
      </c>
      <c r="C456" s="11">
        <v>2</v>
      </c>
      <c r="D456" s="11">
        <v>5</v>
      </c>
      <c r="E456" s="11" t="s">
        <v>88</v>
      </c>
      <c r="F456" s="11" t="s">
        <v>35</v>
      </c>
      <c r="G456" s="12">
        <v>5.94</v>
      </c>
      <c r="H456" s="13">
        <v>125.0740740740741</v>
      </c>
      <c r="I456" s="11" t="s">
        <v>646</v>
      </c>
      <c r="J456" s="11" t="s">
        <v>30</v>
      </c>
      <c r="K456" s="7">
        <f>INDEX(Benchmark!$H$5:$H$807,MATCH(I456,Benchmark!$A$5:$A$807,0))</f>
        <v>133.1830855018587</v>
      </c>
      <c r="L456" s="14">
        <f t="shared" si="7"/>
        <v>-6.0886195850083591E-2</v>
      </c>
      <c r="M456" s="15">
        <f>IF(L456&gt;Benchmark!$B$2,1,IF(L456&lt;-Benchmark!$B$2,5,3))</f>
        <v>5</v>
      </c>
      <c r="N456" s="3" t="s">
        <v>31</v>
      </c>
    </row>
    <row r="457" spans="1:14" x14ac:dyDescent="0.35">
      <c r="A457" s="11" t="s">
        <v>7</v>
      </c>
      <c r="B457" s="11" t="s">
        <v>647</v>
      </c>
      <c r="C457" s="11">
        <v>2</v>
      </c>
      <c r="D457" s="11">
        <v>5</v>
      </c>
      <c r="E457" s="11" t="s">
        <v>104</v>
      </c>
      <c r="F457" s="11" t="s">
        <v>364</v>
      </c>
      <c r="G457" s="12">
        <v>11.97</v>
      </c>
      <c r="H457" s="13">
        <v>108.406015037594</v>
      </c>
      <c r="I457" s="11" t="s">
        <v>637</v>
      </c>
      <c r="J457" s="11" t="s">
        <v>30</v>
      </c>
      <c r="K457" s="7">
        <f>INDEX(Benchmark!$H$5:$H$807,MATCH(I457,Benchmark!$A$5:$A$807,0))</f>
        <v>114.22005012531331</v>
      </c>
      <c r="L457" s="14">
        <f t="shared" si="7"/>
        <v>-5.0902053372771205E-2</v>
      </c>
      <c r="M457" s="15">
        <f>IF(L457&gt;Benchmark!$B$2,1,IF(L457&lt;-Benchmark!$B$2,5,3))</f>
        <v>5</v>
      </c>
      <c r="N457" s="3" t="s">
        <v>31</v>
      </c>
    </row>
    <row r="458" spans="1:14" x14ac:dyDescent="0.35">
      <c r="A458" s="11" t="s">
        <v>7</v>
      </c>
      <c r="B458" s="11" t="s">
        <v>648</v>
      </c>
      <c r="C458" s="11">
        <v>2</v>
      </c>
      <c r="D458" s="11">
        <v>6</v>
      </c>
      <c r="E458" s="11" t="s">
        <v>104</v>
      </c>
      <c r="F458" s="11" t="s">
        <v>131</v>
      </c>
      <c r="G458" s="12">
        <v>9.98</v>
      </c>
      <c r="H458" s="13">
        <v>121.82565130260519</v>
      </c>
      <c r="I458" s="11" t="s">
        <v>649</v>
      </c>
      <c r="J458" s="11" t="s">
        <v>30</v>
      </c>
      <c r="K458" s="7">
        <f>INDEX(Benchmark!$H$5:$H$807,MATCH(I458,Benchmark!$A$5:$A$807,0))</f>
        <v>119.7159232038653</v>
      </c>
      <c r="L458" s="14">
        <f t="shared" si="7"/>
        <v>1.7622786027780224E-2</v>
      </c>
      <c r="M458" s="17">
        <f>IF(L458&gt;Benchmark!$B$2,1,IF(L458&lt;-Benchmark!$B$2,5,3))</f>
        <v>3</v>
      </c>
      <c r="N458" s="3" t="s">
        <v>31</v>
      </c>
    </row>
    <row r="459" spans="1:14" x14ac:dyDescent="0.35">
      <c r="A459" s="11" t="s">
        <v>7</v>
      </c>
      <c r="B459" s="11" t="s">
        <v>650</v>
      </c>
      <c r="C459" s="11">
        <v>2</v>
      </c>
      <c r="D459" s="11">
        <v>5</v>
      </c>
      <c r="E459" s="11" t="s">
        <v>88</v>
      </c>
      <c r="F459" s="11" t="s">
        <v>131</v>
      </c>
      <c r="G459" s="12">
        <v>8.6999999999999993</v>
      </c>
      <c r="H459" s="13">
        <v>153.8275862068966</v>
      </c>
      <c r="I459" s="11" t="s">
        <v>651</v>
      </c>
      <c r="J459" s="11" t="s">
        <v>30</v>
      </c>
      <c r="K459" s="7">
        <f>INDEX(Benchmark!$H$5:$H$807,MATCH(I459,Benchmark!$A$5:$A$807,0))</f>
        <v>125.49009863982791</v>
      </c>
      <c r="L459" s="14">
        <f t="shared" si="7"/>
        <v>0.22581452938690227</v>
      </c>
      <c r="M459" s="16">
        <f>IF(L459&gt;Benchmark!$B$2,1,IF(L459&lt;-Benchmark!$B$2,5,3))</f>
        <v>1</v>
      </c>
      <c r="N459" s="3" t="s">
        <v>31</v>
      </c>
    </row>
    <row r="460" spans="1:14" x14ac:dyDescent="0.35">
      <c r="A460" s="11" t="s">
        <v>7</v>
      </c>
      <c r="B460" s="11" t="s">
        <v>652</v>
      </c>
      <c r="C460" s="11">
        <v>2</v>
      </c>
      <c r="D460" s="11">
        <v>4</v>
      </c>
      <c r="E460" s="11" t="s">
        <v>27</v>
      </c>
      <c r="F460" s="11" t="s">
        <v>131</v>
      </c>
      <c r="G460" s="12">
        <v>2.87</v>
      </c>
      <c r="H460" s="13">
        <v>130.9651567944251</v>
      </c>
      <c r="I460" s="11" t="s">
        <v>653</v>
      </c>
      <c r="J460" s="11" t="s">
        <v>30</v>
      </c>
      <c r="K460" s="7">
        <f>INDEX(Benchmark!$H$5:$H$807,MATCH(I460,Benchmark!$A$5:$A$807,0))</f>
        <v>144.05763688760811</v>
      </c>
      <c r="L460" s="14">
        <f t="shared" si="7"/>
        <v>-9.0883623916430012E-2</v>
      </c>
      <c r="M460" s="15">
        <f>IF(L460&gt;Benchmark!$B$2,1,IF(L460&lt;-Benchmark!$B$2,5,3))</f>
        <v>5</v>
      </c>
      <c r="N460" s="3" t="s">
        <v>31</v>
      </c>
    </row>
    <row r="461" spans="1:14" x14ac:dyDescent="0.35">
      <c r="A461" s="11" t="s">
        <v>7</v>
      </c>
      <c r="B461" s="11" t="s">
        <v>654</v>
      </c>
      <c r="C461" s="11">
        <v>2</v>
      </c>
      <c r="D461" s="11">
        <v>5</v>
      </c>
      <c r="E461" s="11" t="s">
        <v>88</v>
      </c>
      <c r="F461" s="11" t="s">
        <v>131</v>
      </c>
      <c r="G461" s="12">
        <v>3.14</v>
      </c>
      <c r="H461" s="13">
        <v>126.5573248407643</v>
      </c>
      <c r="I461" s="11" t="s">
        <v>651</v>
      </c>
      <c r="J461" s="11" t="s">
        <v>30</v>
      </c>
      <c r="K461" s="7">
        <f>INDEX(Benchmark!$H$5:$H$807,MATCH(I461,Benchmark!$A$5:$A$807,0))</f>
        <v>125.49009863982791</v>
      </c>
      <c r="L461" s="14">
        <f t="shared" si="7"/>
        <v>8.5044653921220181E-3</v>
      </c>
      <c r="M461" s="17">
        <f>IF(L461&gt;Benchmark!$B$2,1,IF(L461&lt;-Benchmark!$B$2,5,3))</f>
        <v>3</v>
      </c>
      <c r="N461" s="3" t="s">
        <v>31</v>
      </c>
    </row>
    <row r="462" spans="1:14" x14ac:dyDescent="0.35">
      <c r="A462" s="11" t="s">
        <v>7</v>
      </c>
      <c r="B462" s="11" t="s">
        <v>655</v>
      </c>
      <c r="C462" s="11">
        <v>2</v>
      </c>
      <c r="D462" s="11">
        <v>4</v>
      </c>
      <c r="E462" s="11" t="s">
        <v>88</v>
      </c>
      <c r="F462" s="11" t="s">
        <v>131</v>
      </c>
      <c r="G462" s="12">
        <v>8.2799999999999994</v>
      </c>
      <c r="H462" s="13">
        <v>94.171497584541072</v>
      </c>
      <c r="I462" s="11" t="s">
        <v>651</v>
      </c>
      <c r="J462" s="11" t="s">
        <v>30</v>
      </c>
      <c r="K462" s="7">
        <f>INDEX(Benchmark!$H$5:$H$807,MATCH(I462,Benchmark!$A$5:$A$807,0))</f>
        <v>125.49009863982791</v>
      </c>
      <c r="L462" s="14">
        <f t="shared" si="7"/>
        <v>-0.24957029594163516</v>
      </c>
      <c r="M462" s="15">
        <f>IF(L462&gt;Benchmark!$B$2,1,IF(L462&lt;-Benchmark!$B$2,5,3))</f>
        <v>5</v>
      </c>
      <c r="N462" s="3" t="s">
        <v>31</v>
      </c>
    </row>
    <row r="463" spans="1:14" x14ac:dyDescent="0.35">
      <c r="A463" s="11" t="s">
        <v>7</v>
      </c>
      <c r="B463" s="11" t="s">
        <v>656</v>
      </c>
      <c r="C463" s="11">
        <v>2</v>
      </c>
      <c r="D463" s="11">
        <v>7</v>
      </c>
      <c r="E463" s="11" t="s">
        <v>198</v>
      </c>
      <c r="F463" s="11" t="s">
        <v>633</v>
      </c>
      <c r="G463" s="12">
        <v>11.43</v>
      </c>
      <c r="H463" s="13">
        <v>118.0752405949256</v>
      </c>
      <c r="I463" s="11" t="s">
        <v>634</v>
      </c>
      <c r="J463" s="11" t="s">
        <v>30</v>
      </c>
      <c r="K463" s="7">
        <f>INDEX(Benchmark!$H$5:$H$807,MATCH(I463,Benchmark!$A$5:$A$807,0))</f>
        <v>122.7119856887299</v>
      </c>
      <c r="L463" s="14">
        <f t="shared" si="7"/>
        <v>-3.7785592562782133E-2</v>
      </c>
      <c r="M463" s="17">
        <f>IF(L463&gt;Benchmark!$B$2,1,IF(L463&lt;-Benchmark!$B$2,5,3))</f>
        <v>3</v>
      </c>
      <c r="N463" s="3" t="s">
        <v>31</v>
      </c>
    </row>
    <row r="464" spans="1:14" x14ac:dyDescent="0.35">
      <c r="A464" s="11" t="s">
        <v>7</v>
      </c>
      <c r="B464" s="11" t="s">
        <v>657</v>
      </c>
      <c r="C464" s="11">
        <v>2</v>
      </c>
      <c r="D464" s="11">
        <v>1</v>
      </c>
      <c r="E464" s="11" t="s">
        <v>27</v>
      </c>
      <c r="F464" s="11" t="s">
        <v>633</v>
      </c>
      <c r="G464" s="12">
        <v>2.84</v>
      </c>
      <c r="H464" s="13">
        <v>111.2781690140845</v>
      </c>
      <c r="I464" s="11" t="s">
        <v>658</v>
      </c>
      <c r="J464" s="11" t="s">
        <v>30</v>
      </c>
      <c r="K464" s="7">
        <f>INDEX(Benchmark!$H$5:$H$807,MATCH(I464,Benchmark!$A$5:$A$807,0))</f>
        <v>128.387190909645</v>
      </c>
      <c r="L464" s="14">
        <f t="shared" si="7"/>
        <v>-0.13326112811052393</v>
      </c>
      <c r="M464" s="15">
        <f>IF(L464&gt;Benchmark!$B$2,1,IF(L464&lt;-Benchmark!$B$2,5,3))</f>
        <v>5</v>
      </c>
      <c r="N464" s="3" t="s">
        <v>31</v>
      </c>
    </row>
    <row r="465" spans="1:14" x14ac:dyDescent="0.35">
      <c r="A465" s="11" t="s">
        <v>7</v>
      </c>
      <c r="B465" s="11" t="s">
        <v>659</v>
      </c>
      <c r="C465" s="11">
        <v>2</v>
      </c>
      <c r="D465" s="11">
        <v>3</v>
      </c>
      <c r="E465" s="11" t="s">
        <v>78</v>
      </c>
      <c r="F465" s="11" t="s">
        <v>169</v>
      </c>
      <c r="G465" s="12">
        <v>1.62</v>
      </c>
      <c r="H465" s="13">
        <v>110.0864197530864</v>
      </c>
      <c r="I465" s="11" t="s">
        <v>660</v>
      </c>
      <c r="J465" s="11" t="s">
        <v>614</v>
      </c>
      <c r="K465" s="7">
        <f>INDEX(Benchmark!$H$5:$H$807,MATCH(I465,Benchmark!$A$5:$A$807,0))</f>
        <v>115.9810650887574</v>
      </c>
      <c r="L465" s="14">
        <f t="shared" si="7"/>
        <v>-5.0824204202297829E-2</v>
      </c>
      <c r="M465" s="15">
        <f>IF(L465&gt;Benchmark!$B$2,1,IF(L465&lt;-Benchmark!$B$2,5,3))</f>
        <v>5</v>
      </c>
      <c r="N465" s="3" t="s">
        <v>31</v>
      </c>
    </row>
    <row r="466" spans="1:14" x14ac:dyDescent="0.35">
      <c r="A466" s="11" t="s">
        <v>7</v>
      </c>
      <c r="B466" s="11" t="s">
        <v>661</v>
      </c>
      <c r="C466" s="11">
        <v>2</v>
      </c>
      <c r="D466" s="11">
        <v>1</v>
      </c>
      <c r="E466" s="11" t="s">
        <v>78</v>
      </c>
      <c r="F466" s="11" t="s">
        <v>169</v>
      </c>
      <c r="G466" s="12">
        <v>12.74</v>
      </c>
      <c r="H466" s="13">
        <v>144.33987441130299</v>
      </c>
      <c r="I466" s="11" t="s">
        <v>660</v>
      </c>
      <c r="J466" s="11" t="s">
        <v>614</v>
      </c>
      <c r="K466" s="7">
        <f>INDEX(Benchmark!$H$5:$H$807,MATCH(I466,Benchmark!$A$5:$A$807,0))</f>
        <v>115.9810650887574</v>
      </c>
      <c r="L466" s="14">
        <f t="shared" si="7"/>
        <v>0.24451240640740179</v>
      </c>
      <c r="M466" s="16">
        <f>IF(L466&gt;Benchmark!$B$2,1,IF(L466&lt;-Benchmark!$B$2,5,3))</f>
        <v>1</v>
      </c>
      <c r="N466" s="3" t="s">
        <v>31</v>
      </c>
    </row>
    <row r="467" spans="1:14" x14ac:dyDescent="0.35">
      <c r="A467" s="11" t="s">
        <v>7</v>
      </c>
      <c r="B467" s="11" t="s">
        <v>662</v>
      </c>
      <c r="C467" s="11">
        <v>2</v>
      </c>
      <c r="D467" s="11">
        <v>1</v>
      </c>
      <c r="E467" s="11" t="s">
        <v>78</v>
      </c>
      <c r="F467" s="11" t="s">
        <v>169</v>
      </c>
      <c r="G467" s="12">
        <v>7.94</v>
      </c>
      <c r="H467" s="13">
        <v>134.78211586901759</v>
      </c>
      <c r="I467" s="11" t="s">
        <v>660</v>
      </c>
      <c r="J467" s="11" t="s">
        <v>614</v>
      </c>
      <c r="K467" s="7">
        <f>INDEX(Benchmark!$H$5:$H$807,MATCH(I467,Benchmark!$A$5:$A$807,0))</f>
        <v>115.9810650887574</v>
      </c>
      <c r="L467" s="14">
        <f t="shared" si="7"/>
        <v>0.16210448460593296</v>
      </c>
      <c r="M467" s="16">
        <f>IF(L467&gt;Benchmark!$B$2,1,IF(L467&lt;-Benchmark!$B$2,5,3))</f>
        <v>1</v>
      </c>
      <c r="N467" s="3" t="s">
        <v>31</v>
      </c>
    </row>
    <row r="468" spans="1:14" x14ac:dyDescent="0.35">
      <c r="A468" s="11" t="s">
        <v>7</v>
      </c>
      <c r="B468" s="11" t="s">
        <v>663</v>
      </c>
      <c r="C468" s="11">
        <v>3</v>
      </c>
      <c r="D468" s="11">
        <v>3</v>
      </c>
      <c r="E468" s="11" t="s">
        <v>88</v>
      </c>
      <c r="F468" s="11" t="s">
        <v>28</v>
      </c>
      <c r="G468" s="12">
        <v>10.65</v>
      </c>
      <c r="H468" s="13">
        <v>155.12018779342719</v>
      </c>
      <c r="I468" s="11" t="s">
        <v>664</v>
      </c>
      <c r="J468" s="11" t="s">
        <v>30</v>
      </c>
      <c r="K468" s="7">
        <f>INDEX(Benchmark!$H$5:$H$807,MATCH(I468,Benchmark!$A$5:$A$807,0))</f>
        <v>123.09268030238</v>
      </c>
      <c r="L468" s="14">
        <f t="shared" si="7"/>
        <v>0.26019018687683859</v>
      </c>
      <c r="M468" s="16">
        <f>IF(L468&gt;Benchmark!$B$2,1,IF(L468&lt;-Benchmark!$B$2,5,3))</f>
        <v>1</v>
      </c>
      <c r="N468" s="3" t="s">
        <v>31</v>
      </c>
    </row>
    <row r="469" spans="1:14" x14ac:dyDescent="0.35">
      <c r="A469" s="11" t="s">
        <v>7</v>
      </c>
      <c r="B469" s="11" t="s">
        <v>665</v>
      </c>
      <c r="C469" s="11">
        <v>3</v>
      </c>
      <c r="D469" s="11">
        <v>6</v>
      </c>
      <c r="E469" s="11" t="s">
        <v>666</v>
      </c>
      <c r="F469" s="11" t="s">
        <v>667</v>
      </c>
      <c r="G469" s="12">
        <v>10.36</v>
      </c>
      <c r="H469" s="13">
        <v>113.4855212355212</v>
      </c>
      <c r="I469" s="11" t="s">
        <v>668</v>
      </c>
      <c r="J469" s="11" t="s">
        <v>30</v>
      </c>
      <c r="K469" s="7">
        <f>INDEX(Benchmark!$H$5:$H$807,MATCH(I469,Benchmark!$A$5:$A$807,0))</f>
        <v>102.7644787644788</v>
      </c>
      <c r="L469" s="14">
        <f t="shared" si="7"/>
        <v>0.10432634505560512</v>
      </c>
      <c r="M469" s="16">
        <f>IF(L469&gt;Benchmark!$B$2,1,IF(L469&lt;-Benchmark!$B$2,5,3))</f>
        <v>1</v>
      </c>
      <c r="N469" s="3" t="s">
        <v>31</v>
      </c>
    </row>
    <row r="470" spans="1:14" x14ac:dyDescent="0.35">
      <c r="A470" s="11" t="s">
        <v>7</v>
      </c>
      <c r="B470" s="11" t="s">
        <v>669</v>
      </c>
      <c r="C470" s="11">
        <v>3</v>
      </c>
      <c r="D470" s="11">
        <v>2</v>
      </c>
      <c r="E470" s="11" t="s">
        <v>104</v>
      </c>
      <c r="F470" s="11" t="s">
        <v>670</v>
      </c>
      <c r="G470" s="12">
        <v>14.11</v>
      </c>
      <c r="H470" s="13">
        <v>117.0439404677534</v>
      </c>
      <c r="I470" s="11" t="s">
        <v>671</v>
      </c>
      <c r="J470" s="11" t="s">
        <v>30</v>
      </c>
      <c r="K470" s="7">
        <f>INDEX(Benchmark!$H$5:$H$807,MATCH(I470,Benchmark!$A$5:$A$807,0))</f>
        <v>109.35250371839361</v>
      </c>
      <c r="L470" s="14">
        <f t="shared" si="7"/>
        <v>7.0336174187350275E-2</v>
      </c>
      <c r="M470" s="16">
        <f>IF(L470&gt;Benchmark!$B$2,1,IF(L470&lt;-Benchmark!$B$2,5,3))</f>
        <v>1</v>
      </c>
      <c r="N470" s="3" t="s">
        <v>31</v>
      </c>
    </row>
    <row r="471" spans="1:14" x14ac:dyDescent="0.35">
      <c r="A471" s="11" t="s">
        <v>7</v>
      </c>
      <c r="B471" s="11" t="s">
        <v>672</v>
      </c>
      <c r="C471" s="11">
        <v>3</v>
      </c>
      <c r="D471" s="11">
        <v>2</v>
      </c>
      <c r="E471" s="11" t="s">
        <v>104</v>
      </c>
      <c r="F471" s="11" t="s">
        <v>670</v>
      </c>
      <c r="G471" s="12">
        <v>5.72</v>
      </c>
      <c r="H471" s="13">
        <v>116.8024475524476</v>
      </c>
      <c r="I471" s="11" t="s">
        <v>671</v>
      </c>
      <c r="J471" s="11" t="s">
        <v>30</v>
      </c>
      <c r="K471" s="7">
        <f>INDEX(Benchmark!$H$5:$H$807,MATCH(I471,Benchmark!$A$5:$A$807,0))</f>
        <v>109.35250371839361</v>
      </c>
      <c r="L471" s="14">
        <f t="shared" si="7"/>
        <v>6.8127784739517416E-2</v>
      </c>
      <c r="M471" s="16">
        <f>IF(L471&gt;Benchmark!$B$2,1,IF(L471&lt;-Benchmark!$B$2,5,3))</f>
        <v>1</v>
      </c>
      <c r="N471" s="3" t="s">
        <v>31</v>
      </c>
    </row>
    <row r="472" spans="1:14" x14ac:dyDescent="0.35">
      <c r="A472" s="11" t="s">
        <v>7</v>
      </c>
      <c r="B472" s="11" t="s">
        <v>673</v>
      </c>
      <c r="C472" s="11">
        <v>3</v>
      </c>
      <c r="D472" s="11">
        <v>2</v>
      </c>
      <c r="E472" s="11" t="s">
        <v>104</v>
      </c>
      <c r="F472" s="11" t="s">
        <v>670</v>
      </c>
      <c r="G472" s="12">
        <v>5.51</v>
      </c>
      <c r="H472" s="13">
        <v>88.235934664246827</v>
      </c>
      <c r="I472" s="11" t="s">
        <v>671</v>
      </c>
      <c r="J472" s="11" t="s">
        <v>30</v>
      </c>
      <c r="K472" s="7">
        <f>INDEX(Benchmark!$H$5:$H$807,MATCH(I472,Benchmark!$A$5:$A$807,0))</f>
        <v>109.35250371839361</v>
      </c>
      <c r="L472" s="14">
        <f t="shared" si="7"/>
        <v>-0.1931054922027805</v>
      </c>
      <c r="M472" s="15">
        <f>IF(L472&gt;Benchmark!$B$2,1,IF(L472&lt;-Benchmark!$B$2,5,3))</f>
        <v>5</v>
      </c>
      <c r="N472" s="3" t="s">
        <v>31</v>
      </c>
    </row>
    <row r="473" spans="1:14" x14ac:dyDescent="0.35">
      <c r="A473" s="11" t="s">
        <v>7</v>
      </c>
      <c r="B473" s="11" t="s">
        <v>674</v>
      </c>
      <c r="C473" s="11">
        <v>3</v>
      </c>
      <c r="D473" s="11">
        <v>2</v>
      </c>
      <c r="E473" s="11" t="s">
        <v>104</v>
      </c>
      <c r="F473" s="11" t="s">
        <v>670</v>
      </c>
      <c r="G473" s="12">
        <v>5.81</v>
      </c>
      <c r="H473" s="13">
        <v>104.4130808950086</v>
      </c>
      <c r="I473" s="11" t="s">
        <v>671</v>
      </c>
      <c r="J473" s="11" t="s">
        <v>30</v>
      </c>
      <c r="K473" s="7">
        <f>INDEX(Benchmark!$H$5:$H$807,MATCH(I473,Benchmark!$A$5:$A$807,0))</f>
        <v>109.35250371839361</v>
      </c>
      <c r="L473" s="14">
        <f t="shared" si="7"/>
        <v>-4.5169727765036694E-2</v>
      </c>
      <c r="M473" s="17">
        <f>IF(L473&gt;Benchmark!$B$2,1,IF(L473&lt;-Benchmark!$B$2,5,3))</f>
        <v>3</v>
      </c>
      <c r="N473" s="3" t="s">
        <v>31</v>
      </c>
    </row>
    <row r="474" spans="1:14" x14ac:dyDescent="0.35">
      <c r="A474" s="11" t="s">
        <v>7</v>
      </c>
      <c r="B474" s="11" t="s">
        <v>675</v>
      </c>
      <c r="C474" s="11">
        <v>3</v>
      </c>
      <c r="D474" s="11">
        <v>2</v>
      </c>
      <c r="E474" s="11" t="s">
        <v>27</v>
      </c>
      <c r="F474" s="11" t="s">
        <v>670</v>
      </c>
      <c r="G474" s="12">
        <v>1.64</v>
      </c>
      <c r="H474" s="13">
        <v>118.5487804878049</v>
      </c>
      <c r="I474" s="11" t="s">
        <v>676</v>
      </c>
      <c r="J474" s="11" t="s">
        <v>30</v>
      </c>
      <c r="K474" s="7">
        <f>INDEX(Benchmark!$H$5:$H$807,MATCH(I474,Benchmark!$A$5:$A$807,0))</f>
        <v>134.7709190672154</v>
      </c>
      <c r="L474" s="14">
        <f t="shared" si="7"/>
        <v>-0.12036824184095607</v>
      </c>
      <c r="M474" s="15">
        <f>IF(L474&gt;Benchmark!$B$2,1,IF(L474&lt;-Benchmark!$B$2,5,3))</f>
        <v>5</v>
      </c>
      <c r="N474" s="3" t="s">
        <v>31</v>
      </c>
    </row>
    <row r="475" spans="1:14" x14ac:dyDescent="0.35">
      <c r="A475" s="11" t="s">
        <v>7</v>
      </c>
      <c r="B475" s="11" t="s">
        <v>677</v>
      </c>
      <c r="C475" s="11">
        <v>3</v>
      </c>
      <c r="D475" s="11">
        <v>4</v>
      </c>
      <c r="E475" s="11" t="s">
        <v>88</v>
      </c>
      <c r="F475" s="11" t="s">
        <v>169</v>
      </c>
      <c r="G475" s="12">
        <v>6.19</v>
      </c>
      <c r="H475" s="13">
        <v>166.2633279483037</v>
      </c>
      <c r="I475" s="11" t="s">
        <v>678</v>
      </c>
      <c r="J475" s="11" t="s">
        <v>30</v>
      </c>
      <c r="K475" s="7">
        <f>INDEX(Benchmark!$H$5:$H$807,MATCH(I475,Benchmark!$A$5:$A$807,0))</f>
        <v>128.29704764400449</v>
      </c>
      <c r="L475" s="14">
        <f t="shared" si="7"/>
        <v>0.29592481667736514</v>
      </c>
      <c r="M475" s="16">
        <f>IF(L475&gt;Benchmark!$B$2,1,IF(L475&lt;-Benchmark!$B$2,5,3))</f>
        <v>1</v>
      </c>
      <c r="N475" s="3" t="s">
        <v>31</v>
      </c>
    </row>
    <row r="476" spans="1:14" x14ac:dyDescent="0.35">
      <c r="A476" s="11" t="s">
        <v>7</v>
      </c>
      <c r="B476" s="11" t="s">
        <v>679</v>
      </c>
      <c r="C476" s="11">
        <v>3</v>
      </c>
      <c r="D476" s="11">
        <v>14</v>
      </c>
      <c r="E476" s="11" t="s">
        <v>198</v>
      </c>
      <c r="F476" s="11" t="s">
        <v>169</v>
      </c>
      <c r="G476" s="12">
        <v>1.93</v>
      </c>
      <c r="H476" s="13">
        <v>111.2227979274611</v>
      </c>
      <c r="I476" s="11" t="s">
        <v>680</v>
      </c>
      <c r="J476" s="11" t="s">
        <v>30</v>
      </c>
      <c r="K476" s="7">
        <f>INDEX(Benchmark!$H$5:$H$807,MATCH(I476,Benchmark!$A$5:$A$807,0))</f>
        <v>116.7568295114656</v>
      </c>
      <c r="L476" s="14">
        <f t="shared" si="7"/>
        <v>-4.7397926161236281E-2</v>
      </c>
      <c r="M476" s="17">
        <f>IF(L476&gt;Benchmark!$B$2,1,IF(L476&lt;-Benchmark!$B$2,5,3))</f>
        <v>3</v>
      </c>
      <c r="N476" s="3" t="s">
        <v>31</v>
      </c>
    </row>
    <row r="477" spans="1:14" x14ac:dyDescent="0.35">
      <c r="A477" s="11" t="s">
        <v>7</v>
      </c>
      <c r="B477" s="11" t="s">
        <v>681</v>
      </c>
      <c r="C477" s="11">
        <v>3</v>
      </c>
      <c r="D477" s="11">
        <v>5</v>
      </c>
      <c r="E477" s="11" t="s">
        <v>27</v>
      </c>
      <c r="F477" s="11" t="s">
        <v>35</v>
      </c>
      <c r="G477" s="12">
        <v>19.21</v>
      </c>
      <c r="H477" s="13">
        <v>127.25559604372719</v>
      </c>
      <c r="I477" s="11" t="s">
        <v>682</v>
      </c>
      <c r="J477" s="11" t="s">
        <v>30</v>
      </c>
      <c r="K477" s="7">
        <f>INDEX(Benchmark!$H$5:$H$807,MATCH(I477,Benchmark!$A$5:$A$807,0))</f>
        <v>145.44695259593681</v>
      </c>
      <c r="L477" s="14">
        <f t="shared" si="7"/>
        <v>-0.12507210517326306</v>
      </c>
      <c r="M477" s="15">
        <f>IF(L477&gt;Benchmark!$B$2,1,IF(L477&lt;-Benchmark!$B$2,5,3))</f>
        <v>5</v>
      </c>
      <c r="N477" s="3" t="s">
        <v>31</v>
      </c>
    </row>
    <row r="478" spans="1:14" x14ac:dyDescent="0.35">
      <c r="A478" s="11" t="s">
        <v>7</v>
      </c>
      <c r="B478" s="11" t="s">
        <v>683</v>
      </c>
      <c r="C478" s="11">
        <v>3</v>
      </c>
      <c r="D478" s="11">
        <v>4</v>
      </c>
      <c r="E478" s="11" t="s">
        <v>198</v>
      </c>
      <c r="F478" s="11" t="s">
        <v>633</v>
      </c>
      <c r="G478" s="12">
        <v>17.850000000000001</v>
      </c>
      <c r="H478" s="13">
        <v>114.63753501400561</v>
      </c>
      <c r="I478" s="11" t="s">
        <v>634</v>
      </c>
      <c r="J478" s="11" t="s">
        <v>30</v>
      </c>
      <c r="K478" s="7">
        <f>INDEX(Benchmark!$H$5:$H$807,MATCH(I478,Benchmark!$A$5:$A$807,0))</f>
        <v>122.7119856887299</v>
      </c>
      <c r="L478" s="14">
        <f t="shared" si="7"/>
        <v>-6.5800016432020492E-2</v>
      </c>
      <c r="M478" s="15">
        <f>IF(L478&gt;Benchmark!$B$2,1,IF(L478&lt;-Benchmark!$B$2,5,3))</f>
        <v>5</v>
      </c>
      <c r="N478" s="3" t="s">
        <v>31</v>
      </c>
    </row>
    <row r="479" spans="1:14" x14ac:dyDescent="0.35">
      <c r="A479" s="11" t="s">
        <v>7</v>
      </c>
      <c r="B479" s="11" t="s">
        <v>684</v>
      </c>
      <c r="C479" s="11">
        <v>3</v>
      </c>
      <c r="D479" s="11">
        <v>4</v>
      </c>
      <c r="E479" s="11" t="s">
        <v>88</v>
      </c>
      <c r="F479" s="11" t="s">
        <v>364</v>
      </c>
      <c r="G479" s="12">
        <v>3.98</v>
      </c>
      <c r="H479" s="13">
        <v>88.69095477386935</v>
      </c>
      <c r="I479" s="11" t="s">
        <v>685</v>
      </c>
      <c r="J479" s="11" t="s">
        <v>30</v>
      </c>
      <c r="K479" s="7">
        <f>INDEX(Benchmark!$H$5:$H$807,MATCH(I479,Benchmark!$A$5:$A$807,0))</f>
        <v>112.44941252144081</v>
      </c>
      <c r="L479" s="14">
        <f t="shared" si="7"/>
        <v>-0.21128129720590061</v>
      </c>
      <c r="M479" s="15">
        <f>IF(L479&gt;Benchmark!$B$2,1,IF(L479&lt;-Benchmark!$B$2,5,3))</f>
        <v>5</v>
      </c>
      <c r="N479" s="3" t="s">
        <v>31</v>
      </c>
    </row>
    <row r="480" spans="1:14" x14ac:dyDescent="0.35">
      <c r="A480" s="11" t="s">
        <v>7</v>
      </c>
      <c r="B480" s="11" t="s">
        <v>686</v>
      </c>
      <c r="C480" s="11">
        <v>3</v>
      </c>
      <c r="D480" s="11">
        <v>2</v>
      </c>
      <c r="E480" s="11" t="s">
        <v>27</v>
      </c>
      <c r="F480" s="11" t="s">
        <v>641</v>
      </c>
      <c r="G480" s="12">
        <v>8.52</v>
      </c>
      <c r="H480" s="13">
        <v>111.9600938967136</v>
      </c>
      <c r="I480" s="11" t="s">
        <v>687</v>
      </c>
      <c r="J480" s="11" t="s">
        <v>30</v>
      </c>
      <c r="K480" s="7">
        <f>INDEX(Benchmark!$H$5:$H$807,MATCH(I480,Benchmark!$A$5:$A$807,0))</f>
        <v>147.96583143507971</v>
      </c>
      <c r="L480" s="14">
        <f t="shared" si="7"/>
        <v>-0.24333818956144404</v>
      </c>
      <c r="M480" s="15">
        <f>IF(L480&gt;Benchmark!$B$2,1,IF(L480&lt;-Benchmark!$B$2,5,3))</f>
        <v>5</v>
      </c>
      <c r="N480" s="3" t="s">
        <v>31</v>
      </c>
    </row>
    <row r="481" spans="1:14" x14ac:dyDescent="0.35">
      <c r="A481" s="11" t="s">
        <v>7</v>
      </c>
      <c r="B481" s="11" t="s">
        <v>688</v>
      </c>
      <c r="C481" s="11">
        <v>3</v>
      </c>
      <c r="D481" s="11">
        <v>4</v>
      </c>
      <c r="E481" s="11" t="s">
        <v>88</v>
      </c>
      <c r="F481" s="11" t="s">
        <v>364</v>
      </c>
      <c r="G481" s="12">
        <v>7.52</v>
      </c>
      <c r="H481" s="13">
        <v>83.047872340425528</v>
      </c>
      <c r="I481" s="11" t="s">
        <v>685</v>
      </c>
      <c r="J481" s="11" t="s">
        <v>30</v>
      </c>
      <c r="K481" s="7">
        <f>INDEX(Benchmark!$H$5:$H$807,MATCH(I481,Benchmark!$A$5:$A$807,0))</f>
        <v>112.44941252144081</v>
      </c>
      <c r="L481" s="14">
        <f t="shared" si="7"/>
        <v>-0.261464595694613</v>
      </c>
      <c r="M481" s="15">
        <f>IF(L481&gt;Benchmark!$B$2,1,IF(L481&lt;-Benchmark!$B$2,5,3))</f>
        <v>5</v>
      </c>
      <c r="N481" s="3" t="s">
        <v>31</v>
      </c>
    </row>
    <row r="482" spans="1:14" x14ac:dyDescent="0.35">
      <c r="A482" s="11" t="s">
        <v>7</v>
      </c>
      <c r="B482" s="11" t="s">
        <v>689</v>
      </c>
      <c r="C482" s="11">
        <v>3</v>
      </c>
      <c r="D482" s="11">
        <v>6</v>
      </c>
      <c r="E482" s="11" t="s">
        <v>104</v>
      </c>
      <c r="F482" s="11" t="s">
        <v>28</v>
      </c>
      <c r="G482" s="12">
        <v>5.0199999999999996</v>
      </c>
      <c r="H482" s="13">
        <v>88.211155378486069</v>
      </c>
      <c r="I482" s="11" t="s">
        <v>690</v>
      </c>
      <c r="J482" s="11" t="s">
        <v>30</v>
      </c>
      <c r="K482" s="7">
        <f>INDEX(Benchmark!$H$5:$H$807,MATCH(I482,Benchmark!$A$5:$A$807,0))</f>
        <v>101.08450704225351</v>
      </c>
      <c r="L482" s="14">
        <f t="shared" si="7"/>
        <v>-0.12735237120349563</v>
      </c>
      <c r="M482" s="15">
        <f>IF(L482&gt;Benchmark!$B$2,1,IF(L482&lt;-Benchmark!$B$2,5,3))</f>
        <v>5</v>
      </c>
      <c r="N482" s="3" t="s">
        <v>31</v>
      </c>
    </row>
    <row r="483" spans="1:14" x14ac:dyDescent="0.35">
      <c r="A483" s="11" t="s">
        <v>7</v>
      </c>
      <c r="B483" s="11" t="s">
        <v>691</v>
      </c>
      <c r="C483" s="11">
        <v>3</v>
      </c>
      <c r="D483" s="11">
        <v>3</v>
      </c>
      <c r="E483" s="11" t="s">
        <v>692</v>
      </c>
      <c r="F483" s="11" t="s">
        <v>28</v>
      </c>
      <c r="G483" s="12">
        <v>9.73</v>
      </c>
      <c r="H483" s="13">
        <v>107.2189105858171</v>
      </c>
      <c r="I483" s="11" t="s">
        <v>693</v>
      </c>
      <c r="J483" s="11" t="s">
        <v>30</v>
      </c>
      <c r="K483" s="7">
        <f>INDEX(Benchmark!$H$5:$H$807,MATCH(I483,Benchmark!$A$5:$A$807,0))</f>
        <v>113.26323584447439</v>
      </c>
      <c r="L483" s="14">
        <f t="shared" si="7"/>
        <v>-5.3365288512125519E-2</v>
      </c>
      <c r="M483" s="15">
        <f>IF(L483&gt;Benchmark!$B$2,1,IF(L483&lt;-Benchmark!$B$2,5,3))</f>
        <v>5</v>
      </c>
      <c r="N483" s="3" t="s">
        <v>31</v>
      </c>
    </row>
    <row r="484" spans="1:14" x14ac:dyDescent="0.35">
      <c r="A484" s="11" t="s">
        <v>7</v>
      </c>
      <c r="B484" s="11" t="s">
        <v>694</v>
      </c>
      <c r="C484" s="11">
        <v>3</v>
      </c>
      <c r="D484" s="11">
        <v>6</v>
      </c>
      <c r="E484" s="11" t="s">
        <v>156</v>
      </c>
      <c r="F484" s="11" t="s">
        <v>364</v>
      </c>
      <c r="G484" s="12">
        <v>9.8699999999999992</v>
      </c>
      <c r="H484" s="13">
        <v>86.490374873353602</v>
      </c>
      <c r="I484" s="11" t="s">
        <v>695</v>
      </c>
      <c r="J484" s="11" t="s">
        <v>37</v>
      </c>
      <c r="K484" s="7">
        <f>INDEX(Benchmark!$H$5:$H$807,MATCH(I484,Benchmark!$A$5:$A$807,0))</f>
        <v>111.8819350673804</v>
      </c>
      <c r="L484" s="14">
        <f t="shared" si="7"/>
        <v>-0.22694959806276893</v>
      </c>
      <c r="M484" s="15">
        <f>IF(L484&gt;Benchmark!$B$2,1,IF(L484&lt;-Benchmark!$B$2,5,3))</f>
        <v>5</v>
      </c>
      <c r="N484" s="3" t="s">
        <v>31</v>
      </c>
    </row>
    <row r="485" spans="1:14" x14ac:dyDescent="0.35">
      <c r="A485" s="11" t="s">
        <v>7</v>
      </c>
      <c r="B485" s="11" t="s">
        <v>696</v>
      </c>
      <c r="C485" s="11">
        <v>3</v>
      </c>
      <c r="D485" s="11">
        <v>5</v>
      </c>
      <c r="E485" s="11" t="s">
        <v>27</v>
      </c>
      <c r="F485" s="11" t="s">
        <v>641</v>
      </c>
      <c r="G485" s="12">
        <v>4.47</v>
      </c>
      <c r="H485" s="13">
        <v>106.42505592841169</v>
      </c>
      <c r="I485" s="11" t="s">
        <v>687</v>
      </c>
      <c r="J485" s="11" t="s">
        <v>30</v>
      </c>
      <c r="K485" s="7">
        <f>INDEX(Benchmark!$H$5:$H$807,MATCH(I485,Benchmark!$A$5:$A$807,0))</f>
        <v>147.96583143507971</v>
      </c>
      <c r="L485" s="14">
        <f t="shared" si="7"/>
        <v>-0.28074573098245392</v>
      </c>
      <c r="M485" s="15">
        <f>IF(L485&gt;Benchmark!$B$2,1,IF(L485&lt;-Benchmark!$B$2,5,3))</f>
        <v>5</v>
      </c>
      <c r="N485" s="3" t="s">
        <v>31</v>
      </c>
    </row>
    <row r="486" spans="1:14" x14ac:dyDescent="0.35">
      <c r="A486" s="11" t="s">
        <v>7</v>
      </c>
      <c r="B486" s="11" t="s">
        <v>697</v>
      </c>
      <c r="C486" s="11">
        <v>3</v>
      </c>
      <c r="D486" s="11">
        <v>13</v>
      </c>
      <c r="E486" s="11" t="s">
        <v>198</v>
      </c>
      <c r="F486" s="11" t="s">
        <v>28</v>
      </c>
      <c r="G486" s="12">
        <v>5.1100000000000003</v>
      </c>
      <c r="H486" s="13">
        <v>97.039138943248531</v>
      </c>
      <c r="I486" s="11" t="s">
        <v>698</v>
      </c>
      <c r="J486" s="11" t="s">
        <v>30</v>
      </c>
      <c r="K486" s="7">
        <f>INDEX(Benchmark!$H$5:$H$807,MATCH(I486,Benchmark!$A$5:$A$807,0))</f>
        <v>121.8624870387313</v>
      </c>
      <c r="L486" s="14">
        <f t="shared" si="7"/>
        <v>-0.20369966754078483</v>
      </c>
      <c r="M486" s="15">
        <f>IF(L486&gt;Benchmark!$B$2,1,IF(L486&lt;-Benchmark!$B$2,5,3))</f>
        <v>5</v>
      </c>
      <c r="N486" s="3" t="s">
        <v>31</v>
      </c>
    </row>
    <row r="487" spans="1:14" x14ac:dyDescent="0.35">
      <c r="A487" s="11" t="s">
        <v>7</v>
      </c>
      <c r="B487" s="11" t="s">
        <v>699</v>
      </c>
      <c r="C487" s="11">
        <v>3</v>
      </c>
      <c r="D487" s="11">
        <v>3</v>
      </c>
      <c r="E487" s="11" t="s">
        <v>104</v>
      </c>
      <c r="F487" s="11" t="s">
        <v>633</v>
      </c>
      <c r="G487" s="12">
        <v>7.4</v>
      </c>
      <c r="H487" s="13">
        <v>89.417567567567573</v>
      </c>
      <c r="I487" s="11" t="s">
        <v>700</v>
      </c>
      <c r="J487" s="11" t="s">
        <v>30</v>
      </c>
      <c r="K487" s="7">
        <f>INDEX(Benchmark!$H$5:$H$807,MATCH(I487,Benchmark!$A$5:$A$807,0))</f>
        <v>114.9706913557601</v>
      </c>
      <c r="L487" s="14">
        <f t="shared" si="7"/>
        <v>-0.22225772052741766</v>
      </c>
      <c r="M487" s="15">
        <f>IF(L487&gt;Benchmark!$B$2,1,IF(L487&lt;-Benchmark!$B$2,5,3))</f>
        <v>5</v>
      </c>
      <c r="N487" s="3" t="s">
        <v>31</v>
      </c>
    </row>
    <row r="488" spans="1:14" x14ac:dyDescent="0.35">
      <c r="A488" s="11" t="s">
        <v>7</v>
      </c>
      <c r="B488" s="11" t="s">
        <v>701</v>
      </c>
      <c r="C488" s="11">
        <v>3</v>
      </c>
      <c r="D488" s="11">
        <v>3</v>
      </c>
      <c r="E488" s="11" t="s">
        <v>78</v>
      </c>
      <c r="F488" s="11" t="s">
        <v>633</v>
      </c>
      <c r="G488" s="12">
        <v>4.13</v>
      </c>
      <c r="H488" s="13">
        <v>72.728813559322035</v>
      </c>
      <c r="I488" s="11" t="s">
        <v>702</v>
      </c>
      <c r="J488" s="11" t="s">
        <v>614</v>
      </c>
      <c r="K488" s="7">
        <f>INDEX(Benchmark!$H$5:$H$807,MATCH(I488,Benchmark!$A$5:$A$807,0))</f>
        <v>120.3572922555116</v>
      </c>
      <c r="L488" s="14">
        <f t="shared" si="7"/>
        <v>-0.39572574127936544</v>
      </c>
      <c r="M488" s="15">
        <f>IF(L488&gt;Benchmark!$B$2,1,IF(L488&lt;-Benchmark!$B$2,5,3))</f>
        <v>5</v>
      </c>
      <c r="N488" s="3" t="s">
        <v>31</v>
      </c>
    </row>
    <row r="489" spans="1:14" x14ac:dyDescent="0.35">
      <c r="A489" s="11" t="s">
        <v>7</v>
      </c>
      <c r="B489" s="11" t="s">
        <v>703</v>
      </c>
      <c r="C489" s="11">
        <v>3</v>
      </c>
      <c r="D489" s="11">
        <v>5</v>
      </c>
      <c r="E489" s="11" t="s">
        <v>198</v>
      </c>
      <c r="F489" s="11" t="s">
        <v>28</v>
      </c>
      <c r="G489" s="12">
        <v>5.85</v>
      </c>
      <c r="H489" s="13">
        <v>89.158974358974376</v>
      </c>
      <c r="I489" s="11" t="s">
        <v>698</v>
      </c>
      <c r="J489" s="11" t="s">
        <v>30</v>
      </c>
      <c r="K489" s="7">
        <f>INDEX(Benchmark!$H$5:$H$807,MATCH(I489,Benchmark!$A$5:$A$807,0))</f>
        <v>121.8624870387313</v>
      </c>
      <c r="L489" s="14">
        <f t="shared" si="7"/>
        <v>-0.26836406735538587</v>
      </c>
      <c r="M489" s="15">
        <f>IF(L489&gt;Benchmark!$B$2,1,IF(L489&lt;-Benchmark!$B$2,5,3))</f>
        <v>5</v>
      </c>
      <c r="N489" s="3" t="s">
        <v>31</v>
      </c>
    </row>
    <row r="490" spans="1:14" x14ac:dyDescent="0.35">
      <c r="A490" s="11" t="s">
        <v>7</v>
      </c>
      <c r="B490" s="11" t="s">
        <v>704</v>
      </c>
      <c r="C490" s="11">
        <v>3</v>
      </c>
      <c r="D490" s="11">
        <v>3</v>
      </c>
      <c r="E490" s="11" t="s">
        <v>104</v>
      </c>
      <c r="F490" s="11" t="s">
        <v>28</v>
      </c>
      <c r="G490" s="12">
        <v>7.06</v>
      </c>
      <c r="H490" s="13">
        <v>112.42634560906519</v>
      </c>
      <c r="I490" s="11" t="s">
        <v>690</v>
      </c>
      <c r="J490" s="11" t="s">
        <v>30</v>
      </c>
      <c r="K490" s="7">
        <f>INDEX(Benchmark!$H$5:$H$807,MATCH(I490,Benchmark!$A$5:$A$807,0))</f>
        <v>101.08450704225351</v>
      </c>
      <c r="L490" s="14">
        <f t="shared" si="7"/>
        <v>0.11220155193585479</v>
      </c>
      <c r="M490" s="16">
        <f>IF(L490&gt;Benchmark!$B$2,1,IF(L490&lt;-Benchmark!$B$2,5,3))</f>
        <v>1</v>
      </c>
      <c r="N490" s="3" t="s">
        <v>31</v>
      </c>
    </row>
    <row r="491" spans="1:14" x14ac:dyDescent="0.35">
      <c r="A491" s="11" t="s">
        <v>7</v>
      </c>
      <c r="B491" s="11" t="s">
        <v>705</v>
      </c>
      <c r="C491" s="11">
        <v>3</v>
      </c>
      <c r="D491" s="11">
        <v>2</v>
      </c>
      <c r="E491" s="11" t="s">
        <v>48</v>
      </c>
      <c r="F491" s="11" t="s">
        <v>633</v>
      </c>
      <c r="G491" s="12">
        <v>5.21</v>
      </c>
      <c r="H491" s="13">
        <v>120.9961612284069</v>
      </c>
      <c r="I491" s="11" t="s">
        <v>706</v>
      </c>
      <c r="J491" s="11" t="s">
        <v>30</v>
      </c>
      <c r="K491" s="7">
        <f>INDEX(Benchmark!$H$5:$H$807,MATCH(I491,Benchmark!$A$5:$A$807,0))</f>
        <v>146.84543051486679</v>
      </c>
      <c r="L491" s="14">
        <f t="shared" si="7"/>
        <v>-0.17603046411337175</v>
      </c>
      <c r="M491" s="15">
        <f>IF(L491&gt;Benchmark!$B$2,1,IF(L491&lt;-Benchmark!$B$2,5,3))</f>
        <v>5</v>
      </c>
      <c r="N491" s="3" t="s">
        <v>31</v>
      </c>
    </row>
    <row r="492" spans="1:14" x14ac:dyDescent="0.35">
      <c r="A492" s="11" t="s">
        <v>7</v>
      </c>
      <c r="B492" s="11" t="s">
        <v>707</v>
      </c>
      <c r="C492" s="11">
        <v>3</v>
      </c>
      <c r="D492" s="11">
        <v>3</v>
      </c>
      <c r="E492" s="11" t="s">
        <v>78</v>
      </c>
      <c r="F492" s="11" t="s">
        <v>633</v>
      </c>
      <c r="G492" s="12">
        <v>0.37</v>
      </c>
      <c r="H492" s="13">
        <v>78.729729729729726</v>
      </c>
      <c r="I492" s="11" t="s">
        <v>702</v>
      </c>
      <c r="J492" s="11" t="s">
        <v>614</v>
      </c>
      <c r="K492" s="7">
        <f>INDEX(Benchmark!$H$5:$H$807,MATCH(I492,Benchmark!$A$5:$A$807,0))</f>
        <v>120.3572922555116</v>
      </c>
      <c r="L492" s="14">
        <f t="shared" si="7"/>
        <v>-0.34586655902335317</v>
      </c>
      <c r="M492" s="15">
        <f>IF(L492&gt;Benchmark!$B$2,1,IF(L492&lt;-Benchmark!$B$2,5,3))</f>
        <v>5</v>
      </c>
      <c r="N492" s="3" t="s">
        <v>31</v>
      </c>
    </row>
    <row r="493" spans="1:14" x14ac:dyDescent="0.35">
      <c r="A493" s="11" t="s">
        <v>7</v>
      </c>
      <c r="B493" s="11" t="s">
        <v>708</v>
      </c>
      <c r="C493" s="11">
        <v>3</v>
      </c>
      <c r="D493" s="11">
        <v>9</v>
      </c>
      <c r="E493" s="11" t="s">
        <v>198</v>
      </c>
      <c r="F493" s="11" t="s">
        <v>364</v>
      </c>
      <c r="G493" s="12">
        <v>3.4</v>
      </c>
      <c r="H493" s="13">
        <v>83.47058823529413</v>
      </c>
      <c r="I493" s="11" t="s">
        <v>709</v>
      </c>
      <c r="J493" s="11" t="s">
        <v>30</v>
      </c>
      <c r="K493" s="7">
        <f>INDEX(Benchmark!$H$5:$H$807,MATCH(I493,Benchmark!$A$5:$A$807,0))</f>
        <v>125.33667409057161</v>
      </c>
      <c r="L493" s="14">
        <f t="shared" si="7"/>
        <v>-0.33402901552201658</v>
      </c>
      <c r="M493" s="15">
        <f>IF(L493&gt;Benchmark!$B$2,1,IF(L493&lt;-Benchmark!$B$2,5,3))</f>
        <v>5</v>
      </c>
      <c r="N493" s="3" t="s">
        <v>31</v>
      </c>
    </row>
    <row r="494" spans="1:14" x14ac:dyDescent="0.35">
      <c r="A494" s="11" t="s">
        <v>7</v>
      </c>
      <c r="B494" s="11" t="s">
        <v>710</v>
      </c>
      <c r="C494" s="11">
        <v>3</v>
      </c>
      <c r="D494" s="11">
        <v>4</v>
      </c>
      <c r="E494" s="11" t="s">
        <v>88</v>
      </c>
      <c r="F494" s="11" t="s">
        <v>633</v>
      </c>
      <c r="G494" s="12">
        <v>13.5</v>
      </c>
      <c r="H494" s="13">
        <v>79.031111111111116</v>
      </c>
      <c r="I494" s="11" t="s">
        <v>644</v>
      </c>
      <c r="J494" s="11" t="s">
        <v>30</v>
      </c>
      <c r="K494" s="7">
        <f>INDEX(Benchmark!$H$5:$H$807,MATCH(I494,Benchmark!$A$5:$A$807,0))</f>
        <v>108.726573100639</v>
      </c>
      <c r="L494" s="14">
        <f t="shared" si="7"/>
        <v>-0.27312055500950361</v>
      </c>
      <c r="M494" s="15">
        <f>IF(L494&gt;Benchmark!$B$2,1,IF(L494&lt;-Benchmark!$B$2,5,3))</f>
        <v>5</v>
      </c>
      <c r="N494" s="3" t="s">
        <v>31</v>
      </c>
    </row>
    <row r="495" spans="1:14" x14ac:dyDescent="0.35">
      <c r="A495" s="11" t="s">
        <v>7</v>
      </c>
      <c r="B495" s="11" t="s">
        <v>711</v>
      </c>
      <c r="C495" s="11">
        <v>3</v>
      </c>
      <c r="D495" s="11">
        <v>4</v>
      </c>
      <c r="E495" s="11" t="s">
        <v>104</v>
      </c>
      <c r="F495" s="11" t="s">
        <v>633</v>
      </c>
      <c r="G495" s="12">
        <v>7.15</v>
      </c>
      <c r="H495" s="13">
        <v>90.195804195804186</v>
      </c>
      <c r="I495" s="11" t="s">
        <v>700</v>
      </c>
      <c r="J495" s="11" t="s">
        <v>30</v>
      </c>
      <c r="K495" s="7">
        <f>INDEX(Benchmark!$H$5:$H$807,MATCH(I495,Benchmark!$A$5:$A$807,0))</f>
        <v>114.9706913557601</v>
      </c>
      <c r="L495" s="14">
        <f t="shared" si="7"/>
        <v>-0.21548872036694655</v>
      </c>
      <c r="M495" s="15">
        <f>IF(L495&gt;Benchmark!$B$2,1,IF(L495&lt;-Benchmark!$B$2,5,3))</f>
        <v>5</v>
      </c>
      <c r="N495" s="3" t="s">
        <v>31</v>
      </c>
    </row>
    <row r="496" spans="1:14" x14ac:dyDescent="0.35">
      <c r="A496" s="11" t="s">
        <v>7</v>
      </c>
      <c r="B496" s="11" t="s">
        <v>712</v>
      </c>
      <c r="C496" s="11">
        <v>3</v>
      </c>
      <c r="D496" s="11">
        <v>4</v>
      </c>
      <c r="E496" s="11" t="s">
        <v>198</v>
      </c>
      <c r="F496" s="11" t="s">
        <v>364</v>
      </c>
      <c r="G496" s="12">
        <v>20.420000000000002</v>
      </c>
      <c r="H496" s="13">
        <v>99.959843290891271</v>
      </c>
      <c r="I496" s="11" t="s">
        <v>709</v>
      </c>
      <c r="J496" s="11" t="s">
        <v>30</v>
      </c>
      <c r="K496" s="7">
        <f>INDEX(Benchmark!$H$5:$H$807,MATCH(I496,Benchmark!$A$5:$A$807,0))</f>
        <v>125.33667409057161</v>
      </c>
      <c r="L496" s="14">
        <f t="shared" si="7"/>
        <v>-0.20246931701205317</v>
      </c>
      <c r="M496" s="15">
        <f>IF(L496&gt;Benchmark!$B$2,1,IF(L496&lt;-Benchmark!$B$2,5,3))</f>
        <v>5</v>
      </c>
      <c r="N496" s="3" t="s">
        <v>31</v>
      </c>
    </row>
    <row r="497" spans="1:14" x14ac:dyDescent="0.35">
      <c r="A497" s="11" t="s">
        <v>7</v>
      </c>
      <c r="B497" s="11" t="s">
        <v>713</v>
      </c>
      <c r="C497" s="11">
        <v>3</v>
      </c>
      <c r="D497" s="11">
        <v>2</v>
      </c>
      <c r="E497" s="11" t="s">
        <v>78</v>
      </c>
      <c r="F497" s="11" t="s">
        <v>364</v>
      </c>
      <c r="G497" s="12">
        <v>6.12</v>
      </c>
      <c r="H497" s="13">
        <v>104.92156862745099</v>
      </c>
      <c r="I497" s="11" t="s">
        <v>714</v>
      </c>
      <c r="J497" s="11" t="s">
        <v>614</v>
      </c>
      <c r="K497" s="7">
        <f>INDEX(Benchmark!$H$5:$H$807,MATCH(I497,Benchmark!$A$5:$A$807,0))</f>
        <v>123.3843295638126</v>
      </c>
      <c r="L497" s="14">
        <f t="shared" si="7"/>
        <v>-0.14963618963308412</v>
      </c>
      <c r="M497" s="15">
        <f>IF(L497&gt;Benchmark!$B$2,1,IF(L497&lt;-Benchmark!$B$2,5,3))</f>
        <v>5</v>
      </c>
      <c r="N497" s="3" t="s">
        <v>31</v>
      </c>
    </row>
    <row r="498" spans="1:14" x14ac:dyDescent="0.35">
      <c r="A498" s="11" t="s">
        <v>7</v>
      </c>
      <c r="B498" s="11" t="s">
        <v>715</v>
      </c>
      <c r="C498" s="11">
        <v>3</v>
      </c>
      <c r="D498" s="11">
        <v>2</v>
      </c>
      <c r="E498" s="11" t="s">
        <v>78</v>
      </c>
      <c r="F498" s="11" t="s">
        <v>131</v>
      </c>
      <c r="G498" s="12">
        <v>0.23</v>
      </c>
      <c r="H498" s="13">
        <v>144.78260869565219</v>
      </c>
      <c r="I498" s="11" t="s">
        <v>716</v>
      </c>
      <c r="J498" s="11" t="s">
        <v>614</v>
      </c>
      <c r="K498" s="7">
        <f>INDEX(Benchmark!$H$5:$H$807,MATCH(I498,Benchmark!$A$5:$A$807,0))</f>
        <v>123.8967780429594</v>
      </c>
      <c r="L498" s="14">
        <f t="shared" si="7"/>
        <v>0.16857444545854894</v>
      </c>
      <c r="M498" s="16">
        <f>IF(L498&gt;Benchmark!$B$2,1,IF(L498&lt;-Benchmark!$B$2,5,3))</f>
        <v>1</v>
      </c>
      <c r="N498" s="3" t="s">
        <v>31</v>
      </c>
    </row>
    <row r="499" spans="1:14" x14ac:dyDescent="0.35">
      <c r="A499" s="11" t="s">
        <v>7</v>
      </c>
      <c r="B499" s="11" t="s">
        <v>717</v>
      </c>
      <c r="C499" s="11">
        <v>3</v>
      </c>
      <c r="D499" s="11">
        <v>14</v>
      </c>
      <c r="E499" s="11" t="s">
        <v>114</v>
      </c>
      <c r="F499" s="11" t="s">
        <v>364</v>
      </c>
      <c r="G499" s="12">
        <v>8.85</v>
      </c>
      <c r="H499" s="13">
        <v>110.7728813559322</v>
      </c>
      <c r="I499" s="11" t="s">
        <v>718</v>
      </c>
      <c r="J499" s="11" t="s">
        <v>30</v>
      </c>
      <c r="K499" s="7">
        <f>INDEX(Benchmark!$H$5:$H$807,MATCH(I499,Benchmark!$A$5:$A$807,0))</f>
        <v>126.82149084568439</v>
      </c>
      <c r="L499" s="14">
        <f t="shared" si="7"/>
        <v>-0.12654487329186226</v>
      </c>
      <c r="M499" s="15">
        <f>IF(L499&gt;Benchmark!$B$2,1,IF(L499&lt;-Benchmark!$B$2,5,3))</f>
        <v>5</v>
      </c>
      <c r="N499" s="3" t="s">
        <v>31</v>
      </c>
    </row>
    <row r="500" spans="1:14" x14ac:dyDescent="0.35">
      <c r="A500" s="11" t="s">
        <v>7</v>
      </c>
      <c r="B500" s="11" t="s">
        <v>719</v>
      </c>
      <c r="C500" s="11">
        <v>3</v>
      </c>
      <c r="D500" s="11">
        <v>2</v>
      </c>
      <c r="E500" s="11" t="s">
        <v>104</v>
      </c>
      <c r="F500" s="11" t="s">
        <v>364</v>
      </c>
      <c r="G500" s="12">
        <v>5.07</v>
      </c>
      <c r="H500" s="13">
        <v>103.72189349112421</v>
      </c>
      <c r="I500" s="11" t="s">
        <v>637</v>
      </c>
      <c r="J500" s="11" t="s">
        <v>30</v>
      </c>
      <c r="K500" s="7">
        <f>INDEX(Benchmark!$H$5:$H$807,MATCH(I500,Benchmark!$A$5:$A$807,0))</f>
        <v>114.22005012531331</v>
      </c>
      <c r="L500" s="14">
        <f t="shared" si="7"/>
        <v>-9.1911679452699846E-2</v>
      </c>
      <c r="M500" s="15">
        <f>IF(L500&gt;Benchmark!$B$2,1,IF(L500&lt;-Benchmark!$B$2,5,3))</f>
        <v>5</v>
      </c>
      <c r="N500" s="3" t="s">
        <v>31</v>
      </c>
    </row>
    <row r="501" spans="1:14" x14ac:dyDescent="0.35">
      <c r="A501" s="11" t="s">
        <v>7</v>
      </c>
      <c r="B501" s="11" t="s">
        <v>720</v>
      </c>
      <c r="C501" s="11">
        <v>3</v>
      </c>
      <c r="D501" s="11">
        <v>6</v>
      </c>
      <c r="E501" s="11" t="s">
        <v>156</v>
      </c>
      <c r="F501" s="11" t="s">
        <v>633</v>
      </c>
      <c r="G501" s="12">
        <v>5.48</v>
      </c>
      <c r="H501" s="13">
        <v>96.59306569343066</v>
      </c>
      <c r="I501" s="11" t="s">
        <v>721</v>
      </c>
      <c r="J501" s="11" t="s">
        <v>30</v>
      </c>
      <c r="K501" s="7">
        <f>INDEX(Benchmark!$H$5:$H$807,MATCH(I501,Benchmark!$A$5:$A$807,0))</f>
        <v>109.79014598540149</v>
      </c>
      <c r="L501" s="14">
        <f t="shared" si="7"/>
        <v>-0.12020277570015814</v>
      </c>
      <c r="M501" s="15">
        <f>IF(L501&gt;Benchmark!$B$2,1,IF(L501&lt;-Benchmark!$B$2,5,3))</f>
        <v>5</v>
      </c>
      <c r="N501" s="3" t="s">
        <v>31</v>
      </c>
    </row>
    <row r="502" spans="1:14" x14ac:dyDescent="0.35">
      <c r="A502" s="11" t="s">
        <v>7</v>
      </c>
      <c r="B502" s="11" t="s">
        <v>722</v>
      </c>
      <c r="C502" s="11">
        <v>3</v>
      </c>
      <c r="D502" s="11">
        <v>4</v>
      </c>
      <c r="E502" s="11" t="s">
        <v>88</v>
      </c>
      <c r="F502" s="11" t="s">
        <v>364</v>
      </c>
      <c r="G502" s="12">
        <v>10.52</v>
      </c>
      <c r="H502" s="13">
        <v>116.1739543726236</v>
      </c>
      <c r="I502" s="11" t="s">
        <v>685</v>
      </c>
      <c r="J502" s="11" t="s">
        <v>30</v>
      </c>
      <c r="K502" s="7">
        <f>INDEX(Benchmark!$H$5:$H$807,MATCH(I502,Benchmark!$A$5:$A$807,0))</f>
        <v>112.44941252144081</v>
      </c>
      <c r="L502" s="14">
        <f t="shared" si="7"/>
        <v>3.3121932499848628E-2</v>
      </c>
      <c r="M502" s="17">
        <f>IF(L502&gt;Benchmark!$B$2,1,IF(L502&lt;-Benchmark!$B$2,5,3))</f>
        <v>3</v>
      </c>
      <c r="N502" s="3" t="s">
        <v>31</v>
      </c>
    </row>
    <row r="503" spans="1:14" x14ac:dyDescent="0.35">
      <c r="A503" s="11" t="s">
        <v>7</v>
      </c>
      <c r="B503" s="11" t="s">
        <v>723</v>
      </c>
      <c r="C503" s="11">
        <v>3</v>
      </c>
      <c r="D503" s="11">
        <v>5</v>
      </c>
      <c r="E503" s="11" t="s">
        <v>104</v>
      </c>
      <c r="F503" s="11" t="s">
        <v>35</v>
      </c>
      <c r="G503" s="12">
        <v>8.1</v>
      </c>
      <c r="H503" s="13">
        <v>113.89012345679011</v>
      </c>
      <c r="I503" s="11" t="s">
        <v>724</v>
      </c>
      <c r="J503" s="11" t="s">
        <v>30</v>
      </c>
      <c r="K503" s="7">
        <f>INDEX(Benchmark!$H$5:$H$807,MATCH(I503,Benchmark!$A$5:$A$807,0))</f>
        <v>121.5558031293326</v>
      </c>
      <c r="L503" s="14">
        <f t="shared" si="7"/>
        <v>-6.3063049851979414E-2</v>
      </c>
      <c r="M503" s="15">
        <f>IF(L503&gt;Benchmark!$B$2,1,IF(L503&lt;-Benchmark!$B$2,5,3))</f>
        <v>5</v>
      </c>
      <c r="N503" s="3" t="s">
        <v>31</v>
      </c>
    </row>
    <row r="504" spans="1:14" x14ac:dyDescent="0.35">
      <c r="A504" s="11" t="s">
        <v>7</v>
      </c>
      <c r="B504" s="11" t="s">
        <v>725</v>
      </c>
      <c r="C504" s="11">
        <v>3</v>
      </c>
      <c r="D504" s="11">
        <v>3</v>
      </c>
      <c r="E504" s="11" t="s">
        <v>34</v>
      </c>
      <c r="F504" s="11" t="s">
        <v>35</v>
      </c>
      <c r="G504" s="12">
        <v>8.84</v>
      </c>
      <c r="H504" s="13">
        <v>157.2907239819005</v>
      </c>
      <c r="I504" s="11" t="s">
        <v>726</v>
      </c>
      <c r="J504" s="11" t="s">
        <v>30</v>
      </c>
      <c r="K504" s="7">
        <f>INDEX(Benchmark!$H$5:$H$807,MATCH(I504,Benchmark!$A$5:$A$807,0))</f>
        <v>152.2432150313152</v>
      </c>
      <c r="L504" s="14">
        <f t="shared" si="7"/>
        <v>3.3154245655854453E-2</v>
      </c>
      <c r="M504" s="17">
        <f>IF(L504&gt;Benchmark!$B$2,1,IF(L504&lt;-Benchmark!$B$2,5,3))</f>
        <v>3</v>
      </c>
      <c r="N504" s="3" t="s">
        <v>31</v>
      </c>
    </row>
    <row r="505" spans="1:14" x14ac:dyDescent="0.35">
      <c r="A505" s="11" t="s">
        <v>7</v>
      </c>
      <c r="B505" s="11" t="s">
        <v>727</v>
      </c>
      <c r="C505" s="11">
        <v>3</v>
      </c>
      <c r="D505" s="11">
        <v>2</v>
      </c>
      <c r="E505" s="11" t="s">
        <v>78</v>
      </c>
      <c r="F505" s="11" t="s">
        <v>502</v>
      </c>
      <c r="G505" s="12">
        <v>7.26</v>
      </c>
      <c r="H505" s="13">
        <v>100.1694214876033</v>
      </c>
      <c r="I505" s="11" t="s">
        <v>728</v>
      </c>
      <c r="J505" s="11" t="s">
        <v>614</v>
      </c>
      <c r="K505" s="7">
        <f>INDEX(Benchmark!$H$5:$H$807,MATCH(I505,Benchmark!$A$5:$A$807,0))</f>
        <v>128.85112302775141</v>
      </c>
      <c r="L505" s="14">
        <f t="shared" si="7"/>
        <v>-0.22259566596071323</v>
      </c>
      <c r="M505" s="15">
        <f>IF(L505&gt;Benchmark!$B$2,1,IF(L505&lt;-Benchmark!$B$2,5,3))</f>
        <v>5</v>
      </c>
      <c r="N505" s="3" t="s">
        <v>31</v>
      </c>
    </row>
    <row r="506" spans="1:14" x14ac:dyDescent="0.35">
      <c r="A506" s="11" t="s">
        <v>7</v>
      </c>
      <c r="B506" s="11" t="s">
        <v>729</v>
      </c>
      <c r="C506" s="11">
        <v>3</v>
      </c>
      <c r="D506" s="11">
        <v>2</v>
      </c>
      <c r="E506" s="11" t="s">
        <v>78</v>
      </c>
      <c r="F506" s="11" t="s">
        <v>730</v>
      </c>
      <c r="G506" s="12">
        <v>19.28</v>
      </c>
      <c r="H506" s="13">
        <v>115.0046680497925</v>
      </c>
      <c r="I506" s="11" t="s">
        <v>731</v>
      </c>
      <c r="J506" s="11" t="s">
        <v>614</v>
      </c>
      <c r="K506" s="7">
        <f>INDEX(Benchmark!$H$5:$H$807,MATCH(I506,Benchmark!$A$5:$A$807,0))</f>
        <v>131.68708185421639</v>
      </c>
      <c r="L506" s="14">
        <f t="shared" si="7"/>
        <v>-0.12668223465451289</v>
      </c>
      <c r="M506" s="15">
        <f>IF(L506&gt;Benchmark!$B$2,1,IF(L506&lt;-Benchmark!$B$2,5,3))</f>
        <v>5</v>
      </c>
      <c r="N506" s="3" t="s">
        <v>31</v>
      </c>
    </row>
    <row r="507" spans="1:14" x14ac:dyDescent="0.35">
      <c r="A507" s="11" t="s">
        <v>7</v>
      </c>
      <c r="B507" s="11" t="s">
        <v>732</v>
      </c>
      <c r="C507" s="11">
        <v>3</v>
      </c>
      <c r="D507" s="11">
        <v>4</v>
      </c>
      <c r="E507" s="11" t="s">
        <v>27</v>
      </c>
      <c r="F507" s="11" t="s">
        <v>733</v>
      </c>
      <c r="G507" s="12">
        <v>13.07</v>
      </c>
      <c r="H507" s="13">
        <v>89.661820964039791</v>
      </c>
      <c r="I507" s="11" t="s">
        <v>734</v>
      </c>
      <c r="J507" s="11" t="s">
        <v>37</v>
      </c>
      <c r="K507" s="7">
        <f>INDEX(Benchmark!$H$5:$H$807,MATCH(I507,Benchmark!$A$5:$A$807,0))</f>
        <v>133.21602787456439</v>
      </c>
      <c r="L507" s="14">
        <f t="shared" si="7"/>
        <v>-0.32694419436927702</v>
      </c>
      <c r="M507" s="15">
        <f>IF(L507&gt;Benchmark!$B$2,1,IF(L507&lt;-Benchmark!$B$2,5,3))</f>
        <v>5</v>
      </c>
      <c r="N507" s="3" t="s">
        <v>31</v>
      </c>
    </row>
    <row r="508" spans="1:14" x14ac:dyDescent="0.35">
      <c r="A508" s="11" t="s">
        <v>7</v>
      </c>
      <c r="B508" s="11" t="s">
        <v>735</v>
      </c>
      <c r="C508" s="11">
        <v>3</v>
      </c>
      <c r="D508" s="11">
        <v>2</v>
      </c>
      <c r="E508" s="11" t="s">
        <v>692</v>
      </c>
      <c r="F508" s="11" t="s">
        <v>28</v>
      </c>
      <c r="G508" s="12">
        <v>13.53</v>
      </c>
      <c r="H508" s="13">
        <v>73.442719881744267</v>
      </c>
      <c r="I508" s="11" t="s">
        <v>693</v>
      </c>
      <c r="J508" s="11" t="s">
        <v>30</v>
      </c>
      <c r="K508" s="7">
        <f>INDEX(Benchmark!$H$5:$H$807,MATCH(I508,Benchmark!$A$5:$A$807,0))</f>
        <v>113.26323584447439</v>
      </c>
      <c r="L508" s="14">
        <f t="shared" si="7"/>
        <v>-0.35157494544310064</v>
      </c>
      <c r="M508" s="15">
        <f>IF(L508&gt;Benchmark!$B$2,1,IF(L508&lt;-Benchmark!$B$2,5,3))</f>
        <v>5</v>
      </c>
      <c r="N508" s="3" t="s">
        <v>31</v>
      </c>
    </row>
    <row r="509" spans="1:14" x14ac:dyDescent="0.35">
      <c r="A509" s="11" t="s">
        <v>7</v>
      </c>
      <c r="B509" s="11" t="s">
        <v>736</v>
      </c>
      <c r="C509" s="11">
        <v>3</v>
      </c>
      <c r="D509" s="11">
        <v>4</v>
      </c>
      <c r="E509" s="11" t="s">
        <v>692</v>
      </c>
      <c r="F509" s="11" t="s">
        <v>35</v>
      </c>
      <c r="G509" s="12">
        <v>8.44</v>
      </c>
      <c r="H509" s="13">
        <v>88.735781990521332</v>
      </c>
      <c r="I509" s="11" t="s">
        <v>737</v>
      </c>
      <c r="J509" s="11" t="s">
        <v>30</v>
      </c>
      <c r="K509" s="7">
        <f>INDEX(Benchmark!$H$5:$H$807,MATCH(I509,Benchmark!$A$5:$A$807,0))</f>
        <v>127.7702083929547</v>
      </c>
      <c r="L509" s="14">
        <f t="shared" si="7"/>
        <v>-0.30550491302623362</v>
      </c>
      <c r="M509" s="15">
        <f>IF(L509&gt;Benchmark!$B$2,1,IF(L509&lt;-Benchmark!$B$2,5,3))</f>
        <v>5</v>
      </c>
      <c r="N509" s="3" t="s">
        <v>31</v>
      </c>
    </row>
    <row r="510" spans="1:14" x14ac:dyDescent="0.35">
      <c r="A510" s="11" t="s">
        <v>7</v>
      </c>
      <c r="B510" s="11" t="s">
        <v>738</v>
      </c>
      <c r="C510" s="11">
        <v>3</v>
      </c>
      <c r="D510" s="11">
        <v>3</v>
      </c>
      <c r="E510" s="11" t="s">
        <v>692</v>
      </c>
      <c r="F510" s="11" t="s">
        <v>28</v>
      </c>
      <c r="G510" s="12">
        <v>11.37</v>
      </c>
      <c r="H510" s="13">
        <v>97.293755496921733</v>
      </c>
      <c r="I510" s="11" t="s">
        <v>693</v>
      </c>
      <c r="J510" s="11" t="s">
        <v>30</v>
      </c>
      <c r="K510" s="7">
        <f>INDEX(Benchmark!$H$5:$H$807,MATCH(I510,Benchmark!$A$5:$A$807,0))</f>
        <v>113.26323584447439</v>
      </c>
      <c r="L510" s="14">
        <f t="shared" si="7"/>
        <v>-0.14099438558757849</v>
      </c>
      <c r="M510" s="15">
        <f>IF(L510&gt;Benchmark!$B$2,1,IF(L510&lt;-Benchmark!$B$2,5,3))</f>
        <v>5</v>
      </c>
      <c r="N510" s="3" t="s">
        <v>31</v>
      </c>
    </row>
    <row r="511" spans="1:14" x14ac:dyDescent="0.35">
      <c r="A511" s="11" t="s">
        <v>7</v>
      </c>
      <c r="B511" s="11" t="s">
        <v>739</v>
      </c>
      <c r="C511" s="11">
        <v>3</v>
      </c>
      <c r="D511" s="11">
        <v>3</v>
      </c>
      <c r="E511" s="11" t="s">
        <v>104</v>
      </c>
      <c r="F511" s="11" t="s">
        <v>35</v>
      </c>
      <c r="G511" s="12">
        <v>16.34</v>
      </c>
      <c r="H511" s="13">
        <v>97.43880048959609</v>
      </c>
      <c r="I511" s="11" t="s">
        <v>724</v>
      </c>
      <c r="J511" s="11" t="s">
        <v>30</v>
      </c>
      <c r="K511" s="7">
        <f>INDEX(Benchmark!$H$5:$H$807,MATCH(I511,Benchmark!$A$5:$A$807,0))</f>
        <v>121.5558031293326</v>
      </c>
      <c r="L511" s="14">
        <f t="shared" si="7"/>
        <v>-0.19840272548795201</v>
      </c>
      <c r="M511" s="15">
        <f>IF(L511&gt;Benchmark!$B$2,1,IF(L511&lt;-Benchmark!$B$2,5,3))</f>
        <v>5</v>
      </c>
      <c r="N511" s="3" t="s">
        <v>31</v>
      </c>
    </row>
    <row r="512" spans="1:14" x14ac:dyDescent="0.35">
      <c r="A512" s="11" t="s">
        <v>7</v>
      </c>
      <c r="B512" s="11" t="s">
        <v>740</v>
      </c>
      <c r="C512" s="11">
        <v>3</v>
      </c>
      <c r="D512" s="11">
        <v>4</v>
      </c>
      <c r="E512" s="11" t="s">
        <v>692</v>
      </c>
      <c r="F512" s="11" t="s">
        <v>28</v>
      </c>
      <c r="G512" s="12">
        <v>8.06</v>
      </c>
      <c r="H512" s="13">
        <v>114.2828784119107</v>
      </c>
      <c r="I512" s="11" t="s">
        <v>693</v>
      </c>
      <c r="J512" s="11" t="s">
        <v>30</v>
      </c>
      <c r="K512" s="7">
        <f>INDEX(Benchmark!$H$5:$H$807,MATCH(I512,Benchmark!$A$5:$A$807,0))</f>
        <v>113.26323584447439</v>
      </c>
      <c r="L512" s="14">
        <f t="shared" si="7"/>
        <v>9.0024142417792774E-3</v>
      </c>
      <c r="M512" s="17">
        <f>IF(L512&gt;Benchmark!$B$2,1,IF(L512&lt;-Benchmark!$B$2,5,3))</f>
        <v>3</v>
      </c>
      <c r="N512" s="3" t="s">
        <v>31</v>
      </c>
    </row>
    <row r="513" spans="1:14" x14ac:dyDescent="0.35">
      <c r="A513" s="11" t="s">
        <v>7</v>
      </c>
      <c r="B513" s="11" t="s">
        <v>741</v>
      </c>
      <c r="C513" s="11">
        <v>3</v>
      </c>
      <c r="D513" s="11">
        <v>5</v>
      </c>
      <c r="E513" s="11" t="s">
        <v>692</v>
      </c>
      <c r="F513" s="11" t="s">
        <v>35</v>
      </c>
      <c r="G513" s="12">
        <v>7.3</v>
      </c>
      <c r="H513" s="13">
        <v>110.5986301369863</v>
      </c>
      <c r="I513" s="11" t="s">
        <v>737</v>
      </c>
      <c r="J513" s="11" t="s">
        <v>30</v>
      </c>
      <c r="K513" s="7">
        <f>INDEX(Benchmark!$H$5:$H$807,MATCH(I513,Benchmark!$A$5:$A$807,0))</f>
        <v>127.7702083929547</v>
      </c>
      <c r="L513" s="14">
        <f t="shared" si="7"/>
        <v>-0.13439422594629846</v>
      </c>
      <c r="M513" s="15">
        <f>IF(L513&gt;Benchmark!$B$2,1,IF(L513&lt;-Benchmark!$B$2,5,3))</f>
        <v>5</v>
      </c>
      <c r="N513" s="3" t="s">
        <v>31</v>
      </c>
    </row>
    <row r="514" spans="1:14" x14ac:dyDescent="0.35">
      <c r="A514" s="11" t="s">
        <v>7</v>
      </c>
      <c r="B514" s="11" t="s">
        <v>742</v>
      </c>
      <c r="C514" s="11">
        <v>3</v>
      </c>
      <c r="D514" s="11">
        <v>4</v>
      </c>
      <c r="E514" s="11" t="s">
        <v>692</v>
      </c>
      <c r="F514" s="11" t="s">
        <v>35</v>
      </c>
      <c r="G514" s="12">
        <v>5.32</v>
      </c>
      <c r="H514" s="13">
        <v>120.6578947368421</v>
      </c>
      <c r="I514" s="11" t="s">
        <v>737</v>
      </c>
      <c r="J514" s="11" t="s">
        <v>30</v>
      </c>
      <c r="K514" s="7">
        <f>INDEX(Benchmark!$H$5:$H$807,MATCH(I514,Benchmark!$A$5:$A$807,0))</f>
        <v>127.7702083929547</v>
      </c>
      <c r="L514" s="14">
        <f t="shared" si="7"/>
        <v>-5.5664882648064795E-2</v>
      </c>
      <c r="M514" s="15">
        <f>IF(L514&gt;Benchmark!$B$2,1,IF(L514&lt;-Benchmark!$B$2,5,3))</f>
        <v>5</v>
      </c>
      <c r="N514" s="3" t="s">
        <v>31</v>
      </c>
    </row>
    <row r="515" spans="1:14" x14ac:dyDescent="0.35">
      <c r="A515" s="11" t="s">
        <v>7</v>
      </c>
      <c r="B515" s="11" t="s">
        <v>743</v>
      </c>
      <c r="C515" s="11">
        <v>4</v>
      </c>
      <c r="D515" s="11">
        <v>2</v>
      </c>
      <c r="E515" s="11" t="s">
        <v>27</v>
      </c>
      <c r="F515" s="11" t="s">
        <v>667</v>
      </c>
      <c r="G515" s="12">
        <v>5.56</v>
      </c>
      <c r="H515" s="13">
        <v>139.73741007194249</v>
      </c>
      <c r="I515" s="11" t="s">
        <v>744</v>
      </c>
      <c r="J515" s="11" t="s">
        <v>30</v>
      </c>
      <c r="K515" s="7">
        <f>INDEX(Benchmark!$H$5:$H$807,MATCH(I515,Benchmark!$A$5:$A$807,0))</f>
        <v>144.8510362694301</v>
      </c>
      <c r="L515" s="14">
        <f t="shared" si="7"/>
        <v>-3.5302655260097793E-2</v>
      </c>
      <c r="M515" s="17">
        <f>IF(L515&gt;Benchmark!$B$2,1,IF(L515&lt;-Benchmark!$B$2,5,3))</f>
        <v>3</v>
      </c>
      <c r="N515" s="3" t="s">
        <v>31</v>
      </c>
    </row>
    <row r="516" spans="1:14" x14ac:dyDescent="0.35">
      <c r="A516" s="11" t="s">
        <v>7</v>
      </c>
      <c r="B516" s="11" t="s">
        <v>745</v>
      </c>
      <c r="C516" s="11">
        <v>4</v>
      </c>
      <c r="D516" s="11">
        <v>2</v>
      </c>
      <c r="E516" s="11" t="s">
        <v>27</v>
      </c>
      <c r="F516" s="11" t="s">
        <v>35</v>
      </c>
      <c r="G516" s="12">
        <v>18.809999999999999</v>
      </c>
      <c r="H516" s="13">
        <v>136.6092503987241</v>
      </c>
      <c r="I516" s="11" t="s">
        <v>682</v>
      </c>
      <c r="J516" s="11" t="s">
        <v>30</v>
      </c>
      <c r="K516" s="7">
        <f>INDEX(Benchmark!$H$5:$H$807,MATCH(I516,Benchmark!$A$5:$A$807,0))</f>
        <v>145.44695259593681</v>
      </c>
      <c r="L516" s="14">
        <f t="shared" si="7"/>
        <v>-6.0762374456648449E-2</v>
      </c>
      <c r="M516" s="15">
        <f>IF(L516&gt;Benchmark!$B$2,1,IF(L516&lt;-Benchmark!$B$2,5,3))</f>
        <v>5</v>
      </c>
      <c r="N516" s="3" t="s">
        <v>31</v>
      </c>
    </row>
    <row r="517" spans="1:14" x14ac:dyDescent="0.35">
      <c r="A517" s="11" t="s">
        <v>7</v>
      </c>
      <c r="B517" s="11" t="s">
        <v>746</v>
      </c>
      <c r="C517" s="11">
        <v>4</v>
      </c>
      <c r="D517" s="11">
        <v>4</v>
      </c>
      <c r="E517" s="11" t="s">
        <v>27</v>
      </c>
      <c r="F517" s="11" t="s">
        <v>35</v>
      </c>
      <c r="G517" s="12">
        <v>1.84</v>
      </c>
      <c r="H517" s="13">
        <v>140.53260869565219</v>
      </c>
      <c r="I517" s="11" t="s">
        <v>682</v>
      </c>
      <c r="J517" s="11" t="s">
        <v>30</v>
      </c>
      <c r="K517" s="7">
        <f>INDEX(Benchmark!$H$5:$H$807,MATCH(I517,Benchmark!$A$5:$A$807,0))</f>
        <v>145.44695259593681</v>
      </c>
      <c r="L517" s="14">
        <f t="shared" ref="L517:L580" si="8">H517/K517-1</f>
        <v>-3.3787878072200406E-2</v>
      </c>
      <c r="M517" s="17">
        <f>IF(L517&gt;Benchmark!$B$2,1,IF(L517&lt;-Benchmark!$B$2,5,3))</f>
        <v>3</v>
      </c>
      <c r="N517" s="3" t="s">
        <v>31</v>
      </c>
    </row>
    <row r="518" spans="1:14" x14ac:dyDescent="0.35">
      <c r="A518" s="11" t="s">
        <v>7</v>
      </c>
      <c r="B518" s="11" t="s">
        <v>747</v>
      </c>
      <c r="C518" s="11">
        <v>4</v>
      </c>
      <c r="D518" s="11">
        <v>3</v>
      </c>
      <c r="E518" s="11" t="s">
        <v>27</v>
      </c>
      <c r="F518" s="11" t="s">
        <v>131</v>
      </c>
      <c r="G518" s="12">
        <v>18.87</v>
      </c>
      <c r="H518" s="13">
        <v>90.163222045574983</v>
      </c>
      <c r="I518" s="11" t="s">
        <v>653</v>
      </c>
      <c r="J518" s="11" t="s">
        <v>30</v>
      </c>
      <c r="K518" s="7">
        <f>INDEX(Benchmark!$H$5:$H$807,MATCH(I518,Benchmark!$A$5:$A$807,0))</f>
        <v>144.05763688760811</v>
      </c>
      <c r="L518" s="14">
        <f t="shared" si="8"/>
        <v>-0.37411702709021144</v>
      </c>
      <c r="M518" s="15">
        <f>IF(L518&gt;Benchmark!$B$2,1,IF(L518&lt;-Benchmark!$B$2,5,3))</f>
        <v>5</v>
      </c>
      <c r="N518" s="3" t="s">
        <v>31</v>
      </c>
    </row>
    <row r="519" spans="1:14" x14ac:dyDescent="0.35">
      <c r="A519" s="11" t="s">
        <v>7</v>
      </c>
      <c r="B519" s="11" t="s">
        <v>748</v>
      </c>
      <c r="C519" s="11">
        <v>4</v>
      </c>
      <c r="D519" s="11">
        <v>2</v>
      </c>
      <c r="E519" s="11" t="s">
        <v>27</v>
      </c>
      <c r="F519" s="11" t="s">
        <v>749</v>
      </c>
      <c r="G519" s="12">
        <v>19.34</v>
      </c>
      <c r="H519" s="13">
        <v>85.443123061013452</v>
      </c>
      <c r="I519" s="11" t="s">
        <v>734</v>
      </c>
      <c r="J519" s="11" t="s">
        <v>37</v>
      </c>
      <c r="K519" s="7">
        <f>INDEX(Benchmark!$H$5:$H$807,MATCH(I519,Benchmark!$A$5:$A$807,0))</f>
        <v>133.21602787456439</v>
      </c>
      <c r="L519" s="14">
        <f t="shared" si="8"/>
        <v>-0.35861228994557393</v>
      </c>
      <c r="M519" s="15">
        <f>IF(L519&gt;Benchmark!$B$2,1,IF(L519&lt;-Benchmark!$B$2,5,3))</f>
        <v>5</v>
      </c>
      <c r="N519" s="3" t="s">
        <v>31</v>
      </c>
    </row>
    <row r="520" spans="1:14" x14ac:dyDescent="0.35">
      <c r="A520" s="11" t="s">
        <v>7</v>
      </c>
      <c r="B520" s="11" t="s">
        <v>750</v>
      </c>
      <c r="C520" s="11">
        <v>4</v>
      </c>
      <c r="D520" s="11">
        <v>2</v>
      </c>
      <c r="E520" s="11" t="s">
        <v>104</v>
      </c>
      <c r="F520" s="11" t="s">
        <v>633</v>
      </c>
      <c r="G520" s="12">
        <v>8.1499999999999986</v>
      </c>
      <c r="H520" s="13">
        <v>84.774233128834368</v>
      </c>
      <c r="I520" s="11" t="s">
        <v>700</v>
      </c>
      <c r="J520" s="11" t="s">
        <v>30</v>
      </c>
      <c r="K520" s="7">
        <f>INDEX(Benchmark!$H$5:$H$807,MATCH(I520,Benchmark!$A$5:$A$807,0))</f>
        <v>114.9706913557601</v>
      </c>
      <c r="L520" s="14">
        <f t="shared" si="8"/>
        <v>-0.26264483470389144</v>
      </c>
      <c r="M520" s="15">
        <f>IF(L520&gt;Benchmark!$B$2,1,IF(L520&lt;-Benchmark!$B$2,5,3))</f>
        <v>5</v>
      </c>
      <c r="N520" s="3" t="s">
        <v>31</v>
      </c>
    </row>
    <row r="521" spans="1:14" x14ac:dyDescent="0.35">
      <c r="A521" s="11" t="s">
        <v>7</v>
      </c>
      <c r="B521" s="11" t="s">
        <v>751</v>
      </c>
      <c r="C521" s="11">
        <v>4</v>
      </c>
      <c r="D521" s="11">
        <v>3</v>
      </c>
      <c r="E521" s="11" t="s">
        <v>104</v>
      </c>
      <c r="F521" s="11" t="s">
        <v>131</v>
      </c>
      <c r="G521" s="12">
        <v>2.4700000000000002</v>
      </c>
      <c r="H521" s="13">
        <v>120.1133603238866</v>
      </c>
      <c r="I521" s="11" t="s">
        <v>649</v>
      </c>
      <c r="J521" s="11" t="s">
        <v>30</v>
      </c>
      <c r="K521" s="7">
        <f>INDEX(Benchmark!$H$5:$H$807,MATCH(I521,Benchmark!$A$5:$A$807,0))</f>
        <v>119.7159232038653</v>
      </c>
      <c r="L521" s="14">
        <f t="shared" si="8"/>
        <v>3.3198350677585697E-3</v>
      </c>
      <c r="M521" s="17">
        <f>IF(L521&gt;Benchmark!$B$2,1,IF(L521&lt;-Benchmark!$B$2,5,3))</f>
        <v>3</v>
      </c>
      <c r="N521" s="3" t="s">
        <v>31</v>
      </c>
    </row>
    <row r="522" spans="1:14" x14ac:dyDescent="0.35">
      <c r="A522" s="11" t="s">
        <v>7</v>
      </c>
      <c r="B522" s="11" t="s">
        <v>752</v>
      </c>
      <c r="C522" s="11">
        <v>4</v>
      </c>
      <c r="D522" s="11">
        <v>2</v>
      </c>
      <c r="E522" s="11" t="s">
        <v>104</v>
      </c>
      <c r="F522" s="11" t="s">
        <v>633</v>
      </c>
      <c r="G522" s="12">
        <v>4.7</v>
      </c>
      <c r="H522" s="13">
        <v>73.259574468085106</v>
      </c>
      <c r="I522" s="11" t="s">
        <v>700</v>
      </c>
      <c r="J522" s="11" t="s">
        <v>30</v>
      </c>
      <c r="K522" s="7">
        <f>INDEX(Benchmark!$H$5:$H$807,MATCH(I522,Benchmark!$A$5:$A$807,0))</f>
        <v>114.9706913557601</v>
      </c>
      <c r="L522" s="14">
        <f t="shared" si="8"/>
        <v>-0.36279782608774613</v>
      </c>
      <c r="M522" s="15">
        <f>IF(L522&gt;Benchmark!$B$2,1,IF(L522&lt;-Benchmark!$B$2,5,3))</f>
        <v>5</v>
      </c>
      <c r="N522" s="3" t="s">
        <v>31</v>
      </c>
    </row>
    <row r="523" spans="1:14" x14ac:dyDescent="0.35">
      <c r="A523" s="11" t="s">
        <v>7</v>
      </c>
      <c r="B523" s="11" t="s">
        <v>753</v>
      </c>
      <c r="C523" s="11">
        <v>4</v>
      </c>
      <c r="D523" s="11">
        <v>3</v>
      </c>
      <c r="E523" s="11" t="s">
        <v>78</v>
      </c>
      <c r="F523" s="11" t="s">
        <v>131</v>
      </c>
      <c r="G523" s="12">
        <v>3.43</v>
      </c>
      <c r="H523" s="13">
        <v>119.9008746355685</v>
      </c>
      <c r="I523" s="11" t="s">
        <v>716</v>
      </c>
      <c r="J523" s="11" t="s">
        <v>614</v>
      </c>
      <c r="K523" s="7">
        <f>INDEX(Benchmark!$H$5:$H$807,MATCH(I523,Benchmark!$A$5:$A$807,0))</f>
        <v>123.8967780429594</v>
      </c>
      <c r="L523" s="14">
        <f t="shared" si="8"/>
        <v>-3.2251875073017411E-2</v>
      </c>
      <c r="M523" s="17">
        <f>IF(L523&gt;Benchmark!$B$2,1,IF(L523&lt;-Benchmark!$B$2,5,3))</f>
        <v>3</v>
      </c>
      <c r="N523" s="3" t="s">
        <v>31</v>
      </c>
    </row>
    <row r="524" spans="1:14" x14ac:dyDescent="0.35">
      <c r="A524" s="11" t="s">
        <v>7</v>
      </c>
      <c r="B524" s="11" t="s">
        <v>754</v>
      </c>
      <c r="C524" s="11">
        <v>4</v>
      </c>
      <c r="D524" s="11">
        <v>7</v>
      </c>
      <c r="E524" s="11" t="s">
        <v>198</v>
      </c>
      <c r="F524" s="11" t="s">
        <v>364</v>
      </c>
      <c r="G524" s="12">
        <v>9.25</v>
      </c>
      <c r="H524" s="13">
        <v>77.781621621621625</v>
      </c>
      <c r="I524" s="11" t="s">
        <v>709</v>
      </c>
      <c r="J524" s="11" t="s">
        <v>30</v>
      </c>
      <c r="K524" s="7">
        <f>INDEX(Benchmark!$H$5:$H$807,MATCH(I524,Benchmark!$A$5:$A$807,0))</f>
        <v>125.33667409057161</v>
      </c>
      <c r="L524" s="14">
        <f t="shared" si="8"/>
        <v>-0.37941849673293104</v>
      </c>
      <c r="M524" s="15">
        <f>IF(L524&gt;Benchmark!$B$2,1,IF(L524&lt;-Benchmark!$B$2,5,3))</f>
        <v>5</v>
      </c>
      <c r="N524" s="3" t="s">
        <v>31</v>
      </c>
    </row>
    <row r="525" spans="1:14" x14ac:dyDescent="0.35">
      <c r="A525" s="11" t="s">
        <v>7</v>
      </c>
      <c r="B525" s="11" t="s">
        <v>755</v>
      </c>
      <c r="C525" s="11">
        <v>4</v>
      </c>
      <c r="D525" s="11">
        <v>1</v>
      </c>
      <c r="E525" s="11" t="s">
        <v>78</v>
      </c>
      <c r="F525" s="11" t="s">
        <v>169</v>
      </c>
      <c r="G525" s="12">
        <v>10.87</v>
      </c>
      <c r="H525" s="13">
        <v>126.3403863845446</v>
      </c>
      <c r="I525" s="11" t="s">
        <v>660</v>
      </c>
      <c r="J525" s="11" t="s">
        <v>614</v>
      </c>
      <c r="K525" s="7">
        <f>INDEX(Benchmark!$H$5:$H$807,MATCH(I525,Benchmark!$A$5:$A$807,0))</f>
        <v>115.9810650887574</v>
      </c>
      <c r="L525" s="14">
        <f t="shared" si="8"/>
        <v>8.9319073659648307E-2</v>
      </c>
      <c r="M525" s="16">
        <f>IF(L525&gt;Benchmark!$B$2,1,IF(L525&lt;-Benchmark!$B$2,5,3))</f>
        <v>1</v>
      </c>
      <c r="N525" s="3" t="s">
        <v>31</v>
      </c>
    </row>
    <row r="526" spans="1:14" x14ac:dyDescent="0.35">
      <c r="A526" s="11" t="s">
        <v>7</v>
      </c>
      <c r="B526" s="11" t="s">
        <v>756</v>
      </c>
      <c r="C526" s="11">
        <v>4</v>
      </c>
      <c r="D526" s="11">
        <v>1</v>
      </c>
      <c r="E526" s="11" t="s">
        <v>78</v>
      </c>
      <c r="F526" s="11" t="s">
        <v>364</v>
      </c>
      <c r="G526" s="12">
        <v>2.72</v>
      </c>
      <c r="H526" s="13">
        <v>114.58455882352941</v>
      </c>
      <c r="I526" s="11" t="s">
        <v>714</v>
      </c>
      <c r="J526" s="11" t="s">
        <v>614</v>
      </c>
      <c r="K526" s="7">
        <f>INDEX(Benchmark!$H$5:$H$807,MATCH(I526,Benchmark!$A$5:$A$807,0))</f>
        <v>123.3843295638126</v>
      </c>
      <c r="L526" s="14">
        <f t="shared" si="8"/>
        <v>-7.1320002883608291E-2</v>
      </c>
      <c r="M526" s="15">
        <f>IF(L526&gt;Benchmark!$B$2,1,IF(L526&lt;-Benchmark!$B$2,5,3))</f>
        <v>5</v>
      </c>
      <c r="N526" s="3" t="s">
        <v>31</v>
      </c>
    </row>
    <row r="527" spans="1:14" x14ac:dyDescent="0.35">
      <c r="A527" s="11" t="s">
        <v>7</v>
      </c>
      <c r="B527" s="11" t="s">
        <v>757</v>
      </c>
      <c r="C527" s="11">
        <v>4</v>
      </c>
      <c r="D527" s="11">
        <v>1</v>
      </c>
      <c r="E527" s="11" t="s">
        <v>78</v>
      </c>
      <c r="F527" s="11" t="s">
        <v>633</v>
      </c>
      <c r="G527" s="12">
        <v>5.01</v>
      </c>
      <c r="H527" s="13">
        <v>145.88622754491021</v>
      </c>
      <c r="I527" s="11" t="s">
        <v>702</v>
      </c>
      <c r="J527" s="11" t="s">
        <v>614</v>
      </c>
      <c r="K527" s="7">
        <f>INDEX(Benchmark!$H$5:$H$807,MATCH(I527,Benchmark!$A$5:$A$807,0))</f>
        <v>120.3572922555116</v>
      </c>
      <c r="L527" s="14">
        <f t="shared" si="8"/>
        <v>0.21210958481187969</v>
      </c>
      <c r="M527" s="16">
        <f>IF(L527&gt;Benchmark!$B$2,1,IF(L527&lt;-Benchmark!$B$2,5,3))</f>
        <v>1</v>
      </c>
      <c r="N527" s="3" t="s">
        <v>31</v>
      </c>
    </row>
    <row r="528" spans="1:14" x14ac:dyDescent="0.35">
      <c r="A528" s="11" t="s">
        <v>7</v>
      </c>
      <c r="B528" s="11" t="s">
        <v>758</v>
      </c>
      <c r="C528" s="11">
        <v>4</v>
      </c>
      <c r="D528" s="11">
        <v>9</v>
      </c>
      <c r="E528" s="11" t="s">
        <v>237</v>
      </c>
      <c r="F528" s="11" t="s">
        <v>641</v>
      </c>
      <c r="G528" s="12">
        <v>5.59</v>
      </c>
      <c r="H528" s="13">
        <v>110.9874776386404</v>
      </c>
      <c r="I528" s="11" t="s">
        <v>759</v>
      </c>
      <c r="J528" s="11" t="s">
        <v>30</v>
      </c>
      <c r="K528" s="7">
        <f>INDEX(Benchmark!$H$5:$H$807,MATCH(I528,Benchmark!$A$5:$A$807,0))</f>
        <v>132.16010088272381</v>
      </c>
      <c r="L528" s="14">
        <f t="shared" si="8"/>
        <v>-0.16020435140914102</v>
      </c>
      <c r="M528" s="15">
        <f>IF(L528&gt;Benchmark!$B$2,1,IF(L528&lt;-Benchmark!$B$2,5,3))</f>
        <v>5</v>
      </c>
      <c r="N528" s="3" t="s">
        <v>31</v>
      </c>
    </row>
    <row r="529" spans="1:14" x14ac:dyDescent="0.35">
      <c r="A529" s="11" t="s">
        <v>7</v>
      </c>
      <c r="B529" s="11" t="s">
        <v>760</v>
      </c>
      <c r="C529" s="11">
        <v>4</v>
      </c>
      <c r="D529" s="11">
        <v>3</v>
      </c>
      <c r="E529" s="11" t="s">
        <v>27</v>
      </c>
      <c r="F529" s="11" t="s">
        <v>35</v>
      </c>
      <c r="G529" s="12">
        <v>9.77</v>
      </c>
      <c r="H529" s="13">
        <v>100.2773797338792</v>
      </c>
      <c r="I529" s="11" t="s">
        <v>682</v>
      </c>
      <c r="J529" s="11" t="s">
        <v>30</v>
      </c>
      <c r="K529" s="7">
        <f>INDEX(Benchmark!$H$5:$H$807,MATCH(I529,Benchmark!$A$5:$A$807,0))</f>
        <v>145.44695259593681</v>
      </c>
      <c r="L529" s="14">
        <f t="shared" si="8"/>
        <v>-0.31055702478375236</v>
      </c>
      <c r="M529" s="15">
        <f>IF(L529&gt;Benchmark!$B$2,1,IF(L529&lt;-Benchmark!$B$2,5,3))</f>
        <v>5</v>
      </c>
      <c r="N529" s="3" t="s">
        <v>31</v>
      </c>
    </row>
    <row r="530" spans="1:14" x14ac:dyDescent="0.35">
      <c r="A530" s="11" t="s">
        <v>7</v>
      </c>
      <c r="B530" s="11" t="s">
        <v>761</v>
      </c>
      <c r="C530" s="11">
        <v>4</v>
      </c>
      <c r="D530" s="11">
        <v>4</v>
      </c>
      <c r="E530" s="11" t="s">
        <v>88</v>
      </c>
      <c r="F530" s="11" t="s">
        <v>122</v>
      </c>
      <c r="G530" s="12">
        <v>15.99</v>
      </c>
      <c r="H530" s="13">
        <v>109.95747342088799</v>
      </c>
      <c r="I530" s="11" t="s">
        <v>762</v>
      </c>
      <c r="J530" s="11" t="s">
        <v>37</v>
      </c>
      <c r="K530" s="7">
        <f>INDEX(Benchmark!$H$5:$H$807,MATCH(I530,Benchmark!$A$5:$A$807,0))</f>
        <v>119.4511111111111</v>
      </c>
      <c r="L530" s="14">
        <f t="shared" si="8"/>
        <v>-7.9477181935899366E-2</v>
      </c>
      <c r="M530" s="15">
        <f>IF(L530&gt;Benchmark!$B$2,1,IF(L530&lt;-Benchmark!$B$2,5,3))</f>
        <v>5</v>
      </c>
      <c r="N530" s="3" t="s">
        <v>31</v>
      </c>
    </row>
    <row r="531" spans="1:14" x14ac:dyDescent="0.35">
      <c r="A531" s="11" t="s">
        <v>7</v>
      </c>
      <c r="B531" s="11" t="s">
        <v>763</v>
      </c>
      <c r="C531" s="11">
        <v>4</v>
      </c>
      <c r="D531" s="11">
        <v>4</v>
      </c>
      <c r="E531" s="11" t="s">
        <v>27</v>
      </c>
      <c r="F531" s="11" t="s">
        <v>122</v>
      </c>
      <c r="G531" s="12">
        <v>16.45</v>
      </c>
      <c r="H531" s="13">
        <v>135.38723404255319</v>
      </c>
      <c r="I531" s="11" t="s">
        <v>764</v>
      </c>
      <c r="J531" s="11" t="s">
        <v>30</v>
      </c>
      <c r="K531" s="7">
        <f>INDEX(Benchmark!$H$5:$H$807,MATCH(I531,Benchmark!$A$5:$A$807,0))</f>
        <v>131.7632703360724</v>
      </c>
      <c r="L531" s="14">
        <f t="shared" si="8"/>
        <v>2.7503595632057287E-2</v>
      </c>
      <c r="M531" s="17">
        <f>IF(L531&gt;Benchmark!$B$2,1,IF(L531&lt;-Benchmark!$B$2,5,3))</f>
        <v>3</v>
      </c>
      <c r="N531" s="3" t="s">
        <v>31</v>
      </c>
    </row>
    <row r="532" spans="1:14" x14ac:dyDescent="0.35">
      <c r="A532" s="11" t="s">
        <v>7</v>
      </c>
      <c r="B532" s="11" t="s">
        <v>765</v>
      </c>
      <c r="C532" s="11">
        <v>5</v>
      </c>
      <c r="D532" s="11">
        <v>5</v>
      </c>
      <c r="E532" s="11" t="s">
        <v>666</v>
      </c>
      <c r="F532" s="11" t="s">
        <v>667</v>
      </c>
      <c r="G532" s="12">
        <v>9.32</v>
      </c>
      <c r="H532" s="13">
        <v>104.6416309012876</v>
      </c>
      <c r="I532" s="11" t="s">
        <v>668</v>
      </c>
      <c r="J532" s="11" t="s">
        <v>30</v>
      </c>
      <c r="K532" s="7">
        <f>INDEX(Benchmark!$H$5:$H$807,MATCH(I532,Benchmark!$A$5:$A$807,0))</f>
        <v>102.7644787644788</v>
      </c>
      <c r="L532" s="14">
        <f t="shared" si="8"/>
        <v>1.8266546567233144E-2</v>
      </c>
      <c r="M532" s="17">
        <f>IF(L532&gt;Benchmark!$B$2,1,IF(L532&lt;-Benchmark!$B$2,5,3))</f>
        <v>3</v>
      </c>
      <c r="N532" s="3" t="s">
        <v>31</v>
      </c>
    </row>
    <row r="533" spans="1:14" x14ac:dyDescent="0.35">
      <c r="A533" s="11" t="s">
        <v>7</v>
      </c>
      <c r="B533" s="11" t="s">
        <v>766</v>
      </c>
      <c r="C533" s="11">
        <v>5</v>
      </c>
      <c r="D533" s="11">
        <v>2</v>
      </c>
      <c r="E533" s="11" t="s">
        <v>78</v>
      </c>
      <c r="F533" s="11" t="s">
        <v>667</v>
      </c>
      <c r="G533" s="12">
        <v>8.07</v>
      </c>
      <c r="H533" s="13">
        <v>108.9752168525403</v>
      </c>
      <c r="I533" s="11" t="s">
        <v>767</v>
      </c>
      <c r="J533" s="11" t="s">
        <v>614</v>
      </c>
      <c r="K533" s="7">
        <f>INDEX(Benchmark!$H$5:$H$807,MATCH(I533,Benchmark!$A$5:$A$807,0))</f>
        <v>121.2098238120662</v>
      </c>
      <c r="L533" s="14">
        <f t="shared" si="8"/>
        <v>-0.10093742053858157</v>
      </c>
      <c r="M533" s="15">
        <f>IF(L533&gt;Benchmark!$B$2,1,IF(L533&lt;-Benchmark!$B$2,5,3))</f>
        <v>5</v>
      </c>
      <c r="N533" s="3" t="s">
        <v>31</v>
      </c>
    </row>
    <row r="534" spans="1:14" x14ac:dyDescent="0.35">
      <c r="A534" s="11" t="s">
        <v>7</v>
      </c>
      <c r="B534" s="11" t="s">
        <v>768</v>
      </c>
      <c r="C534" s="11">
        <v>5</v>
      </c>
      <c r="D534" s="11">
        <v>1</v>
      </c>
      <c r="E534" s="11" t="s">
        <v>78</v>
      </c>
      <c r="F534" s="11" t="s">
        <v>131</v>
      </c>
      <c r="G534" s="12">
        <v>4.63</v>
      </c>
      <c r="H534" s="13">
        <v>142.2570194384449</v>
      </c>
      <c r="I534" s="11" t="s">
        <v>716</v>
      </c>
      <c r="J534" s="11" t="s">
        <v>614</v>
      </c>
      <c r="K534" s="7">
        <f>INDEX(Benchmark!$H$5:$H$807,MATCH(I534,Benchmark!$A$5:$A$807,0))</f>
        <v>123.8967780429594</v>
      </c>
      <c r="L534" s="14">
        <f t="shared" si="8"/>
        <v>0.14818982128106151</v>
      </c>
      <c r="M534" s="16">
        <f>IF(L534&gt;Benchmark!$B$2,1,IF(L534&lt;-Benchmark!$B$2,5,3))</f>
        <v>1</v>
      </c>
      <c r="N534" s="3" t="s">
        <v>31</v>
      </c>
    </row>
    <row r="535" spans="1:14" x14ac:dyDescent="0.35">
      <c r="A535" s="11" t="s">
        <v>7</v>
      </c>
      <c r="B535" s="11" t="s">
        <v>769</v>
      </c>
      <c r="C535" s="11">
        <v>5</v>
      </c>
      <c r="D535" s="11">
        <v>2</v>
      </c>
      <c r="E535" s="11" t="s">
        <v>78</v>
      </c>
      <c r="F535" s="11" t="s">
        <v>633</v>
      </c>
      <c r="G535" s="12">
        <v>1.61</v>
      </c>
      <c r="H535" s="13">
        <v>117.9130434782609</v>
      </c>
      <c r="I535" s="11" t="s">
        <v>702</v>
      </c>
      <c r="J535" s="11" t="s">
        <v>614</v>
      </c>
      <c r="K535" s="7">
        <f>INDEX(Benchmark!$H$5:$H$807,MATCH(I535,Benchmark!$A$5:$A$807,0))</f>
        <v>120.3572922555116</v>
      </c>
      <c r="L535" s="14">
        <f t="shared" si="8"/>
        <v>-2.0308273237500951E-2</v>
      </c>
      <c r="M535" s="17">
        <f>IF(L535&gt;Benchmark!$B$2,1,IF(L535&lt;-Benchmark!$B$2,5,3))</f>
        <v>3</v>
      </c>
      <c r="N535" s="3" t="s">
        <v>31</v>
      </c>
    </row>
    <row r="536" spans="1:14" x14ac:dyDescent="0.35">
      <c r="A536" s="11" t="s">
        <v>7</v>
      </c>
      <c r="B536" s="11" t="s">
        <v>770</v>
      </c>
      <c r="C536" s="11">
        <v>5</v>
      </c>
      <c r="D536" s="11">
        <v>2</v>
      </c>
      <c r="E536" s="11" t="s">
        <v>104</v>
      </c>
      <c r="F536" s="11" t="s">
        <v>633</v>
      </c>
      <c r="G536" s="12">
        <v>3.18</v>
      </c>
      <c r="H536" s="13">
        <v>134.53459119496861</v>
      </c>
      <c r="I536" s="11" t="s">
        <v>700</v>
      </c>
      <c r="J536" s="11" t="s">
        <v>30</v>
      </c>
      <c r="K536" s="7">
        <f>INDEX(Benchmark!$H$5:$H$807,MATCH(I536,Benchmark!$A$5:$A$807,0))</f>
        <v>114.9706913557601</v>
      </c>
      <c r="L536" s="14">
        <f t="shared" si="8"/>
        <v>0.17016423584573293</v>
      </c>
      <c r="M536" s="16">
        <f>IF(L536&gt;Benchmark!$B$2,1,IF(L536&lt;-Benchmark!$B$2,5,3))</f>
        <v>1</v>
      </c>
      <c r="N536" s="3" t="s">
        <v>31</v>
      </c>
    </row>
    <row r="537" spans="1:14" x14ac:dyDescent="0.35">
      <c r="A537" s="11" t="s">
        <v>7</v>
      </c>
      <c r="B537" s="11" t="s">
        <v>771</v>
      </c>
      <c r="C537" s="11">
        <v>5</v>
      </c>
      <c r="D537" s="11">
        <v>3</v>
      </c>
      <c r="E537" s="11" t="s">
        <v>104</v>
      </c>
      <c r="F537" s="11" t="s">
        <v>364</v>
      </c>
      <c r="G537" s="12">
        <v>11.87</v>
      </c>
      <c r="H537" s="13">
        <v>125.54675652906489</v>
      </c>
      <c r="I537" s="11" t="s">
        <v>637</v>
      </c>
      <c r="J537" s="11" t="s">
        <v>30</v>
      </c>
      <c r="K537" s="7">
        <f>INDEX(Benchmark!$H$5:$H$807,MATCH(I537,Benchmark!$A$5:$A$807,0))</f>
        <v>114.22005012531331</v>
      </c>
      <c r="L537" s="14">
        <f t="shared" si="8"/>
        <v>9.9165657792347428E-2</v>
      </c>
      <c r="M537" s="16">
        <f>IF(L537&gt;Benchmark!$B$2,1,IF(L537&lt;-Benchmark!$B$2,5,3))</f>
        <v>1</v>
      </c>
      <c r="N537" s="3" t="s">
        <v>31</v>
      </c>
    </row>
    <row r="538" spans="1:14" x14ac:dyDescent="0.35">
      <c r="A538" s="11" t="s">
        <v>7</v>
      </c>
      <c r="B538" s="11" t="s">
        <v>772</v>
      </c>
      <c r="C538" s="11">
        <v>5</v>
      </c>
      <c r="D538" s="11">
        <v>3</v>
      </c>
      <c r="E538" s="11" t="s">
        <v>27</v>
      </c>
      <c r="F538" s="11" t="s">
        <v>364</v>
      </c>
      <c r="G538" s="12">
        <v>4.4400000000000004</v>
      </c>
      <c r="H538" s="13">
        <v>119.0833333333333</v>
      </c>
      <c r="I538" s="11" t="s">
        <v>773</v>
      </c>
      <c r="J538" s="11" t="s">
        <v>30</v>
      </c>
      <c r="K538" s="7">
        <f>INDEX(Benchmark!$H$5:$H$807,MATCH(I538,Benchmark!$A$5:$A$807,0))</f>
        <v>122.69387755102041</v>
      </c>
      <c r="L538" s="14">
        <f t="shared" si="8"/>
        <v>-2.9427256597915563E-2</v>
      </c>
      <c r="M538" s="17">
        <f>IF(L538&gt;Benchmark!$B$2,1,IF(L538&lt;-Benchmark!$B$2,5,3))</f>
        <v>3</v>
      </c>
      <c r="N538" s="3" t="s">
        <v>31</v>
      </c>
    </row>
    <row r="539" spans="1:14" x14ac:dyDescent="0.35">
      <c r="A539" s="11" t="s">
        <v>7</v>
      </c>
      <c r="B539" s="11" t="s">
        <v>774</v>
      </c>
      <c r="C539" s="11">
        <v>5</v>
      </c>
      <c r="D539" s="11">
        <v>3</v>
      </c>
      <c r="E539" s="11" t="s">
        <v>27</v>
      </c>
      <c r="F539" s="11" t="s">
        <v>502</v>
      </c>
      <c r="G539" s="12">
        <v>4.46</v>
      </c>
      <c r="H539" s="13">
        <v>105.5762331838565</v>
      </c>
      <c r="I539" s="11" t="s">
        <v>775</v>
      </c>
      <c r="J539" s="11" t="s">
        <v>30</v>
      </c>
      <c r="K539" s="7">
        <f>INDEX(Benchmark!$H$5:$H$807,MATCH(I539,Benchmark!$A$5:$A$807,0))</f>
        <v>141.3474440894569</v>
      </c>
      <c r="L539" s="14">
        <f t="shared" si="8"/>
        <v>-0.25307292350444821</v>
      </c>
      <c r="M539" s="15">
        <f>IF(L539&gt;Benchmark!$B$2,1,IF(L539&lt;-Benchmark!$B$2,5,3))</f>
        <v>5</v>
      </c>
      <c r="N539" s="3" t="s">
        <v>31</v>
      </c>
    </row>
    <row r="540" spans="1:14" x14ac:dyDescent="0.35">
      <c r="A540" s="11" t="s">
        <v>7</v>
      </c>
      <c r="B540" s="11" t="s">
        <v>776</v>
      </c>
      <c r="C540" s="11">
        <v>5</v>
      </c>
      <c r="D540" s="11">
        <v>2</v>
      </c>
      <c r="E540" s="11" t="s">
        <v>27</v>
      </c>
      <c r="F540" s="11" t="s">
        <v>633</v>
      </c>
      <c r="G540" s="12">
        <v>8.81</v>
      </c>
      <c r="H540" s="13">
        <v>84.362088535754822</v>
      </c>
      <c r="I540" s="11" t="s">
        <v>658</v>
      </c>
      <c r="J540" s="11" t="s">
        <v>30</v>
      </c>
      <c r="K540" s="7">
        <f>INDEX(Benchmark!$H$5:$H$807,MATCH(I540,Benchmark!$A$5:$A$807,0))</f>
        <v>128.387190909645</v>
      </c>
      <c r="L540" s="14">
        <f t="shared" si="8"/>
        <v>-0.34290883741567102</v>
      </c>
      <c r="M540" s="15">
        <f>IF(L540&gt;Benchmark!$B$2,1,IF(L540&lt;-Benchmark!$B$2,5,3))</f>
        <v>5</v>
      </c>
      <c r="N540" s="3" t="s">
        <v>31</v>
      </c>
    </row>
    <row r="541" spans="1:14" x14ac:dyDescent="0.35">
      <c r="A541" s="11" t="s">
        <v>7</v>
      </c>
      <c r="B541" s="11" t="s">
        <v>777</v>
      </c>
      <c r="C541" s="11">
        <v>5</v>
      </c>
      <c r="D541" s="11">
        <v>2</v>
      </c>
      <c r="E541" s="11" t="s">
        <v>27</v>
      </c>
      <c r="F541" s="11" t="s">
        <v>633</v>
      </c>
      <c r="G541" s="12">
        <v>11.25</v>
      </c>
      <c r="H541" s="13">
        <v>97.227555555555554</v>
      </c>
      <c r="I541" s="11" t="s">
        <v>658</v>
      </c>
      <c r="J541" s="11" t="s">
        <v>30</v>
      </c>
      <c r="K541" s="7">
        <f>INDEX(Benchmark!$H$5:$H$807,MATCH(I541,Benchmark!$A$5:$A$807,0))</f>
        <v>128.387190909645</v>
      </c>
      <c r="L541" s="14">
        <f t="shared" si="8"/>
        <v>-0.24270049942925109</v>
      </c>
      <c r="M541" s="15">
        <f>IF(L541&gt;Benchmark!$B$2,1,IF(L541&lt;-Benchmark!$B$2,5,3))</f>
        <v>5</v>
      </c>
      <c r="N541" s="3" t="s">
        <v>31</v>
      </c>
    </row>
    <row r="542" spans="1:14" x14ac:dyDescent="0.35">
      <c r="A542" s="11" t="s">
        <v>7</v>
      </c>
      <c r="B542" s="11" t="s">
        <v>778</v>
      </c>
      <c r="C542" s="11">
        <v>5</v>
      </c>
      <c r="D542" s="11">
        <v>2</v>
      </c>
      <c r="E542" s="11" t="s">
        <v>692</v>
      </c>
      <c r="F542" s="11" t="s">
        <v>364</v>
      </c>
      <c r="G542" s="12">
        <v>19.38</v>
      </c>
      <c r="H542" s="13">
        <v>122.015479876161</v>
      </c>
      <c r="I542" s="11" t="s">
        <v>779</v>
      </c>
      <c r="J542" s="11" t="s">
        <v>30</v>
      </c>
      <c r="K542" s="7">
        <f>INDEX(Benchmark!$H$5:$H$807,MATCH(I542,Benchmark!$A$5:$A$807,0))</f>
        <v>126.65078230574321</v>
      </c>
      <c r="L542" s="14">
        <f t="shared" si="8"/>
        <v>-3.659908249435273E-2</v>
      </c>
      <c r="M542" s="17">
        <f>IF(L542&gt;Benchmark!$B$2,1,IF(L542&lt;-Benchmark!$B$2,5,3))</f>
        <v>3</v>
      </c>
      <c r="N542" s="3" t="s">
        <v>31</v>
      </c>
    </row>
    <row r="543" spans="1:14" x14ac:dyDescent="0.35">
      <c r="A543" s="11" t="s">
        <v>7</v>
      </c>
      <c r="B543" s="11" t="s">
        <v>780</v>
      </c>
      <c r="C543" s="11">
        <v>6</v>
      </c>
      <c r="D543" s="11">
        <v>11</v>
      </c>
      <c r="E543" s="11" t="s">
        <v>198</v>
      </c>
      <c r="F543" s="11" t="s">
        <v>28</v>
      </c>
      <c r="G543" s="12">
        <v>6.59</v>
      </c>
      <c r="H543" s="13">
        <v>104.40971168437029</v>
      </c>
      <c r="I543" s="11" t="s">
        <v>698</v>
      </c>
      <c r="J543" s="11" t="s">
        <v>30</v>
      </c>
      <c r="K543" s="7">
        <f>INDEX(Benchmark!$H$5:$H$807,MATCH(I543,Benchmark!$A$5:$A$807,0))</f>
        <v>121.8624870387313</v>
      </c>
      <c r="L543" s="14">
        <f t="shared" si="8"/>
        <v>-0.1432169634681264</v>
      </c>
      <c r="M543" s="15">
        <f>IF(L543&gt;Benchmark!$B$2,1,IF(L543&lt;-Benchmark!$B$2,5,3))</f>
        <v>5</v>
      </c>
      <c r="N543" s="3" t="s">
        <v>31</v>
      </c>
    </row>
    <row r="544" spans="1:14" x14ac:dyDescent="0.35">
      <c r="A544" s="11" t="s">
        <v>7</v>
      </c>
      <c r="B544" s="11" t="s">
        <v>781</v>
      </c>
      <c r="C544" s="11">
        <v>6</v>
      </c>
      <c r="D544" s="11">
        <v>2</v>
      </c>
      <c r="E544" s="11" t="s">
        <v>104</v>
      </c>
      <c r="F544" s="11" t="s">
        <v>667</v>
      </c>
      <c r="G544" s="12">
        <v>9.1999999999999993</v>
      </c>
      <c r="H544" s="13">
        <v>113.3902173913044</v>
      </c>
      <c r="I544" s="11" t="s">
        <v>782</v>
      </c>
      <c r="J544" s="11" t="s">
        <v>37</v>
      </c>
      <c r="K544" s="7">
        <f>INDEX(Benchmark!$H$5:$H$807,MATCH(I544,Benchmark!$A$5:$A$807,0))</f>
        <v>117.28506787330321</v>
      </c>
      <c r="L544" s="14">
        <f t="shared" si="8"/>
        <v>-3.320840881642495E-2</v>
      </c>
      <c r="M544" s="17">
        <f>IF(L544&gt;Benchmark!$B$2,1,IF(L544&lt;-Benchmark!$B$2,5,3))</f>
        <v>3</v>
      </c>
      <c r="N544" s="3" t="s">
        <v>31</v>
      </c>
    </row>
    <row r="545" spans="1:14" x14ac:dyDescent="0.35">
      <c r="A545" s="11" t="s">
        <v>7</v>
      </c>
      <c r="B545" s="11" t="s">
        <v>783</v>
      </c>
      <c r="C545" s="11">
        <v>6</v>
      </c>
      <c r="D545" s="11">
        <v>5</v>
      </c>
      <c r="E545" s="11" t="s">
        <v>666</v>
      </c>
      <c r="F545" s="11" t="s">
        <v>670</v>
      </c>
      <c r="G545" s="12">
        <v>5.52</v>
      </c>
      <c r="H545" s="13">
        <v>123.0634057971015</v>
      </c>
      <c r="I545" s="11" t="s">
        <v>784</v>
      </c>
      <c r="J545" s="11" t="s">
        <v>37</v>
      </c>
      <c r="K545" s="7">
        <f>INDEX(Benchmark!$H$5:$H$807,MATCH(I545,Benchmark!$A$5:$A$807,0))</f>
        <v>123.7608695652174</v>
      </c>
      <c r="L545" s="14">
        <f t="shared" si="8"/>
        <v>-5.6355758533869205E-3</v>
      </c>
      <c r="M545" s="17">
        <f>IF(L545&gt;Benchmark!$B$2,1,IF(L545&lt;-Benchmark!$B$2,5,3))</f>
        <v>3</v>
      </c>
      <c r="N545" s="3" t="s">
        <v>31</v>
      </c>
    </row>
    <row r="546" spans="1:14" x14ac:dyDescent="0.35">
      <c r="A546" s="11" t="s">
        <v>7</v>
      </c>
      <c r="B546" s="11" t="s">
        <v>785</v>
      </c>
      <c r="C546" s="11">
        <v>6</v>
      </c>
      <c r="D546" s="11">
        <v>3</v>
      </c>
      <c r="E546" s="11" t="s">
        <v>78</v>
      </c>
      <c r="F546" s="11" t="s">
        <v>670</v>
      </c>
      <c r="G546" s="12">
        <v>1.1299999999999999</v>
      </c>
      <c r="H546" s="13">
        <v>90.141592920353986</v>
      </c>
      <c r="I546" s="11" t="s">
        <v>786</v>
      </c>
      <c r="J546" s="11" t="s">
        <v>614</v>
      </c>
      <c r="K546" s="7">
        <f>INDEX(Benchmark!$H$5:$H$807,MATCH(I546,Benchmark!$A$5:$A$807,0))</f>
        <v>113</v>
      </c>
      <c r="L546" s="14">
        <f t="shared" si="8"/>
        <v>-0.20228678831545144</v>
      </c>
      <c r="M546" s="15">
        <f>IF(L546&gt;Benchmark!$B$2,1,IF(L546&lt;-Benchmark!$B$2,5,3))</f>
        <v>5</v>
      </c>
      <c r="N546" s="3" t="s">
        <v>31</v>
      </c>
    </row>
    <row r="547" spans="1:14" x14ac:dyDescent="0.35">
      <c r="A547" s="11" t="s">
        <v>7</v>
      </c>
      <c r="B547" s="11" t="s">
        <v>787</v>
      </c>
      <c r="C547" s="11">
        <v>6</v>
      </c>
      <c r="D547" s="11">
        <v>10</v>
      </c>
      <c r="E547" s="11" t="s">
        <v>198</v>
      </c>
      <c r="F547" s="11" t="s">
        <v>186</v>
      </c>
      <c r="G547" s="12">
        <v>10.18</v>
      </c>
      <c r="H547" s="13">
        <v>94.231827111984288</v>
      </c>
      <c r="I547" s="11" t="s">
        <v>788</v>
      </c>
      <c r="J547" s="11" t="s">
        <v>30</v>
      </c>
      <c r="K547" s="7">
        <f>INDEX(Benchmark!$H$5:$H$807,MATCH(I547,Benchmark!$A$5:$A$807,0))</f>
        <v>124.3922106417992</v>
      </c>
      <c r="L547" s="14">
        <f t="shared" si="8"/>
        <v>-0.24246199480018082</v>
      </c>
      <c r="M547" s="15">
        <f>IF(L547&gt;Benchmark!$B$2,1,IF(L547&lt;-Benchmark!$B$2,5,3))</f>
        <v>5</v>
      </c>
      <c r="N547" s="3" t="s">
        <v>31</v>
      </c>
    </row>
    <row r="548" spans="1:14" x14ac:dyDescent="0.35">
      <c r="A548" s="11" t="s">
        <v>7</v>
      </c>
      <c r="B548" s="11" t="s">
        <v>789</v>
      </c>
      <c r="C548" s="11">
        <v>6</v>
      </c>
      <c r="D548" s="11">
        <v>11</v>
      </c>
      <c r="E548" s="11" t="s">
        <v>198</v>
      </c>
      <c r="F548" s="11" t="s">
        <v>790</v>
      </c>
      <c r="G548" s="12">
        <v>10.18</v>
      </c>
      <c r="H548" s="13">
        <v>85.764243614931246</v>
      </c>
      <c r="I548" s="11" t="s">
        <v>791</v>
      </c>
      <c r="J548" s="11" t="s">
        <v>30</v>
      </c>
      <c r="K548" s="7">
        <f>INDEX(Benchmark!$H$5:$H$807,MATCH(I548,Benchmark!$A$5:$A$807,0))</f>
        <v>108.09974923834081</v>
      </c>
      <c r="L548" s="14">
        <f t="shared" si="8"/>
        <v>-0.20661940273481783</v>
      </c>
      <c r="M548" s="15">
        <f>IF(L548&gt;Benchmark!$B$2,1,IF(L548&lt;-Benchmark!$B$2,5,3))</f>
        <v>5</v>
      </c>
      <c r="N548" s="3" t="s">
        <v>31</v>
      </c>
    </row>
    <row r="549" spans="1:14" x14ac:dyDescent="0.35">
      <c r="A549" s="11" t="s">
        <v>7</v>
      </c>
      <c r="B549" s="11" t="s">
        <v>792</v>
      </c>
      <c r="C549" s="11">
        <v>6</v>
      </c>
      <c r="D549" s="11">
        <v>3</v>
      </c>
      <c r="E549" s="11" t="s">
        <v>27</v>
      </c>
      <c r="F549" s="11" t="s">
        <v>641</v>
      </c>
      <c r="G549" s="12">
        <v>4.3899999999999997</v>
      </c>
      <c r="H549" s="13">
        <v>145.24145785876991</v>
      </c>
      <c r="I549" s="11" t="s">
        <v>687</v>
      </c>
      <c r="J549" s="11" t="s">
        <v>30</v>
      </c>
      <c r="K549" s="7">
        <f>INDEX(Benchmark!$H$5:$H$807,MATCH(I549,Benchmark!$A$5:$A$807,0))</f>
        <v>147.96583143507971</v>
      </c>
      <c r="L549" s="14">
        <f t="shared" si="8"/>
        <v>-1.8412180365472541E-2</v>
      </c>
      <c r="M549" s="17">
        <f>IF(L549&gt;Benchmark!$B$2,1,IF(L549&lt;-Benchmark!$B$2,5,3))</f>
        <v>3</v>
      </c>
      <c r="N549" s="3" t="s">
        <v>31</v>
      </c>
    </row>
    <row r="550" spans="1:14" x14ac:dyDescent="0.35">
      <c r="A550" s="11" t="s">
        <v>7</v>
      </c>
      <c r="B550" s="11" t="s">
        <v>793</v>
      </c>
      <c r="C550" s="11">
        <v>6</v>
      </c>
      <c r="D550" s="11">
        <v>3</v>
      </c>
      <c r="E550" s="11" t="s">
        <v>27</v>
      </c>
      <c r="F550" s="11" t="s">
        <v>131</v>
      </c>
      <c r="G550" s="12">
        <v>6.67</v>
      </c>
      <c r="H550" s="13">
        <v>101.4392803598201</v>
      </c>
      <c r="I550" s="11" t="s">
        <v>653</v>
      </c>
      <c r="J550" s="11" t="s">
        <v>30</v>
      </c>
      <c r="K550" s="7">
        <f>INDEX(Benchmark!$H$5:$H$807,MATCH(I550,Benchmark!$A$5:$A$807,0))</f>
        <v>144.05763688760811</v>
      </c>
      <c r="L550" s="14">
        <f t="shared" si="8"/>
        <v>-0.29584239647800337</v>
      </c>
      <c r="M550" s="15">
        <f>IF(L550&gt;Benchmark!$B$2,1,IF(L550&lt;-Benchmark!$B$2,5,3))</f>
        <v>5</v>
      </c>
      <c r="N550" s="3" t="s">
        <v>31</v>
      </c>
    </row>
    <row r="551" spans="1:14" x14ac:dyDescent="0.35">
      <c r="A551" s="11" t="s">
        <v>7</v>
      </c>
      <c r="B551" s="11" t="s">
        <v>794</v>
      </c>
      <c r="C551" s="11">
        <v>6</v>
      </c>
      <c r="D551" s="11">
        <v>3</v>
      </c>
      <c r="E551" s="11" t="s">
        <v>27</v>
      </c>
      <c r="F551" s="11" t="s">
        <v>131</v>
      </c>
      <c r="G551" s="12">
        <v>2.79</v>
      </c>
      <c r="H551" s="13">
        <v>153.61290322580641</v>
      </c>
      <c r="I551" s="11" t="s">
        <v>653</v>
      </c>
      <c r="J551" s="11" t="s">
        <v>30</v>
      </c>
      <c r="K551" s="7">
        <f>INDEX(Benchmark!$H$5:$H$807,MATCH(I551,Benchmark!$A$5:$A$807,0))</f>
        <v>144.05763688760811</v>
      </c>
      <c r="L551" s="14">
        <f t="shared" si="8"/>
        <v>6.6329467459286473E-2</v>
      </c>
      <c r="M551" s="16">
        <f>IF(L551&gt;Benchmark!$B$2,1,IF(L551&lt;-Benchmark!$B$2,5,3))</f>
        <v>1</v>
      </c>
      <c r="N551" s="3" t="s">
        <v>31</v>
      </c>
    </row>
    <row r="552" spans="1:14" x14ac:dyDescent="0.35">
      <c r="A552" s="11" t="s">
        <v>7</v>
      </c>
      <c r="B552" s="11" t="s">
        <v>795</v>
      </c>
      <c r="C552" s="11">
        <v>6</v>
      </c>
      <c r="D552" s="11">
        <v>6</v>
      </c>
      <c r="E552" s="11" t="s">
        <v>88</v>
      </c>
      <c r="F552" s="11" t="s">
        <v>35</v>
      </c>
      <c r="G552" s="12">
        <v>11.68</v>
      </c>
      <c r="H552" s="13">
        <v>120.93065068493151</v>
      </c>
      <c r="I552" s="11" t="s">
        <v>646</v>
      </c>
      <c r="J552" s="11" t="s">
        <v>30</v>
      </c>
      <c r="K552" s="7">
        <f>INDEX(Benchmark!$H$5:$H$807,MATCH(I552,Benchmark!$A$5:$A$807,0))</f>
        <v>133.1830855018587</v>
      </c>
      <c r="L552" s="14">
        <f t="shared" si="8"/>
        <v>-9.1996928669716094E-2</v>
      </c>
      <c r="M552" s="15">
        <f>IF(L552&gt;Benchmark!$B$2,1,IF(L552&lt;-Benchmark!$B$2,5,3))</f>
        <v>5</v>
      </c>
      <c r="N552" s="3" t="s">
        <v>31</v>
      </c>
    </row>
    <row r="553" spans="1:14" x14ac:dyDescent="0.35">
      <c r="A553" s="11" t="s">
        <v>7</v>
      </c>
      <c r="B553" s="11" t="s">
        <v>796</v>
      </c>
      <c r="C553" s="11">
        <v>6</v>
      </c>
      <c r="D553" s="11">
        <v>3</v>
      </c>
      <c r="E553" s="11" t="s">
        <v>27</v>
      </c>
      <c r="F553" s="11" t="s">
        <v>633</v>
      </c>
      <c r="G553" s="12">
        <v>4</v>
      </c>
      <c r="H553" s="13">
        <v>87.27</v>
      </c>
      <c r="I553" s="11" t="s">
        <v>658</v>
      </c>
      <c r="J553" s="11" t="s">
        <v>30</v>
      </c>
      <c r="K553" s="7">
        <f>INDEX(Benchmark!$H$5:$H$807,MATCH(I553,Benchmark!$A$5:$A$807,0))</f>
        <v>128.387190909645</v>
      </c>
      <c r="L553" s="14">
        <f t="shared" si="8"/>
        <v>-0.32025929236649497</v>
      </c>
      <c r="M553" s="15">
        <f>IF(L553&gt;Benchmark!$B$2,1,IF(L553&lt;-Benchmark!$B$2,5,3))</f>
        <v>5</v>
      </c>
      <c r="N553" s="3" t="s">
        <v>31</v>
      </c>
    </row>
    <row r="554" spans="1:14" x14ac:dyDescent="0.35">
      <c r="A554" s="11" t="s">
        <v>7</v>
      </c>
      <c r="B554" s="11" t="s">
        <v>797</v>
      </c>
      <c r="C554" s="11">
        <v>6</v>
      </c>
      <c r="D554" s="11">
        <v>5</v>
      </c>
      <c r="E554" s="11" t="s">
        <v>88</v>
      </c>
      <c r="F554" s="11" t="s">
        <v>633</v>
      </c>
      <c r="G554" s="12">
        <v>9.9600000000000009</v>
      </c>
      <c r="H554" s="13">
        <v>107.3473895582329</v>
      </c>
      <c r="I554" s="11" t="s">
        <v>644</v>
      </c>
      <c r="J554" s="11" t="s">
        <v>30</v>
      </c>
      <c r="K554" s="7">
        <f>INDEX(Benchmark!$H$5:$H$807,MATCH(I554,Benchmark!$A$5:$A$807,0))</f>
        <v>108.726573100639</v>
      </c>
      <c r="L554" s="14">
        <f t="shared" si="8"/>
        <v>-1.2684880090256367E-2</v>
      </c>
      <c r="M554" s="17">
        <f>IF(L554&gt;Benchmark!$B$2,1,IF(L554&lt;-Benchmark!$B$2,5,3))</f>
        <v>3</v>
      </c>
      <c r="N554" s="3" t="s">
        <v>31</v>
      </c>
    </row>
    <row r="555" spans="1:14" x14ac:dyDescent="0.35">
      <c r="A555" s="11" t="s">
        <v>7</v>
      </c>
      <c r="B555" s="11" t="s">
        <v>798</v>
      </c>
      <c r="C555" s="11">
        <v>6</v>
      </c>
      <c r="D555" s="11">
        <v>4</v>
      </c>
      <c r="E555" s="11" t="s">
        <v>88</v>
      </c>
      <c r="F555" s="11" t="s">
        <v>364</v>
      </c>
      <c r="G555" s="12">
        <v>11.05</v>
      </c>
      <c r="H555" s="13">
        <v>88.835294117647052</v>
      </c>
      <c r="I555" s="11" t="s">
        <v>685</v>
      </c>
      <c r="J555" s="11" t="s">
        <v>30</v>
      </c>
      <c r="K555" s="7">
        <f>INDEX(Benchmark!$H$5:$H$807,MATCH(I555,Benchmark!$A$5:$A$807,0))</f>
        <v>112.44941252144081</v>
      </c>
      <c r="L555" s="14">
        <f t="shared" si="8"/>
        <v>-0.20999770362776449</v>
      </c>
      <c r="M555" s="15">
        <f>IF(L555&gt;Benchmark!$B$2,1,IF(L555&lt;-Benchmark!$B$2,5,3))</f>
        <v>5</v>
      </c>
      <c r="N555" s="3" t="s">
        <v>31</v>
      </c>
    </row>
    <row r="556" spans="1:14" x14ac:dyDescent="0.35">
      <c r="A556" s="11" t="s">
        <v>7</v>
      </c>
      <c r="B556" s="11" t="s">
        <v>799</v>
      </c>
      <c r="C556" s="11">
        <v>6</v>
      </c>
      <c r="D556" s="11">
        <v>2</v>
      </c>
      <c r="E556" s="11" t="s">
        <v>27</v>
      </c>
      <c r="F556" s="11" t="s">
        <v>502</v>
      </c>
      <c r="G556" s="12">
        <v>8.48</v>
      </c>
      <c r="H556" s="13">
        <v>138.7582547169811</v>
      </c>
      <c r="I556" s="11" t="s">
        <v>775</v>
      </c>
      <c r="J556" s="11" t="s">
        <v>30</v>
      </c>
      <c r="K556" s="7">
        <f>INDEX(Benchmark!$H$5:$H$807,MATCH(I556,Benchmark!$A$5:$A$807,0))</f>
        <v>141.3474440894569</v>
      </c>
      <c r="L556" s="14">
        <f t="shared" si="8"/>
        <v>-1.8317907261465094E-2</v>
      </c>
      <c r="M556" s="17">
        <f>IF(L556&gt;Benchmark!$B$2,1,IF(L556&lt;-Benchmark!$B$2,5,3))</f>
        <v>3</v>
      </c>
      <c r="N556" s="3" t="s">
        <v>31</v>
      </c>
    </row>
    <row r="557" spans="1:14" x14ac:dyDescent="0.35">
      <c r="A557" s="11" t="s">
        <v>7</v>
      </c>
      <c r="B557" s="11" t="s">
        <v>800</v>
      </c>
      <c r="C557" s="11">
        <v>6</v>
      </c>
      <c r="D557" s="11">
        <v>2</v>
      </c>
      <c r="E557" s="11" t="s">
        <v>27</v>
      </c>
      <c r="F557" s="11" t="s">
        <v>502</v>
      </c>
      <c r="G557" s="12">
        <v>5.8</v>
      </c>
      <c r="H557" s="13">
        <v>121.32241379310349</v>
      </c>
      <c r="I557" s="11" t="s">
        <v>775</v>
      </c>
      <c r="J557" s="11" t="s">
        <v>30</v>
      </c>
      <c r="K557" s="7">
        <f>INDEX(Benchmark!$H$5:$H$807,MATCH(I557,Benchmark!$A$5:$A$807,0))</f>
        <v>141.3474440894569</v>
      </c>
      <c r="L557" s="14">
        <f t="shared" si="8"/>
        <v>-0.14167239050802949</v>
      </c>
      <c r="M557" s="15">
        <f>IF(L557&gt;Benchmark!$B$2,1,IF(L557&lt;-Benchmark!$B$2,5,3))</f>
        <v>5</v>
      </c>
      <c r="N557" s="3" t="s">
        <v>31</v>
      </c>
    </row>
    <row r="558" spans="1:14" x14ac:dyDescent="0.35">
      <c r="A558" s="11" t="s">
        <v>7</v>
      </c>
      <c r="B558" s="11" t="s">
        <v>801</v>
      </c>
      <c r="C558" s="11">
        <v>6</v>
      </c>
      <c r="D558" s="11">
        <v>6</v>
      </c>
      <c r="E558" s="11" t="s">
        <v>104</v>
      </c>
      <c r="F558" s="11" t="s">
        <v>730</v>
      </c>
      <c r="G558" s="12">
        <v>5.56</v>
      </c>
      <c r="H558" s="13">
        <v>108.8291366906475</v>
      </c>
      <c r="I558" s="11" t="s">
        <v>802</v>
      </c>
      <c r="J558" s="11" t="s">
        <v>30</v>
      </c>
      <c r="K558" s="7">
        <f>INDEX(Benchmark!$H$5:$H$807,MATCH(I558,Benchmark!$A$5:$A$807,0))</f>
        <v>131.57553956834531</v>
      </c>
      <c r="L558" s="14">
        <f t="shared" si="8"/>
        <v>-0.17287713926403825</v>
      </c>
      <c r="M558" s="15">
        <f>IF(L558&gt;Benchmark!$B$2,1,IF(L558&lt;-Benchmark!$B$2,5,3))</f>
        <v>5</v>
      </c>
      <c r="N558" s="3" t="s">
        <v>31</v>
      </c>
    </row>
    <row r="559" spans="1:14" x14ac:dyDescent="0.35">
      <c r="A559" s="11" t="s">
        <v>7</v>
      </c>
      <c r="B559" s="11" t="s">
        <v>803</v>
      </c>
      <c r="C559" s="11">
        <v>6</v>
      </c>
      <c r="D559" s="11">
        <v>5</v>
      </c>
      <c r="E559" s="11" t="s">
        <v>88</v>
      </c>
      <c r="F559" s="11" t="s">
        <v>502</v>
      </c>
      <c r="G559" s="12">
        <v>5.33</v>
      </c>
      <c r="H559" s="13">
        <v>119.14071294559101</v>
      </c>
      <c r="I559" s="11" t="s">
        <v>804</v>
      </c>
      <c r="J559" s="11" t="s">
        <v>30</v>
      </c>
      <c r="K559" s="7">
        <f>INDEX(Benchmark!$H$5:$H$807,MATCH(I559,Benchmark!$A$5:$A$807,0))</f>
        <v>134.46728971962619</v>
      </c>
      <c r="L559" s="14">
        <f t="shared" si="8"/>
        <v>-0.11397996349887163</v>
      </c>
      <c r="M559" s="15">
        <f>IF(L559&gt;Benchmark!$B$2,1,IF(L559&lt;-Benchmark!$B$2,5,3))</f>
        <v>5</v>
      </c>
      <c r="N559" s="3" t="s">
        <v>31</v>
      </c>
    </row>
    <row r="560" spans="1:14" x14ac:dyDescent="0.35">
      <c r="A560" s="11" t="s">
        <v>7</v>
      </c>
      <c r="B560" s="11" t="s">
        <v>805</v>
      </c>
      <c r="C560" s="11">
        <v>6</v>
      </c>
      <c r="D560" s="11">
        <v>7</v>
      </c>
      <c r="E560" s="11" t="s">
        <v>806</v>
      </c>
      <c r="F560" s="11" t="s">
        <v>502</v>
      </c>
      <c r="G560" s="12">
        <v>3.17</v>
      </c>
      <c r="H560" s="13">
        <v>91.419558359621462</v>
      </c>
      <c r="I560" s="11" t="s">
        <v>807</v>
      </c>
      <c r="J560" s="11" t="s">
        <v>30</v>
      </c>
      <c r="K560" s="7">
        <f>INDEX(Benchmark!$H$5:$H$807,MATCH(I560,Benchmark!$A$5:$A$807,0))</f>
        <v>123.6241810240233</v>
      </c>
      <c r="L560" s="14">
        <f t="shared" si="8"/>
        <v>-0.26050423467026784</v>
      </c>
      <c r="M560" s="15">
        <f>IF(L560&gt;Benchmark!$B$2,1,IF(L560&lt;-Benchmark!$B$2,5,3))</f>
        <v>5</v>
      </c>
      <c r="N560" s="3" t="s">
        <v>31</v>
      </c>
    </row>
    <row r="561" spans="1:14" x14ac:dyDescent="0.35">
      <c r="A561" s="11" t="s">
        <v>7</v>
      </c>
      <c r="B561" s="11" t="s">
        <v>808</v>
      </c>
      <c r="C561" s="11">
        <v>6</v>
      </c>
      <c r="D561" s="11">
        <v>2</v>
      </c>
      <c r="E561" s="11" t="s">
        <v>88</v>
      </c>
      <c r="F561" s="11" t="s">
        <v>502</v>
      </c>
      <c r="G561" s="12">
        <v>3.66</v>
      </c>
      <c r="H561" s="13">
        <v>148.75956284153011</v>
      </c>
      <c r="I561" s="11" t="s">
        <v>804</v>
      </c>
      <c r="J561" s="11" t="s">
        <v>30</v>
      </c>
      <c r="K561" s="7">
        <f>INDEX(Benchmark!$H$5:$H$807,MATCH(I561,Benchmark!$A$5:$A$807,0))</f>
        <v>134.46728971962619</v>
      </c>
      <c r="L561" s="14">
        <f t="shared" si="8"/>
        <v>0.10628810286653589</v>
      </c>
      <c r="M561" s="16">
        <f>IF(L561&gt;Benchmark!$B$2,1,IF(L561&lt;-Benchmark!$B$2,5,3))</f>
        <v>1</v>
      </c>
      <c r="N561" s="3" t="s">
        <v>31</v>
      </c>
    </row>
    <row r="562" spans="1:14" x14ac:dyDescent="0.35">
      <c r="A562" s="11" t="s">
        <v>7</v>
      </c>
      <c r="B562" s="11" t="s">
        <v>809</v>
      </c>
      <c r="C562" s="11">
        <v>6</v>
      </c>
      <c r="D562" s="11">
        <v>4</v>
      </c>
      <c r="E562" s="11" t="s">
        <v>27</v>
      </c>
      <c r="F562" s="11" t="s">
        <v>502</v>
      </c>
      <c r="G562" s="12">
        <v>2.14</v>
      </c>
      <c r="H562" s="13">
        <v>123.2429906542056</v>
      </c>
      <c r="I562" s="11" t="s">
        <v>775</v>
      </c>
      <c r="J562" s="11" t="s">
        <v>30</v>
      </c>
      <c r="K562" s="7">
        <f>INDEX(Benchmark!$H$5:$H$807,MATCH(I562,Benchmark!$A$5:$A$807,0))</f>
        <v>141.3474440894569</v>
      </c>
      <c r="L562" s="14">
        <f t="shared" si="8"/>
        <v>-0.12808475987576562</v>
      </c>
      <c r="M562" s="15">
        <f>IF(L562&gt;Benchmark!$B$2,1,IF(L562&lt;-Benchmark!$B$2,5,3))</f>
        <v>5</v>
      </c>
      <c r="N562" s="3" t="s">
        <v>31</v>
      </c>
    </row>
    <row r="563" spans="1:14" x14ac:dyDescent="0.35">
      <c r="A563" s="11" t="s">
        <v>7</v>
      </c>
      <c r="B563" s="11" t="s">
        <v>810</v>
      </c>
      <c r="C563" s="11">
        <v>6</v>
      </c>
      <c r="D563" s="11">
        <v>3</v>
      </c>
      <c r="E563" s="11" t="s">
        <v>78</v>
      </c>
      <c r="F563" s="11" t="s">
        <v>502</v>
      </c>
      <c r="G563" s="12">
        <v>1.55</v>
      </c>
      <c r="H563" s="13">
        <v>143</v>
      </c>
      <c r="I563" s="11" t="s">
        <v>728</v>
      </c>
      <c r="J563" s="11" t="s">
        <v>614</v>
      </c>
      <c r="K563" s="7">
        <f>INDEX(Benchmark!$H$5:$H$807,MATCH(I563,Benchmark!$A$5:$A$807,0))</f>
        <v>128.85112302775141</v>
      </c>
      <c r="L563" s="14">
        <f t="shared" si="8"/>
        <v>0.10980794454698906</v>
      </c>
      <c r="M563" s="16">
        <f>IF(L563&gt;Benchmark!$B$2,1,IF(L563&lt;-Benchmark!$B$2,5,3))</f>
        <v>1</v>
      </c>
      <c r="N563" s="3" t="s">
        <v>31</v>
      </c>
    </row>
    <row r="564" spans="1:14" x14ac:dyDescent="0.35">
      <c r="A564" s="11" t="s">
        <v>7</v>
      </c>
      <c r="B564" s="11" t="s">
        <v>811</v>
      </c>
      <c r="C564" s="11">
        <v>6</v>
      </c>
      <c r="D564" s="11">
        <v>2</v>
      </c>
      <c r="E564" s="11" t="s">
        <v>27</v>
      </c>
      <c r="F564" s="11" t="s">
        <v>364</v>
      </c>
      <c r="G564" s="12">
        <v>4.0199999999999996</v>
      </c>
      <c r="H564" s="13">
        <v>116.4253731343284</v>
      </c>
      <c r="I564" s="11" t="s">
        <v>773</v>
      </c>
      <c r="J564" s="11" t="s">
        <v>30</v>
      </c>
      <c r="K564" s="7">
        <f>INDEX(Benchmark!$H$5:$H$807,MATCH(I564,Benchmark!$A$5:$A$807,0))</f>
        <v>122.69387755102041</v>
      </c>
      <c r="L564" s="14">
        <f t="shared" si="8"/>
        <v>-5.1090604859931554E-2</v>
      </c>
      <c r="M564" s="15">
        <f>IF(L564&gt;Benchmark!$B$2,1,IF(L564&lt;-Benchmark!$B$2,5,3))</f>
        <v>5</v>
      </c>
      <c r="N564" s="3" t="s">
        <v>31</v>
      </c>
    </row>
    <row r="565" spans="1:14" x14ac:dyDescent="0.35">
      <c r="A565" s="11" t="s">
        <v>7</v>
      </c>
      <c r="B565" s="11" t="s">
        <v>812</v>
      </c>
      <c r="C565" s="11">
        <v>6</v>
      </c>
      <c r="D565" s="11">
        <v>3</v>
      </c>
      <c r="E565" s="11" t="s">
        <v>27</v>
      </c>
      <c r="F565" s="11" t="s">
        <v>502</v>
      </c>
      <c r="G565" s="12">
        <v>8.9600000000000009</v>
      </c>
      <c r="H565" s="13">
        <v>119.0859375</v>
      </c>
      <c r="I565" s="11" t="s">
        <v>775</v>
      </c>
      <c r="J565" s="11" t="s">
        <v>30</v>
      </c>
      <c r="K565" s="7">
        <f>INDEX(Benchmark!$H$5:$H$807,MATCH(I565,Benchmark!$A$5:$A$807,0))</f>
        <v>141.3474440894569</v>
      </c>
      <c r="L565" s="14">
        <f t="shared" si="8"/>
        <v>-0.15749493549644866</v>
      </c>
      <c r="M565" s="15">
        <f>IF(L565&gt;Benchmark!$B$2,1,IF(L565&lt;-Benchmark!$B$2,5,3))</f>
        <v>5</v>
      </c>
      <c r="N565" s="3" t="s">
        <v>31</v>
      </c>
    </row>
    <row r="566" spans="1:14" x14ac:dyDescent="0.35">
      <c r="A566" s="11" t="s">
        <v>7</v>
      </c>
      <c r="B566" s="11" t="s">
        <v>813</v>
      </c>
      <c r="C566" s="11">
        <v>6</v>
      </c>
      <c r="D566" s="11">
        <v>3</v>
      </c>
      <c r="E566" s="11" t="s">
        <v>27</v>
      </c>
      <c r="F566" s="11" t="s">
        <v>502</v>
      </c>
      <c r="G566" s="12">
        <v>5.93</v>
      </c>
      <c r="H566" s="13">
        <v>132.60370994940979</v>
      </c>
      <c r="I566" s="11" t="s">
        <v>775</v>
      </c>
      <c r="J566" s="11" t="s">
        <v>30</v>
      </c>
      <c r="K566" s="7">
        <f>INDEX(Benchmark!$H$5:$H$807,MATCH(I566,Benchmark!$A$5:$A$807,0))</f>
        <v>141.3474440894569</v>
      </c>
      <c r="L566" s="14">
        <f t="shared" si="8"/>
        <v>-6.1859867338763586E-2</v>
      </c>
      <c r="M566" s="15">
        <f>IF(L566&gt;Benchmark!$B$2,1,IF(L566&lt;-Benchmark!$B$2,5,3))</f>
        <v>5</v>
      </c>
      <c r="N566" s="3" t="s">
        <v>31</v>
      </c>
    </row>
    <row r="567" spans="1:14" x14ac:dyDescent="0.35">
      <c r="A567" s="11" t="s">
        <v>7</v>
      </c>
      <c r="B567" s="11" t="s">
        <v>814</v>
      </c>
      <c r="C567" s="11">
        <v>6</v>
      </c>
      <c r="D567" s="11">
        <v>5</v>
      </c>
      <c r="E567" s="11" t="s">
        <v>104</v>
      </c>
      <c r="F567" s="11" t="s">
        <v>39</v>
      </c>
      <c r="G567" s="12">
        <v>15.59</v>
      </c>
      <c r="H567" s="13">
        <v>114.3014753046825</v>
      </c>
      <c r="I567" s="11" t="s">
        <v>815</v>
      </c>
      <c r="J567" s="11" t="s">
        <v>30</v>
      </c>
      <c r="K567" s="7">
        <f>INDEX(Benchmark!$H$5:$H$807,MATCH(I567,Benchmark!$A$5:$A$807,0))</f>
        <v>118.28950695322381</v>
      </c>
      <c r="L567" s="14">
        <f t="shared" si="8"/>
        <v>-3.3714162407645576E-2</v>
      </c>
      <c r="M567" s="17">
        <f>IF(L567&gt;Benchmark!$B$2,1,IF(L567&lt;-Benchmark!$B$2,5,3))</f>
        <v>3</v>
      </c>
      <c r="N567" s="3" t="s">
        <v>31</v>
      </c>
    </row>
    <row r="568" spans="1:14" x14ac:dyDescent="0.35">
      <c r="A568" s="11" t="s">
        <v>7</v>
      </c>
      <c r="B568" s="11" t="s">
        <v>816</v>
      </c>
      <c r="C568" s="11">
        <v>6</v>
      </c>
      <c r="D568" s="11">
        <v>4</v>
      </c>
      <c r="E568" s="11" t="s">
        <v>104</v>
      </c>
      <c r="F568" s="11" t="s">
        <v>633</v>
      </c>
      <c r="G568" s="12">
        <v>6.03</v>
      </c>
      <c r="H568" s="13">
        <v>113.5157545605307</v>
      </c>
      <c r="I568" s="11" t="s">
        <v>700</v>
      </c>
      <c r="J568" s="11" t="s">
        <v>30</v>
      </c>
      <c r="K568" s="7">
        <f>INDEX(Benchmark!$H$5:$H$807,MATCH(I568,Benchmark!$A$5:$A$807,0))</f>
        <v>114.9706913557601</v>
      </c>
      <c r="L568" s="14">
        <f t="shared" si="8"/>
        <v>-1.2654849493139997E-2</v>
      </c>
      <c r="M568" s="17">
        <f>IF(L568&gt;Benchmark!$B$2,1,IF(L568&lt;-Benchmark!$B$2,5,3))</f>
        <v>3</v>
      </c>
      <c r="N568" s="3" t="s">
        <v>31</v>
      </c>
    </row>
    <row r="569" spans="1:14" x14ac:dyDescent="0.35">
      <c r="A569" s="11" t="s">
        <v>7</v>
      </c>
      <c r="B569" s="11" t="s">
        <v>817</v>
      </c>
      <c r="C569" s="11">
        <v>6</v>
      </c>
      <c r="D569" s="11">
        <v>3</v>
      </c>
      <c r="E569" s="11" t="s">
        <v>692</v>
      </c>
      <c r="F569" s="11" t="s">
        <v>818</v>
      </c>
      <c r="G569" s="12">
        <v>2.46</v>
      </c>
      <c r="H569" s="13">
        <v>107.1422764227642</v>
      </c>
      <c r="I569" s="11" t="s">
        <v>819</v>
      </c>
      <c r="J569" s="11" t="s">
        <v>37</v>
      </c>
      <c r="K569" s="7">
        <f>INDEX(Benchmark!$H$5:$H$807,MATCH(I569,Benchmark!$A$5:$A$807,0))</f>
        <v>121.06756649640759</v>
      </c>
      <c r="L569" s="14">
        <f t="shared" si="8"/>
        <v>-0.1150208142166349</v>
      </c>
      <c r="M569" s="15">
        <f>IF(L569&gt;Benchmark!$B$2,1,IF(L569&lt;-Benchmark!$B$2,5,3))</f>
        <v>5</v>
      </c>
      <c r="N569" s="3" t="s">
        <v>31</v>
      </c>
    </row>
    <row r="570" spans="1:14" x14ac:dyDescent="0.35">
      <c r="A570" s="11" t="s">
        <v>7</v>
      </c>
      <c r="B570" s="11" t="s">
        <v>820</v>
      </c>
      <c r="C570" s="11">
        <v>6</v>
      </c>
      <c r="D570" s="11">
        <v>3</v>
      </c>
      <c r="E570" s="11" t="s">
        <v>692</v>
      </c>
      <c r="F570" s="11" t="s">
        <v>641</v>
      </c>
      <c r="G570" s="12">
        <v>3.74</v>
      </c>
      <c r="H570" s="13">
        <v>113.8155080213904</v>
      </c>
      <c r="I570" s="11" t="s">
        <v>821</v>
      </c>
      <c r="J570" s="11" t="s">
        <v>30</v>
      </c>
      <c r="K570" s="7">
        <f>INDEX(Benchmark!$H$5:$H$807,MATCH(I570,Benchmark!$A$5:$A$807,0))</f>
        <v>123.58304769001489</v>
      </c>
      <c r="L570" s="14">
        <f t="shared" si="8"/>
        <v>-7.9036242034785764E-2</v>
      </c>
      <c r="M570" s="15">
        <f>IF(L570&gt;Benchmark!$B$2,1,IF(L570&lt;-Benchmark!$B$2,5,3))</f>
        <v>5</v>
      </c>
      <c r="N570" s="3" t="s">
        <v>31</v>
      </c>
    </row>
    <row r="571" spans="1:14" x14ac:dyDescent="0.35">
      <c r="A571" s="11" t="s">
        <v>7</v>
      </c>
      <c r="B571" s="11" t="s">
        <v>822</v>
      </c>
      <c r="C571" s="11">
        <v>6</v>
      </c>
      <c r="D571" s="11">
        <v>2</v>
      </c>
      <c r="E571" s="11" t="s">
        <v>104</v>
      </c>
      <c r="F571" s="11" t="s">
        <v>633</v>
      </c>
      <c r="G571" s="12">
        <v>8.4</v>
      </c>
      <c r="H571" s="13">
        <v>98.108333333333334</v>
      </c>
      <c r="I571" s="11" t="s">
        <v>700</v>
      </c>
      <c r="J571" s="11" t="s">
        <v>30</v>
      </c>
      <c r="K571" s="7">
        <f>INDEX(Benchmark!$H$5:$H$807,MATCH(I571,Benchmark!$A$5:$A$807,0))</f>
        <v>114.9706913557601</v>
      </c>
      <c r="L571" s="14">
        <f t="shared" si="8"/>
        <v>-0.14666657931323246</v>
      </c>
      <c r="M571" s="15">
        <f>IF(L571&gt;Benchmark!$B$2,1,IF(L571&lt;-Benchmark!$B$2,5,3))</f>
        <v>5</v>
      </c>
      <c r="N571" s="3" t="s">
        <v>31</v>
      </c>
    </row>
    <row r="572" spans="1:14" x14ac:dyDescent="0.35">
      <c r="A572" s="11" t="s">
        <v>7</v>
      </c>
      <c r="B572" s="11" t="s">
        <v>823</v>
      </c>
      <c r="C572" s="11">
        <v>6</v>
      </c>
      <c r="D572" s="11">
        <v>3</v>
      </c>
      <c r="E572" s="11" t="s">
        <v>27</v>
      </c>
      <c r="F572" s="11" t="s">
        <v>633</v>
      </c>
      <c r="G572" s="12">
        <v>14.07</v>
      </c>
      <c r="H572" s="13">
        <v>126.7761194029851</v>
      </c>
      <c r="I572" s="11" t="s">
        <v>658</v>
      </c>
      <c r="J572" s="11" t="s">
        <v>30</v>
      </c>
      <c r="K572" s="7">
        <f>INDEX(Benchmark!$H$5:$H$807,MATCH(I572,Benchmark!$A$5:$A$807,0))</f>
        <v>128.387190909645</v>
      </c>
      <c r="L572" s="14">
        <f t="shared" si="8"/>
        <v>-1.2548537710383556E-2</v>
      </c>
      <c r="M572" s="17">
        <f>IF(L572&gt;Benchmark!$B$2,1,IF(L572&lt;-Benchmark!$B$2,5,3))</f>
        <v>3</v>
      </c>
      <c r="N572" s="3" t="s">
        <v>31</v>
      </c>
    </row>
    <row r="573" spans="1:14" x14ac:dyDescent="0.35">
      <c r="A573" s="11" t="s">
        <v>7</v>
      </c>
      <c r="B573" s="11" t="s">
        <v>824</v>
      </c>
      <c r="C573" s="11">
        <v>6</v>
      </c>
      <c r="D573" s="11">
        <v>6</v>
      </c>
      <c r="E573" s="11" t="s">
        <v>88</v>
      </c>
      <c r="F573" s="11" t="s">
        <v>35</v>
      </c>
      <c r="G573" s="12">
        <v>7.45</v>
      </c>
      <c r="H573" s="13">
        <v>132.57046979865771</v>
      </c>
      <c r="I573" s="11" t="s">
        <v>646</v>
      </c>
      <c r="J573" s="11" t="s">
        <v>30</v>
      </c>
      <c r="K573" s="7">
        <f>INDEX(Benchmark!$H$5:$H$807,MATCH(I573,Benchmark!$A$5:$A$807,0))</f>
        <v>133.1830855018587</v>
      </c>
      <c r="L573" s="14">
        <f t="shared" si="8"/>
        <v>-4.599801100061196E-3</v>
      </c>
      <c r="M573" s="17">
        <f>IF(L573&gt;Benchmark!$B$2,1,IF(L573&lt;-Benchmark!$B$2,5,3))</f>
        <v>3</v>
      </c>
      <c r="N573" s="3" t="s">
        <v>31</v>
      </c>
    </row>
    <row r="574" spans="1:14" x14ac:dyDescent="0.35">
      <c r="A574" s="11" t="s">
        <v>7</v>
      </c>
      <c r="B574" s="11" t="s">
        <v>825</v>
      </c>
      <c r="C574" s="11">
        <v>6</v>
      </c>
      <c r="D574" s="11">
        <v>4</v>
      </c>
      <c r="E574" s="11" t="s">
        <v>88</v>
      </c>
      <c r="F574" s="11" t="s">
        <v>502</v>
      </c>
      <c r="G574" s="12">
        <v>5.43</v>
      </c>
      <c r="H574" s="13">
        <v>105.27992633517491</v>
      </c>
      <c r="I574" s="11" t="s">
        <v>804</v>
      </c>
      <c r="J574" s="11" t="s">
        <v>30</v>
      </c>
      <c r="K574" s="7">
        <f>INDEX(Benchmark!$H$5:$H$807,MATCH(I574,Benchmark!$A$5:$A$807,0))</f>
        <v>134.46728971962619</v>
      </c>
      <c r="L574" s="14">
        <f t="shared" si="8"/>
        <v>-0.21705920782153787</v>
      </c>
      <c r="M574" s="15">
        <f>IF(L574&gt;Benchmark!$B$2,1,IF(L574&lt;-Benchmark!$B$2,5,3))</f>
        <v>5</v>
      </c>
      <c r="N574" s="3" t="s">
        <v>31</v>
      </c>
    </row>
    <row r="575" spans="1:14" x14ac:dyDescent="0.35">
      <c r="A575" s="11" t="s">
        <v>7</v>
      </c>
      <c r="B575" s="11" t="s">
        <v>826</v>
      </c>
      <c r="C575" s="11">
        <v>6</v>
      </c>
      <c r="D575" s="11">
        <v>5</v>
      </c>
      <c r="E575" s="11" t="s">
        <v>88</v>
      </c>
      <c r="F575" s="11" t="s">
        <v>827</v>
      </c>
      <c r="G575" s="12">
        <v>10.61</v>
      </c>
      <c r="H575" s="13">
        <v>86.979264844486337</v>
      </c>
      <c r="I575" s="11" t="s">
        <v>828</v>
      </c>
      <c r="J575" s="11" t="s">
        <v>30</v>
      </c>
      <c r="K575" s="7">
        <f>INDEX(Benchmark!$H$5:$H$807,MATCH(I575,Benchmark!$A$5:$A$807,0))</f>
        <v>117.6158809278318</v>
      </c>
      <c r="L575" s="14">
        <f t="shared" si="8"/>
        <v>-0.26048026713453643</v>
      </c>
      <c r="M575" s="15">
        <f>IF(L575&gt;Benchmark!$B$2,1,IF(L575&lt;-Benchmark!$B$2,5,3))</f>
        <v>5</v>
      </c>
      <c r="N575" s="3" t="s">
        <v>31</v>
      </c>
    </row>
    <row r="576" spans="1:14" x14ac:dyDescent="0.35">
      <c r="A576" s="11" t="s">
        <v>7</v>
      </c>
      <c r="B576" s="11" t="s">
        <v>829</v>
      </c>
      <c r="C576" s="11">
        <v>6</v>
      </c>
      <c r="D576" s="11">
        <v>5</v>
      </c>
      <c r="E576" s="11" t="s">
        <v>27</v>
      </c>
      <c r="F576" s="11" t="s">
        <v>35</v>
      </c>
      <c r="G576" s="12">
        <v>5.49</v>
      </c>
      <c r="H576" s="13">
        <v>101.528233151184</v>
      </c>
      <c r="I576" s="11" t="s">
        <v>682</v>
      </c>
      <c r="J576" s="11" t="s">
        <v>30</v>
      </c>
      <c r="K576" s="7">
        <f>INDEX(Benchmark!$H$5:$H$807,MATCH(I576,Benchmark!$A$5:$A$807,0))</f>
        <v>145.44695259593681</v>
      </c>
      <c r="L576" s="14">
        <f t="shared" si="8"/>
        <v>-0.30195695860856231</v>
      </c>
      <c r="M576" s="15">
        <f>IF(L576&gt;Benchmark!$B$2,1,IF(L576&lt;-Benchmark!$B$2,5,3))</f>
        <v>5</v>
      </c>
      <c r="N576" s="3" t="s">
        <v>31</v>
      </c>
    </row>
    <row r="577" spans="1:14" x14ac:dyDescent="0.35">
      <c r="A577" s="11" t="s">
        <v>7</v>
      </c>
      <c r="B577" s="11" t="s">
        <v>830</v>
      </c>
      <c r="C577" s="11">
        <v>6</v>
      </c>
      <c r="D577" s="11">
        <v>4</v>
      </c>
      <c r="E577" s="11" t="s">
        <v>88</v>
      </c>
      <c r="F577" s="11" t="s">
        <v>35</v>
      </c>
      <c r="G577" s="12">
        <v>9.4700000000000006</v>
      </c>
      <c r="H577" s="13">
        <v>112.31678986272441</v>
      </c>
      <c r="I577" s="11" t="s">
        <v>646</v>
      </c>
      <c r="J577" s="11" t="s">
        <v>30</v>
      </c>
      <c r="K577" s="7">
        <f>INDEX(Benchmark!$H$5:$H$807,MATCH(I577,Benchmark!$A$5:$A$807,0))</f>
        <v>133.1830855018587</v>
      </c>
      <c r="L577" s="14">
        <f t="shared" si="8"/>
        <v>-0.15667376649599463</v>
      </c>
      <c r="M577" s="15">
        <f>IF(L577&gt;Benchmark!$B$2,1,IF(L577&lt;-Benchmark!$B$2,5,3))</f>
        <v>5</v>
      </c>
      <c r="N577" s="3" t="s">
        <v>31</v>
      </c>
    </row>
    <row r="578" spans="1:14" x14ac:dyDescent="0.35">
      <c r="A578" s="11" t="s">
        <v>7</v>
      </c>
      <c r="B578" s="11" t="s">
        <v>831</v>
      </c>
      <c r="C578" s="11">
        <v>6</v>
      </c>
      <c r="D578" s="11">
        <v>11</v>
      </c>
      <c r="E578" s="11" t="s">
        <v>146</v>
      </c>
      <c r="F578" s="11" t="s">
        <v>28</v>
      </c>
      <c r="G578" s="12">
        <v>4.6100000000000003</v>
      </c>
      <c r="H578" s="13">
        <v>103.68546637744031</v>
      </c>
      <c r="I578" s="11" t="s">
        <v>832</v>
      </c>
      <c r="J578" s="11" t="s">
        <v>30</v>
      </c>
      <c r="K578" s="7">
        <f>INDEX(Benchmark!$H$5:$H$807,MATCH(I578,Benchmark!$A$5:$A$807,0))</f>
        <v>117.34150783460299</v>
      </c>
      <c r="L578" s="14">
        <f t="shared" si="8"/>
        <v>-0.11637860897791907</v>
      </c>
      <c r="M578" s="15">
        <f>IF(L578&gt;Benchmark!$B$2,1,IF(L578&lt;-Benchmark!$B$2,5,3))</f>
        <v>5</v>
      </c>
      <c r="N578" s="3" t="s">
        <v>31</v>
      </c>
    </row>
    <row r="579" spans="1:14" x14ac:dyDescent="0.35">
      <c r="A579" s="11" t="s">
        <v>7</v>
      </c>
      <c r="B579" s="11" t="s">
        <v>833</v>
      </c>
      <c r="C579" s="11">
        <v>6</v>
      </c>
      <c r="D579" s="11">
        <v>5</v>
      </c>
      <c r="E579" s="11" t="s">
        <v>27</v>
      </c>
      <c r="F579" s="11" t="s">
        <v>28</v>
      </c>
      <c r="G579" s="12">
        <v>7.55</v>
      </c>
      <c r="H579" s="13">
        <v>105.2503311258278</v>
      </c>
      <c r="I579" s="11" t="s">
        <v>834</v>
      </c>
      <c r="J579" s="11" t="s">
        <v>30</v>
      </c>
      <c r="K579" s="7">
        <f>INDEX(Benchmark!$H$5:$H$807,MATCH(I579,Benchmark!$A$5:$A$807,0))</f>
        <v>132.84642857142859</v>
      </c>
      <c r="L579" s="14">
        <f t="shared" si="8"/>
        <v>-0.20772931378251525</v>
      </c>
      <c r="M579" s="15">
        <f>IF(L579&gt;Benchmark!$B$2,1,IF(L579&lt;-Benchmark!$B$2,5,3))</f>
        <v>5</v>
      </c>
      <c r="N579" s="3" t="s">
        <v>31</v>
      </c>
    </row>
    <row r="580" spans="1:14" x14ac:dyDescent="0.35">
      <c r="A580" s="11" t="s">
        <v>7</v>
      </c>
      <c r="B580" s="11" t="s">
        <v>835</v>
      </c>
      <c r="C580" s="11">
        <v>6</v>
      </c>
      <c r="D580" s="11">
        <v>4</v>
      </c>
      <c r="E580" s="11" t="s">
        <v>27</v>
      </c>
      <c r="F580" s="11" t="s">
        <v>122</v>
      </c>
      <c r="G580" s="12">
        <v>5.03</v>
      </c>
      <c r="H580" s="13">
        <v>90.834990059642138</v>
      </c>
      <c r="I580" s="11" t="s">
        <v>764</v>
      </c>
      <c r="J580" s="11" t="s">
        <v>30</v>
      </c>
      <c r="K580" s="7">
        <f>INDEX(Benchmark!$H$5:$H$807,MATCH(I580,Benchmark!$A$5:$A$807,0))</f>
        <v>131.7632703360724</v>
      </c>
      <c r="L580" s="14">
        <f t="shared" si="8"/>
        <v>-0.31061979694371211</v>
      </c>
      <c r="M580" s="15">
        <f>IF(L580&gt;Benchmark!$B$2,1,IF(L580&lt;-Benchmark!$B$2,5,3))</f>
        <v>5</v>
      </c>
      <c r="N580" s="3" t="s">
        <v>31</v>
      </c>
    </row>
    <row r="581" spans="1:14" x14ac:dyDescent="0.35">
      <c r="A581" s="11" t="s">
        <v>7</v>
      </c>
      <c r="B581" s="11" t="s">
        <v>836</v>
      </c>
      <c r="C581" s="11">
        <v>7</v>
      </c>
      <c r="D581" s="11">
        <v>2</v>
      </c>
      <c r="E581" s="11" t="s">
        <v>27</v>
      </c>
      <c r="F581" s="11" t="s">
        <v>169</v>
      </c>
      <c r="G581" s="12">
        <v>14.02</v>
      </c>
      <c r="H581" s="13">
        <v>96.619115549215408</v>
      </c>
      <c r="I581" s="11" t="s">
        <v>837</v>
      </c>
      <c r="J581" s="11" t="s">
        <v>30</v>
      </c>
      <c r="K581" s="7">
        <f>INDEX(Benchmark!$H$5:$H$807,MATCH(I581,Benchmark!$A$5:$A$807,0))</f>
        <v>126.6153283767038</v>
      </c>
      <c r="L581" s="14">
        <f t="shared" ref="L581:L644" si="9">H581/K581-1</f>
        <v>-0.23690822597911809</v>
      </c>
      <c r="M581" s="15">
        <f>IF(L581&gt;Benchmark!$B$2,1,IF(L581&lt;-Benchmark!$B$2,5,3))</f>
        <v>5</v>
      </c>
      <c r="N581" s="3" t="s">
        <v>31</v>
      </c>
    </row>
    <row r="582" spans="1:14" x14ac:dyDescent="0.35">
      <c r="A582" s="11" t="s">
        <v>7</v>
      </c>
      <c r="B582" s="11" t="s">
        <v>838</v>
      </c>
      <c r="C582" s="11">
        <v>7</v>
      </c>
      <c r="D582" s="11">
        <v>2</v>
      </c>
      <c r="E582" s="11" t="s">
        <v>27</v>
      </c>
      <c r="F582" s="11" t="s">
        <v>169</v>
      </c>
      <c r="G582" s="12">
        <v>6.91</v>
      </c>
      <c r="H582" s="13">
        <v>102.82344428364689</v>
      </c>
      <c r="I582" s="11" t="s">
        <v>837</v>
      </c>
      <c r="J582" s="11" t="s">
        <v>30</v>
      </c>
      <c r="K582" s="7">
        <f>INDEX(Benchmark!$H$5:$H$807,MATCH(I582,Benchmark!$A$5:$A$807,0))</f>
        <v>126.6153283767038</v>
      </c>
      <c r="L582" s="14">
        <f t="shared" si="9"/>
        <v>-0.18790682295805206</v>
      </c>
      <c r="M582" s="15">
        <f>IF(L582&gt;Benchmark!$B$2,1,IF(L582&lt;-Benchmark!$B$2,5,3))</f>
        <v>5</v>
      </c>
      <c r="N582" s="3" t="s">
        <v>31</v>
      </c>
    </row>
    <row r="583" spans="1:14" x14ac:dyDescent="0.35">
      <c r="A583" s="11" t="s">
        <v>7</v>
      </c>
      <c r="B583" s="11" t="s">
        <v>839</v>
      </c>
      <c r="C583" s="11">
        <v>7</v>
      </c>
      <c r="D583" s="11">
        <v>2</v>
      </c>
      <c r="E583" s="11" t="s">
        <v>88</v>
      </c>
      <c r="F583" s="11" t="s">
        <v>641</v>
      </c>
      <c r="G583" s="12">
        <v>10.57</v>
      </c>
      <c r="H583" s="13">
        <v>107.79848628193</v>
      </c>
      <c r="I583" s="11" t="s">
        <v>642</v>
      </c>
      <c r="J583" s="11" t="s">
        <v>30</v>
      </c>
      <c r="K583" s="7">
        <f>INDEX(Benchmark!$H$5:$H$807,MATCH(I583,Benchmark!$A$5:$A$807,0))</f>
        <v>123.2903898635478</v>
      </c>
      <c r="L583" s="14">
        <f t="shared" si="9"/>
        <v>-0.12565378046710318</v>
      </c>
      <c r="M583" s="15">
        <f>IF(L583&gt;Benchmark!$B$2,1,IF(L583&lt;-Benchmark!$B$2,5,3))</f>
        <v>5</v>
      </c>
      <c r="N583" s="3" t="s">
        <v>31</v>
      </c>
    </row>
    <row r="584" spans="1:14" x14ac:dyDescent="0.35">
      <c r="A584" s="11" t="s">
        <v>7</v>
      </c>
      <c r="B584" s="11" t="s">
        <v>840</v>
      </c>
      <c r="C584" s="11">
        <v>7</v>
      </c>
      <c r="D584" s="11">
        <v>11</v>
      </c>
      <c r="E584" s="11" t="s">
        <v>198</v>
      </c>
      <c r="F584" s="11" t="s">
        <v>641</v>
      </c>
      <c r="G584" s="12">
        <v>19.25</v>
      </c>
      <c r="H584" s="13">
        <v>110.8088311688312</v>
      </c>
      <c r="I584" s="11" t="s">
        <v>841</v>
      </c>
      <c r="J584" s="11" t="s">
        <v>30</v>
      </c>
      <c r="K584" s="7">
        <f>INDEX(Benchmark!$H$5:$H$807,MATCH(I584,Benchmark!$A$5:$A$807,0))</f>
        <v>125.8558441558442</v>
      </c>
      <c r="L584" s="14">
        <f t="shared" si="9"/>
        <v>-0.11955752303707601</v>
      </c>
      <c r="M584" s="15">
        <f>IF(L584&gt;Benchmark!$B$2,1,IF(L584&lt;-Benchmark!$B$2,5,3))</f>
        <v>5</v>
      </c>
      <c r="N584" s="3" t="s">
        <v>31</v>
      </c>
    </row>
    <row r="585" spans="1:14" x14ac:dyDescent="0.35">
      <c r="A585" s="11" t="s">
        <v>7</v>
      </c>
      <c r="B585" s="11" t="s">
        <v>842</v>
      </c>
      <c r="C585" s="11">
        <v>7</v>
      </c>
      <c r="D585" s="11">
        <v>5</v>
      </c>
      <c r="E585" s="11" t="s">
        <v>88</v>
      </c>
      <c r="F585" s="11" t="s">
        <v>39</v>
      </c>
      <c r="G585" s="12">
        <v>7.97</v>
      </c>
      <c r="H585" s="13">
        <v>91.974905897114184</v>
      </c>
      <c r="I585" s="11" t="s">
        <v>843</v>
      </c>
      <c r="J585" s="11" t="s">
        <v>30</v>
      </c>
      <c r="K585" s="7">
        <f>INDEX(Benchmark!$H$5:$H$807,MATCH(I585,Benchmark!$A$5:$A$807,0))</f>
        <v>112.2801766437684</v>
      </c>
      <c r="L585" s="14">
        <f t="shared" si="9"/>
        <v>-0.18084466335564109</v>
      </c>
      <c r="M585" s="15">
        <f>IF(L585&gt;Benchmark!$B$2,1,IF(L585&lt;-Benchmark!$B$2,5,3))</f>
        <v>5</v>
      </c>
      <c r="N585" s="3" t="s">
        <v>31</v>
      </c>
    </row>
    <row r="586" spans="1:14" x14ac:dyDescent="0.35">
      <c r="A586" s="11" t="s">
        <v>7</v>
      </c>
      <c r="B586" s="11" t="s">
        <v>844</v>
      </c>
      <c r="C586" s="11">
        <v>7</v>
      </c>
      <c r="D586" s="11">
        <v>5</v>
      </c>
      <c r="E586" s="11" t="s">
        <v>198</v>
      </c>
      <c r="F586" s="11" t="s">
        <v>667</v>
      </c>
      <c r="G586" s="12">
        <v>5.18</v>
      </c>
      <c r="H586" s="13">
        <v>76.181467181467184</v>
      </c>
      <c r="I586" s="11" t="s">
        <v>845</v>
      </c>
      <c r="J586" s="11" t="s">
        <v>30</v>
      </c>
      <c r="K586" s="7">
        <f>INDEX(Benchmark!$H$5:$H$807,MATCH(I586,Benchmark!$A$5:$A$807,0))</f>
        <v>122.54196228984689</v>
      </c>
      <c r="L586" s="14">
        <f t="shared" si="9"/>
        <v>-0.37832342686600562</v>
      </c>
      <c r="M586" s="15">
        <f>IF(L586&gt;Benchmark!$B$2,1,IF(L586&lt;-Benchmark!$B$2,5,3))</f>
        <v>5</v>
      </c>
      <c r="N586" s="3" t="s">
        <v>31</v>
      </c>
    </row>
    <row r="587" spans="1:14" x14ac:dyDescent="0.35">
      <c r="A587" s="11" t="s">
        <v>7</v>
      </c>
      <c r="B587" s="11" t="s">
        <v>846</v>
      </c>
      <c r="C587" s="11">
        <v>7</v>
      </c>
      <c r="D587" s="11">
        <v>2</v>
      </c>
      <c r="E587" s="11" t="s">
        <v>104</v>
      </c>
      <c r="F587" s="11" t="s">
        <v>670</v>
      </c>
      <c r="G587" s="12">
        <v>20.170000000000002</v>
      </c>
      <c r="H587" s="13">
        <v>140.50470996529501</v>
      </c>
      <c r="I587" s="11" t="s">
        <v>671</v>
      </c>
      <c r="J587" s="11" t="s">
        <v>30</v>
      </c>
      <c r="K587" s="7">
        <f>INDEX(Benchmark!$H$5:$H$807,MATCH(I587,Benchmark!$A$5:$A$807,0))</f>
        <v>109.35250371839361</v>
      </c>
      <c r="L587" s="14">
        <f t="shared" si="9"/>
        <v>0.28487876534702017</v>
      </c>
      <c r="M587" s="16">
        <f>IF(L587&gt;Benchmark!$B$2,1,IF(L587&lt;-Benchmark!$B$2,5,3))</f>
        <v>1</v>
      </c>
      <c r="N587" s="3" t="s">
        <v>31</v>
      </c>
    </row>
    <row r="588" spans="1:14" x14ac:dyDescent="0.35">
      <c r="A588" s="11" t="s">
        <v>7</v>
      </c>
      <c r="B588" s="11" t="s">
        <v>847</v>
      </c>
      <c r="C588" s="11">
        <v>7</v>
      </c>
      <c r="D588" s="11">
        <v>2</v>
      </c>
      <c r="E588" s="11" t="s">
        <v>78</v>
      </c>
      <c r="F588" s="11" t="s">
        <v>667</v>
      </c>
      <c r="G588" s="12">
        <v>8.9700000000000006</v>
      </c>
      <c r="H588" s="13">
        <v>94.265328874024519</v>
      </c>
      <c r="I588" s="11" t="s">
        <v>767</v>
      </c>
      <c r="J588" s="11" t="s">
        <v>614</v>
      </c>
      <c r="K588" s="7">
        <f>INDEX(Benchmark!$H$5:$H$807,MATCH(I588,Benchmark!$A$5:$A$807,0))</f>
        <v>121.2098238120662</v>
      </c>
      <c r="L588" s="14">
        <f t="shared" si="9"/>
        <v>-0.22229629654291616</v>
      </c>
      <c r="M588" s="15">
        <f>IF(L588&gt;Benchmark!$B$2,1,IF(L588&lt;-Benchmark!$B$2,5,3))</f>
        <v>5</v>
      </c>
      <c r="N588" s="3" t="s">
        <v>31</v>
      </c>
    </row>
    <row r="589" spans="1:14" x14ac:dyDescent="0.35">
      <c r="A589" s="11" t="s">
        <v>7</v>
      </c>
      <c r="B589" s="11" t="s">
        <v>848</v>
      </c>
      <c r="C589" s="11">
        <v>7</v>
      </c>
      <c r="D589" s="11">
        <v>9</v>
      </c>
      <c r="E589" s="11" t="s">
        <v>198</v>
      </c>
      <c r="F589" s="11" t="s">
        <v>667</v>
      </c>
      <c r="G589" s="12">
        <v>8.94</v>
      </c>
      <c r="H589" s="13">
        <v>119.3255033557047</v>
      </c>
      <c r="I589" s="11" t="s">
        <v>845</v>
      </c>
      <c r="J589" s="11" t="s">
        <v>30</v>
      </c>
      <c r="K589" s="7">
        <f>INDEX(Benchmark!$H$5:$H$807,MATCH(I589,Benchmark!$A$5:$A$807,0))</f>
        <v>122.54196228984689</v>
      </c>
      <c r="L589" s="14">
        <f t="shared" si="9"/>
        <v>-2.6247816454369688E-2</v>
      </c>
      <c r="M589" s="17">
        <f>IF(L589&gt;Benchmark!$B$2,1,IF(L589&lt;-Benchmark!$B$2,5,3))</f>
        <v>3</v>
      </c>
      <c r="N589" s="3" t="s">
        <v>31</v>
      </c>
    </row>
    <row r="590" spans="1:14" x14ac:dyDescent="0.35">
      <c r="A590" s="11" t="s">
        <v>7</v>
      </c>
      <c r="B590" s="11" t="s">
        <v>849</v>
      </c>
      <c r="C590" s="11">
        <v>7</v>
      </c>
      <c r="D590" s="11">
        <v>2</v>
      </c>
      <c r="E590" s="11" t="s">
        <v>78</v>
      </c>
      <c r="F590" s="11" t="s">
        <v>670</v>
      </c>
      <c r="G590" s="12">
        <v>8.9700000000000006</v>
      </c>
      <c r="H590" s="13">
        <v>88.994425863991069</v>
      </c>
      <c r="I590" s="11" t="s">
        <v>786</v>
      </c>
      <c r="J590" s="11" t="s">
        <v>614</v>
      </c>
      <c r="K590" s="7">
        <f>INDEX(Benchmark!$H$5:$H$807,MATCH(I590,Benchmark!$A$5:$A$807,0))</f>
        <v>113</v>
      </c>
      <c r="L590" s="14">
        <f t="shared" si="9"/>
        <v>-0.21243870916822061</v>
      </c>
      <c r="M590" s="15">
        <f>IF(L590&gt;Benchmark!$B$2,1,IF(L590&lt;-Benchmark!$B$2,5,3))</f>
        <v>5</v>
      </c>
      <c r="N590" s="3" t="s">
        <v>31</v>
      </c>
    </row>
    <row r="591" spans="1:14" x14ac:dyDescent="0.35">
      <c r="A591" s="11" t="s">
        <v>7</v>
      </c>
      <c r="B591" s="11" t="s">
        <v>850</v>
      </c>
      <c r="C591" s="11">
        <v>7</v>
      </c>
      <c r="D591" s="11">
        <v>4</v>
      </c>
      <c r="E591" s="11" t="s">
        <v>156</v>
      </c>
      <c r="F591" s="11" t="s">
        <v>670</v>
      </c>
      <c r="G591" s="12">
        <v>6.74</v>
      </c>
      <c r="H591" s="13">
        <v>100.14836795252219</v>
      </c>
      <c r="I591" s="11" t="s">
        <v>851</v>
      </c>
      <c r="J591" s="11" t="s">
        <v>30</v>
      </c>
      <c r="K591" s="7">
        <f>INDEX(Benchmark!$H$5:$H$807,MATCH(I591,Benchmark!$A$5:$A$807,0))</f>
        <v>96.118439716312054</v>
      </c>
      <c r="L591" s="14">
        <f t="shared" si="9"/>
        <v>4.1926692194590665E-2</v>
      </c>
      <c r="M591" s="17">
        <f>IF(L591&gt;Benchmark!$B$2,1,IF(L591&lt;-Benchmark!$B$2,5,3))</f>
        <v>3</v>
      </c>
      <c r="N591" s="3" t="s">
        <v>31</v>
      </c>
    </row>
    <row r="592" spans="1:14" x14ac:dyDescent="0.35">
      <c r="A592" s="11" t="s">
        <v>7</v>
      </c>
      <c r="B592" s="11" t="s">
        <v>852</v>
      </c>
      <c r="C592" s="11">
        <v>7</v>
      </c>
      <c r="D592" s="11">
        <v>10</v>
      </c>
      <c r="E592" s="11" t="s">
        <v>692</v>
      </c>
      <c r="F592" s="11" t="s">
        <v>667</v>
      </c>
      <c r="G592" s="12">
        <v>7.92</v>
      </c>
      <c r="H592" s="13">
        <v>104.29671717171721</v>
      </c>
      <c r="I592" s="11" t="s">
        <v>853</v>
      </c>
      <c r="J592" s="11" t="s">
        <v>30</v>
      </c>
      <c r="K592" s="7">
        <f>INDEX(Benchmark!$H$5:$H$807,MATCH(I592,Benchmark!$A$5:$A$807,0))</f>
        <v>150.18691588785049</v>
      </c>
      <c r="L592" s="14">
        <f t="shared" si="9"/>
        <v>-0.30555390557724083</v>
      </c>
      <c r="M592" s="15">
        <f>IF(L592&gt;Benchmark!$B$2,1,IF(L592&lt;-Benchmark!$B$2,5,3))</f>
        <v>5</v>
      </c>
      <c r="N592" s="3" t="s">
        <v>31</v>
      </c>
    </row>
    <row r="593" spans="1:14" x14ac:dyDescent="0.35">
      <c r="A593" s="11" t="s">
        <v>7</v>
      </c>
      <c r="B593" s="11" t="s">
        <v>854</v>
      </c>
      <c r="C593" s="11">
        <v>7</v>
      </c>
      <c r="D593" s="11">
        <v>2</v>
      </c>
      <c r="E593" s="11" t="s">
        <v>27</v>
      </c>
      <c r="F593" s="11" t="s">
        <v>667</v>
      </c>
      <c r="G593" s="12">
        <v>7.72</v>
      </c>
      <c r="H593" s="13">
        <v>99.549222797927456</v>
      </c>
      <c r="I593" s="11" t="s">
        <v>744</v>
      </c>
      <c r="J593" s="11" t="s">
        <v>30</v>
      </c>
      <c r="K593" s="7">
        <f>INDEX(Benchmark!$H$5:$H$807,MATCH(I593,Benchmark!$A$5:$A$807,0))</f>
        <v>144.8510362694301</v>
      </c>
      <c r="L593" s="14">
        <f t="shared" si="9"/>
        <v>-0.31274759669125896</v>
      </c>
      <c r="M593" s="15">
        <f>IF(L593&gt;Benchmark!$B$2,1,IF(L593&lt;-Benchmark!$B$2,5,3))</f>
        <v>5</v>
      </c>
      <c r="N593" s="3" t="s">
        <v>31</v>
      </c>
    </row>
    <row r="594" spans="1:14" x14ac:dyDescent="0.35">
      <c r="A594" s="11" t="s">
        <v>7</v>
      </c>
      <c r="B594" s="11" t="s">
        <v>855</v>
      </c>
      <c r="C594" s="11">
        <v>7</v>
      </c>
      <c r="D594" s="11">
        <v>2</v>
      </c>
      <c r="E594" s="11" t="s">
        <v>27</v>
      </c>
      <c r="F594" s="11" t="s">
        <v>670</v>
      </c>
      <c r="G594" s="12">
        <v>10.74</v>
      </c>
      <c r="H594" s="13">
        <v>119.4869646182495</v>
      </c>
      <c r="I594" s="11" t="s">
        <v>676</v>
      </c>
      <c r="J594" s="11" t="s">
        <v>30</v>
      </c>
      <c r="K594" s="7">
        <f>INDEX(Benchmark!$H$5:$H$807,MATCH(I594,Benchmark!$A$5:$A$807,0))</f>
        <v>134.7709190672154</v>
      </c>
      <c r="L594" s="14">
        <f t="shared" si="9"/>
        <v>-0.11340691712091988</v>
      </c>
      <c r="M594" s="15">
        <f>IF(L594&gt;Benchmark!$B$2,1,IF(L594&lt;-Benchmark!$B$2,5,3))</f>
        <v>5</v>
      </c>
      <c r="N594" s="3" t="s">
        <v>31</v>
      </c>
    </row>
    <row r="595" spans="1:14" x14ac:dyDescent="0.35">
      <c r="A595" s="11" t="s">
        <v>7</v>
      </c>
      <c r="B595" s="11" t="s">
        <v>856</v>
      </c>
      <c r="C595" s="11">
        <v>7</v>
      </c>
      <c r="D595" s="11">
        <v>6</v>
      </c>
      <c r="E595" s="11" t="s">
        <v>156</v>
      </c>
      <c r="F595" s="11" t="s">
        <v>633</v>
      </c>
      <c r="G595" s="12">
        <v>9.02</v>
      </c>
      <c r="H595" s="13">
        <v>98.574279379157431</v>
      </c>
      <c r="I595" s="11" t="s">
        <v>721</v>
      </c>
      <c r="J595" s="11" t="s">
        <v>30</v>
      </c>
      <c r="K595" s="7">
        <f>INDEX(Benchmark!$H$5:$H$807,MATCH(I595,Benchmark!$A$5:$A$807,0))</f>
        <v>109.79014598540149</v>
      </c>
      <c r="L595" s="14">
        <f t="shared" si="9"/>
        <v>-0.10215731571880238</v>
      </c>
      <c r="M595" s="15">
        <f>IF(L595&gt;Benchmark!$B$2,1,IF(L595&lt;-Benchmark!$B$2,5,3))</f>
        <v>5</v>
      </c>
      <c r="N595" s="3" t="s">
        <v>31</v>
      </c>
    </row>
    <row r="596" spans="1:14" x14ac:dyDescent="0.35">
      <c r="A596" s="11" t="s">
        <v>7</v>
      </c>
      <c r="B596" s="11" t="s">
        <v>857</v>
      </c>
      <c r="C596" s="11">
        <v>7</v>
      </c>
      <c r="D596" s="11">
        <v>6</v>
      </c>
      <c r="E596" s="11" t="s">
        <v>156</v>
      </c>
      <c r="F596" s="11" t="s">
        <v>633</v>
      </c>
      <c r="G596" s="12">
        <v>8.2799999999999994</v>
      </c>
      <c r="H596" s="13">
        <v>100.01690821256039</v>
      </c>
      <c r="I596" s="11" t="s">
        <v>721</v>
      </c>
      <c r="J596" s="11" t="s">
        <v>30</v>
      </c>
      <c r="K596" s="7">
        <f>INDEX(Benchmark!$H$5:$H$807,MATCH(I596,Benchmark!$A$5:$A$807,0))</f>
        <v>109.79014598540149</v>
      </c>
      <c r="L596" s="14">
        <f t="shared" si="9"/>
        <v>-8.9017440364280276E-2</v>
      </c>
      <c r="M596" s="15">
        <f>IF(L596&gt;Benchmark!$B$2,1,IF(L596&lt;-Benchmark!$B$2,5,3))</f>
        <v>5</v>
      </c>
      <c r="N596" s="3" t="s">
        <v>31</v>
      </c>
    </row>
    <row r="597" spans="1:14" x14ac:dyDescent="0.35">
      <c r="A597" s="11" t="s">
        <v>7</v>
      </c>
      <c r="B597" s="11" t="s">
        <v>858</v>
      </c>
      <c r="C597" s="11">
        <v>7</v>
      </c>
      <c r="D597" s="11">
        <v>6</v>
      </c>
      <c r="E597" s="11" t="s">
        <v>156</v>
      </c>
      <c r="F597" s="11" t="s">
        <v>633</v>
      </c>
      <c r="G597" s="12">
        <v>7.97</v>
      </c>
      <c r="H597" s="13">
        <v>93.422835633626107</v>
      </c>
      <c r="I597" s="11" t="s">
        <v>721</v>
      </c>
      <c r="J597" s="11" t="s">
        <v>30</v>
      </c>
      <c r="K597" s="7">
        <f>INDEX(Benchmark!$H$5:$H$807,MATCH(I597,Benchmark!$A$5:$A$807,0))</f>
        <v>109.79014598540149</v>
      </c>
      <c r="L597" s="14">
        <f t="shared" si="9"/>
        <v>-0.14907813633795242</v>
      </c>
      <c r="M597" s="15">
        <f>IF(L597&gt;Benchmark!$B$2,1,IF(L597&lt;-Benchmark!$B$2,5,3))</f>
        <v>5</v>
      </c>
      <c r="N597" s="3" t="s">
        <v>31</v>
      </c>
    </row>
    <row r="598" spans="1:14" x14ac:dyDescent="0.35">
      <c r="A598" s="11" t="s">
        <v>7</v>
      </c>
      <c r="B598" s="11" t="s">
        <v>859</v>
      </c>
      <c r="C598" s="11">
        <v>7</v>
      </c>
      <c r="D598" s="11">
        <v>12</v>
      </c>
      <c r="E598" s="11" t="s">
        <v>198</v>
      </c>
      <c r="F598" s="11" t="s">
        <v>667</v>
      </c>
      <c r="G598" s="12">
        <v>11.44</v>
      </c>
      <c r="H598" s="13">
        <v>105.88548951048951</v>
      </c>
      <c r="I598" s="11" t="s">
        <v>845</v>
      </c>
      <c r="J598" s="11" t="s">
        <v>30</v>
      </c>
      <c r="K598" s="7">
        <f>INDEX(Benchmark!$H$5:$H$807,MATCH(I598,Benchmark!$A$5:$A$807,0))</f>
        <v>122.54196228984689</v>
      </c>
      <c r="L598" s="14">
        <f t="shared" si="9"/>
        <v>-0.13592464546928051</v>
      </c>
      <c r="M598" s="15">
        <f>IF(L598&gt;Benchmark!$B$2,1,IF(L598&lt;-Benchmark!$B$2,5,3))</f>
        <v>5</v>
      </c>
      <c r="N598" s="3" t="s">
        <v>31</v>
      </c>
    </row>
    <row r="599" spans="1:14" x14ac:dyDescent="0.35">
      <c r="A599" s="11" t="s">
        <v>7</v>
      </c>
      <c r="B599" s="11" t="s">
        <v>860</v>
      </c>
      <c r="C599" s="11">
        <v>7</v>
      </c>
      <c r="D599" s="11">
        <v>9</v>
      </c>
      <c r="E599" s="11" t="s">
        <v>237</v>
      </c>
      <c r="F599" s="11" t="s">
        <v>169</v>
      </c>
      <c r="G599" s="12">
        <v>4.74</v>
      </c>
      <c r="H599" s="13">
        <v>99.816455696202524</v>
      </c>
      <c r="I599" s="11" t="s">
        <v>861</v>
      </c>
      <c r="J599" s="11" t="s">
        <v>30</v>
      </c>
      <c r="K599" s="7">
        <f>INDEX(Benchmark!$H$5:$H$807,MATCH(I599,Benchmark!$A$5:$A$807,0))</f>
        <v>113.8027426160338</v>
      </c>
      <c r="L599" s="14">
        <f t="shared" si="9"/>
        <v>-0.12289938360291086</v>
      </c>
      <c r="M599" s="15">
        <f>IF(L599&gt;Benchmark!$B$2,1,IF(L599&lt;-Benchmark!$B$2,5,3))</f>
        <v>5</v>
      </c>
      <c r="N599" s="3" t="s">
        <v>31</v>
      </c>
    </row>
    <row r="600" spans="1:14" x14ac:dyDescent="0.35">
      <c r="A600" s="11" t="s">
        <v>7</v>
      </c>
      <c r="B600" s="11" t="s">
        <v>862</v>
      </c>
      <c r="C600" s="11">
        <v>7</v>
      </c>
      <c r="D600" s="11">
        <v>1</v>
      </c>
      <c r="E600" s="11" t="s">
        <v>78</v>
      </c>
      <c r="F600" s="11" t="s">
        <v>169</v>
      </c>
      <c r="G600" s="12">
        <v>4.66</v>
      </c>
      <c r="H600" s="13">
        <v>121.8326180257511</v>
      </c>
      <c r="I600" s="11" t="s">
        <v>660</v>
      </c>
      <c r="J600" s="11" t="s">
        <v>614</v>
      </c>
      <c r="K600" s="7">
        <f>INDEX(Benchmark!$H$5:$H$807,MATCH(I600,Benchmark!$A$5:$A$807,0))</f>
        <v>115.9810650887574</v>
      </c>
      <c r="L600" s="14">
        <f t="shared" si="9"/>
        <v>5.045265735847182E-2</v>
      </c>
      <c r="M600" s="16">
        <f>IF(L600&gt;Benchmark!$B$2,1,IF(L600&lt;-Benchmark!$B$2,5,3))</f>
        <v>1</v>
      </c>
      <c r="N600" s="3" t="s">
        <v>31</v>
      </c>
    </row>
    <row r="601" spans="1:14" x14ac:dyDescent="0.35">
      <c r="A601" s="11" t="s">
        <v>7</v>
      </c>
      <c r="B601" s="11" t="s">
        <v>863</v>
      </c>
      <c r="C601" s="11">
        <v>7</v>
      </c>
      <c r="D601" s="11">
        <v>3</v>
      </c>
      <c r="E601" s="11" t="s">
        <v>104</v>
      </c>
      <c r="F601" s="11" t="s">
        <v>633</v>
      </c>
      <c r="G601" s="12">
        <v>4.07</v>
      </c>
      <c r="H601" s="13">
        <v>104.76904176904181</v>
      </c>
      <c r="I601" s="11" t="s">
        <v>700</v>
      </c>
      <c r="J601" s="11" t="s">
        <v>30</v>
      </c>
      <c r="K601" s="7">
        <f>INDEX(Benchmark!$H$5:$H$807,MATCH(I601,Benchmark!$A$5:$A$807,0))</f>
        <v>114.9706913557601</v>
      </c>
      <c r="L601" s="14">
        <f t="shared" si="9"/>
        <v>-8.8732610602042628E-2</v>
      </c>
      <c r="M601" s="15">
        <f>IF(L601&gt;Benchmark!$B$2,1,IF(L601&lt;-Benchmark!$B$2,5,3))</f>
        <v>5</v>
      </c>
      <c r="N601" s="3" t="s">
        <v>31</v>
      </c>
    </row>
    <row r="602" spans="1:14" x14ac:dyDescent="0.35">
      <c r="A602" s="11" t="s">
        <v>7</v>
      </c>
      <c r="B602" s="11" t="s">
        <v>864</v>
      </c>
      <c r="C602" s="11">
        <v>7</v>
      </c>
      <c r="D602" s="11">
        <v>7</v>
      </c>
      <c r="E602" s="11" t="s">
        <v>666</v>
      </c>
      <c r="F602" s="11" t="s">
        <v>364</v>
      </c>
      <c r="G602" s="12">
        <v>20.22</v>
      </c>
      <c r="H602" s="13">
        <v>94.486152324431259</v>
      </c>
      <c r="I602" s="11" t="s">
        <v>865</v>
      </c>
      <c r="J602" s="11" t="s">
        <v>30</v>
      </c>
      <c r="K602" s="7">
        <f>INDEX(Benchmark!$H$5:$H$807,MATCH(I602,Benchmark!$A$5:$A$807,0))</f>
        <v>124.3893175074184</v>
      </c>
      <c r="L602" s="14">
        <f t="shared" si="9"/>
        <v>-0.24039978498317394</v>
      </c>
      <c r="M602" s="15">
        <f>IF(L602&gt;Benchmark!$B$2,1,IF(L602&lt;-Benchmark!$B$2,5,3))</f>
        <v>5</v>
      </c>
      <c r="N602" s="3" t="s">
        <v>31</v>
      </c>
    </row>
    <row r="603" spans="1:14" x14ac:dyDescent="0.35">
      <c r="A603" s="11" t="s">
        <v>7</v>
      </c>
      <c r="B603" s="11" t="s">
        <v>866</v>
      </c>
      <c r="C603" s="11">
        <v>7</v>
      </c>
      <c r="D603" s="11">
        <v>6</v>
      </c>
      <c r="E603" s="11" t="s">
        <v>156</v>
      </c>
      <c r="F603" s="11" t="s">
        <v>641</v>
      </c>
      <c r="G603" s="12">
        <v>17.72</v>
      </c>
      <c r="H603" s="13">
        <v>102.5423250564334</v>
      </c>
      <c r="I603" s="11" t="s">
        <v>867</v>
      </c>
      <c r="J603" s="11" t="s">
        <v>30</v>
      </c>
      <c r="K603" s="7">
        <f>INDEX(Benchmark!$H$5:$H$807,MATCH(I603,Benchmark!$A$5:$A$807,0))</f>
        <v>117.07890000610089</v>
      </c>
      <c r="L603" s="14">
        <f t="shared" si="9"/>
        <v>-0.12416050158406</v>
      </c>
      <c r="M603" s="15">
        <f>IF(L603&gt;Benchmark!$B$2,1,IF(L603&lt;-Benchmark!$B$2,5,3))</f>
        <v>5</v>
      </c>
      <c r="N603" s="3" t="s">
        <v>31</v>
      </c>
    </row>
    <row r="604" spans="1:14" x14ac:dyDescent="0.35">
      <c r="A604" s="11" t="s">
        <v>7</v>
      </c>
      <c r="B604" s="11" t="s">
        <v>868</v>
      </c>
      <c r="C604" s="11">
        <v>7</v>
      </c>
      <c r="D604" s="11">
        <v>2</v>
      </c>
      <c r="E604" s="11" t="s">
        <v>27</v>
      </c>
      <c r="F604" s="11" t="s">
        <v>364</v>
      </c>
      <c r="G604" s="12">
        <v>9.94</v>
      </c>
      <c r="H604" s="13">
        <v>117.5261569416499</v>
      </c>
      <c r="I604" s="11" t="s">
        <v>773</v>
      </c>
      <c r="J604" s="11" t="s">
        <v>30</v>
      </c>
      <c r="K604" s="7">
        <f>INDEX(Benchmark!$H$5:$H$807,MATCH(I604,Benchmark!$A$5:$A$807,0))</f>
        <v>122.69387755102041</v>
      </c>
      <c r="L604" s="14">
        <f t="shared" si="9"/>
        <v>-4.2118814015162154E-2</v>
      </c>
      <c r="M604" s="17">
        <f>IF(L604&gt;Benchmark!$B$2,1,IF(L604&lt;-Benchmark!$B$2,5,3))</f>
        <v>3</v>
      </c>
      <c r="N604" s="3" t="s">
        <v>31</v>
      </c>
    </row>
    <row r="605" spans="1:14" x14ac:dyDescent="0.35">
      <c r="A605" s="11" t="s">
        <v>7</v>
      </c>
      <c r="B605" s="11" t="s">
        <v>869</v>
      </c>
      <c r="C605" s="11">
        <v>7</v>
      </c>
      <c r="D605" s="11">
        <v>4</v>
      </c>
      <c r="E605" s="11" t="s">
        <v>88</v>
      </c>
      <c r="F605" s="11" t="s">
        <v>364</v>
      </c>
      <c r="G605" s="12">
        <v>1.97</v>
      </c>
      <c r="H605" s="13">
        <v>114.4619289340102</v>
      </c>
      <c r="I605" s="11" t="s">
        <v>685</v>
      </c>
      <c r="J605" s="11" t="s">
        <v>30</v>
      </c>
      <c r="K605" s="7">
        <f>INDEX(Benchmark!$H$5:$H$807,MATCH(I605,Benchmark!$A$5:$A$807,0))</f>
        <v>112.44941252144081</v>
      </c>
      <c r="L605" s="14">
        <f t="shared" si="9"/>
        <v>1.7897082496412864E-2</v>
      </c>
      <c r="M605" s="17">
        <f>IF(L605&gt;Benchmark!$B$2,1,IF(L605&lt;-Benchmark!$B$2,5,3))</f>
        <v>3</v>
      </c>
      <c r="N605" s="3" t="s">
        <v>31</v>
      </c>
    </row>
    <row r="606" spans="1:14" x14ac:dyDescent="0.35">
      <c r="A606" s="11" t="s">
        <v>7</v>
      </c>
      <c r="B606" s="11" t="s">
        <v>870</v>
      </c>
      <c r="C606" s="11">
        <v>7</v>
      </c>
      <c r="D606" s="11">
        <v>2</v>
      </c>
      <c r="E606" s="11" t="s">
        <v>27</v>
      </c>
      <c r="F606" s="11" t="s">
        <v>633</v>
      </c>
      <c r="G606" s="12">
        <v>11.73</v>
      </c>
      <c r="H606" s="13">
        <v>125.5899403239557</v>
      </c>
      <c r="I606" s="11" t="s">
        <v>658</v>
      </c>
      <c r="J606" s="11" t="s">
        <v>30</v>
      </c>
      <c r="K606" s="7">
        <f>INDEX(Benchmark!$H$5:$H$807,MATCH(I606,Benchmark!$A$5:$A$807,0))</f>
        <v>128.387190909645</v>
      </c>
      <c r="L606" s="14">
        <f t="shared" si="9"/>
        <v>-2.1787614215018625E-2</v>
      </c>
      <c r="M606" s="17">
        <f>IF(L606&gt;Benchmark!$B$2,1,IF(L606&lt;-Benchmark!$B$2,5,3))</f>
        <v>3</v>
      </c>
      <c r="N606" s="3" t="s">
        <v>31</v>
      </c>
    </row>
    <row r="607" spans="1:14" x14ac:dyDescent="0.35">
      <c r="A607" s="11" t="s">
        <v>7</v>
      </c>
      <c r="B607" s="11" t="s">
        <v>871</v>
      </c>
      <c r="C607" s="11">
        <v>7</v>
      </c>
      <c r="D607" s="11">
        <v>4</v>
      </c>
      <c r="E607" s="11" t="s">
        <v>104</v>
      </c>
      <c r="F607" s="11" t="s">
        <v>633</v>
      </c>
      <c r="G607" s="12">
        <v>5.97</v>
      </c>
      <c r="H607" s="13">
        <v>109.01842546063649</v>
      </c>
      <c r="I607" s="11" t="s">
        <v>700</v>
      </c>
      <c r="J607" s="11" t="s">
        <v>30</v>
      </c>
      <c r="K607" s="7">
        <f>INDEX(Benchmark!$H$5:$H$807,MATCH(I607,Benchmark!$A$5:$A$807,0))</f>
        <v>114.9706913557601</v>
      </c>
      <c r="L607" s="14">
        <f t="shared" si="9"/>
        <v>-5.1772028374650558E-2</v>
      </c>
      <c r="M607" s="15">
        <f>IF(L607&gt;Benchmark!$B$2,1,IF(L607&lt;-Benchmark!$B$2,5,3))</f>
        <v>5</v>
      </c>
      <c r="N607" s="3" t="s">
        <v>31</v>
      </c>
    </row>
    <row r="608" spans="1:14" x14ac:dyDescent="0.35">
      <c r="A608" s="11" t="s">
        <v>7</v>
      </c>
      <c r="B608" s="11" t="s">
        <v>872</v>
      </c>
      <c r="C608" s="11">
        <v>7</v>
      </c>
      <c r="D608" s="11">
        <v>2</v>
      </c>
      <c r="E608" s="11" t="s">
        <v>27</v>
      </c>
      <c r="F608" s="11" t="s">
        <v>633</v>
      </c>
      <c r="G608" s="12">
        <v>16.329999999999998</v>
      </c>
      <c r="H608" s="13">
        <v>116.3619105939988</v>
      </c>
      <c r="I608" s="11" t="s">
        <v>658</v>
      </c>
      <c r="J608" s="11" t="s">
        <v>30</v>
      </c>
      <c r="K608" s="7">
        <f>INDEX(Benchmark!$H$5:$H$807,MATCH(I608,Benchmark!$A$5:$A$807,0))</f>
        <v>128.387190909645</v>
      </c>
      <c r="L608" s="14">
        <f t="shared" si="9"/>
        <v>-9.3664174988525306E-2</v>
      </c>
      <c r="M608" s="15">
        <f>IF(L608&gt;Benchmark!$B$2,1,IF(L608&lt;-Benchmark!$B$2,5,3))</f>
        <v>5</v>
      </c>
      <c r="N608" s="3" t="s">
        <v>31</v>
      </c>
    </row>
    <row r="609" spans="1:14" x14ac:dyDescent="0.35">
      <c r="A609" s="11" t="s">
        <v>7</v>
      </c>
      <c r="B609" s="11" t="s">
        <v>873</v>
      </c>
      <c r="C609" s="11">
        <v>7</v>
      </c>
      <c r="D609" s="11">
        <v>2</v>
      </c>
      <c r="E609" s="11" t="s">
        <v>88</v>
      </c>
      <c r="F609" s="11" t="s">
        <v>633</v>
      </c>
      <c r="G609" s="12">
        <v>16.170000000000002</v>
      </c>
      <c r="H609" s="13">
        <v>111.9387755102041</v>
      </c>
      <c r="I609" s="11" t="s">
        <v>644</v>
      </c>
      <c r="J609" s="11" t="s">
        <v>30</v>
      </c>
      <c r="K609" s="7">
        <f>INDEX(Benchmark!$H$5:$H$807,MATCH(I609,Benchmark!$A$5:$A$807,0))</f>
        <v>108.726573100639</v>
      </c>
      <c r="L609" s="14">
        <f t="shared" si="9"/>
        <v>2.9543857752159841E-2</v>
      </c>
      <c r="M609" s="17">
        <f>IF(L609&gt;Benchmark!$B$2,1,IF(L609&lt;-Benchmark!$B$2,5,3))</f>
        <v>3</v>
      </c>
      <c r="N609" s="3" t="s">
        <v>31</v>
      </c>
    </row>
    <row r="610" spans="1:14" x14ac:dyDescent="0.35">
      <c r="A610" s="11" t="s">
        <v>7</v>
      </c>
      <c r="B610" s="11" t="s">
        <v>874</v>
      </c>
      <c r="C610" s="11">
        <v>7</v>
      </c>
      <c r="D610" s="11">
        <v>5</v>
      </c>
      <c r="E610" s="11" t="s">
        <v>88</v>
      </c>
      <c r="F610" s="11" t="s">
        <v>364</v>
      </c>
      <c r="G610" s="12">
        <v>12.99</v>
      </c>
      <c r="H610" s="13">
        <v>86.294842186297146</v>
      </c>
      <c r="I610" s="11" t="s">
        <v>685</v>
      </c>
      <c r="J610" s="11" t="s">
        <v>30</v>
      </c>
      <c r="K610" s="7">
        <f>INDEX(Benchmark!$H$5:$H$807,MATCH(I610,Benchmark!$A$5:$A$807,0))</f>
        <v>112.44941252144081</v>
      </c>
      <c r="L610" s="14">
        <f t="shared" si="9"/>
        <v>-0.23258965741734539</v>
      </c>
      <c r="M610" s="15">
        <f>IF(L610&gt;Benchmark!$B$2,1,IF(L610&lt;-Benchmark!$B$2,5,3))</f>
        <v>5</v>
      </c>
      <c r="N610" s="3" t="s">
        <v>31</v>
      </c>
    </row>
    <row r="611" spans="1:14" x14ac:dyDescent="0.35">
      <c r="A611" s="11" t="s">
        <v>7</v>
      </c>
      <c r="B611" s="11" t="s">
        <v>875</v>
      </c>
      <c r="C611" s="11">
        <v>7</v>
      </c>
      <c r="D611" s="11">
        <v>2</v>
      </c>
      <c r="E611" s="11" t="s">
        <v>27</v>
      </c>
      <c r="F611" s="11" t="s">
        <v>364</v>
      </c>
      <c r="G611" s="12">
        <v>5.34</v>
      </c>
      <c r="H611" s="13">
        <v>120.88764044943819</v>
      </c>
      <c r="I611" s="11" t="s">
        <v>773</v>
      </c>
      <c r="J611" s="11" t="s">
        <v>30</v>
      </c>
      <c r="K611" s="7">
        <f>INDEX(Benchmark!$H$5:$H$807,MATCH(I611,Benchmark!$A$5:$A$807,0))</f>
        <v>122.69387755102041</v>
      </c>
      <c r="L611" s="14">
        <f t="shared" si="9"/>
        <v>-1.4721493342902292E-2</v>
      </c>
      <c r="M611" s="17">
        <f>IF(L611&gt;Benchmark!$B$2,1,IF(L611&lt;-Benchmark!$B$2,5,3))</f>
        <v>3</v>
      </c>
      <c r="N611" s="3" t="s">
        <v>31</v>
      </c>
    </row>
    <row r="612" spans="1:14" x14ac:dyDescent="0.35">
      <c r="A612" s="11" t="s">
        <v>7</v>
      </c>
      <c r="B612" s="11" t="s">
        <v>876</v>
      </c>
      <c r="C612" s="11">
        <v>7</v>
      </c>
      <c r="D612" s="11">
        <v>2</v>
      </c>
      <c r="E612" s="11" t="s">
        <v>88</v>
      </c>
      <c r="F612" s="11" t="s">
        <v>502</v>
      </c>
      <c r="G612" s="12">
        <v>9.2200000000000006</v>
      </c>
      <c r="H612" s="13">
        <v>96.718004338394792</v>
      </c>
      <c r="I612" s="11" t="s">
        <v>804</v>
      </c>
      <c r="J612" s="11" t="s">
        <v>30</v>
      </c>
      <c r="K612" s="7">
        <f>INDEX(Benchmark!$H$5:$H$807,MATCH(I612,Benchmark!$A$5:$A$807,0))</f>
        <v>134.46728971962619</v>
      </c>
      <c r="L612" s="14">
        <f t="shared" si="9"/>
        <v>-0.28073210562911866</v>
      </c>
      <c r="M612" s="15">
        <f>IF(L612&gt;Benchmark!$B$2,1,IF(L612&lt;-Benchmark!$B$2,5,3))</f>
        <v>5</v>
      </c>
      <c r="N612" s="3" t="s">
        <v>31</v>
      </c>
    </row>
    <row r="613" spans="1:14" x14ac:dyDescent="0.35">
      <c r="A613" s="11" t="s">
        <v>7</v>
      </c>
      <c r="B613" s="11" t="s">
        <v>877</v>
      </c>
      <c r="C613" s="11">
        <v>7</v>
      </c>
      <c r="D613" s="11">
        <v>2</v>
      </c>
      <c r="E613" s="11" t="s">
        <v>27</v>
      </c>
      <c r="F613" s="11" t="s">
        <v>502</v>
      </c>
      <c r="G613" s="12">
        <v>2.89</v>
      </c>
      <c r="H613" s="13">
        <v>117.4463667820069</v>
      </c>
      <c r="I613" s="11" t="s">
        <v>775</v>
      </c>
      <c r="J613" s="11" t="s">
        <v>30</v>
      </c>
      <c r="K613" s="7">
        <f>INDEX(Benchmark!$H$5:$H$807,MATCH(I613,Benchmark!$A$5:$A$807,0))</f>
        <v>141.3474440894569</v>
      </c>
      <c r="L613" s="14">
        <f t="shared" si="9"/>
        <v>-0.169094513603821</v>
      </c>
      <c r="M613" s="15">
        <f>IF(L613&gt;Benchmark!$B$2,1,IF(L613&lt;-Benchmark!$B$2,5,3))</f>
        <v>5</v>
      </c>
      <c r="N613" s="3" t="s">
        <v>31</v>
      </c>
    </row>
    <row r="614" spans="1:14" x14ac:dyDescent="0.35">
      <c r="A614" s="11" t="s">
        <v>7</v>
      </c>
      <c r="B614" s="11" t="s">
        <v>878</v>
      </c>
      <c r="C614" s="11">
        <v>7</v>
      </c>
      <c r="D614" s="11">
        <v>3</v>
      </c>
      <c r="E614" s="11" t="s">
        <v>27</v>
      </c>
      <c r="F614" s="11" t="s">
        <v>39</v>
      </c>
      <c r="G614" s="12">
        <v>4.59</v>
      </c>
      <c r="H614" s="13">
        <v>109.77559912854031</v>
      </c>
      <c r="I614" s="11" t="s">
        <v>879</v>
      </c>
      <c r="J614" s="11" t="s">
        <v>30</v>
      </c>
      <c r="K614" s="7">
        <f>INDEX(Benchmark!$H$5:$H$807,MATCH(I614,Benchmark!$A$5:$A$807,0))</f>
        <v>131.3117261471231</v>
      </c>
      <c r="L614" s="14">
        <f t="shared" si="9"/>
        <v>-0.16400764539835133</v>
      </c>
      <c r="M614" s="15">
        <f>IF(L614&gt;Benchmark!$B$2,1,IF(L614&lt;-Benchmark!$B$2,5,3))</f>
        <v>5</v>
      </c>
      <c r="N614" s="3" t="s">
        <v>31</v>
      </c>
    </row>
    <row r="615" spans="1:14" x14ac:dyDescent="0.35">
      <c r="A615" s="11" t="s">
        <v>7</v>
      </c>
      <c r="B615" s="11" t="s">
        <v>880</v>
      </c>
      <c r="C615" s="11">
        <v>7</v>
      </c>
      <c r="D615" s="11">
        <v>4</v>
      </c>
      <c r="E615" s="11" t="s">
        <v>104</v>
      </c>
      <c r="F615" s="11" t="s">
        <v>633</v>
      </c>
      <c r="G615" s="12">
        <v>11.96</v>
      </c>
      <c r="H615" s="13">
        <v>153.88712374581939</v>
      </c>
      <c r="I615" s="11" t="s">
        <v>700</v>
      </c>
      <c r="J615" s="11" t="s">
        <v>30</v>
      </c>
      <c r="K615" s="7">
        <f>INDEX(Benchmark!$H$5:$H$807,MATCH(I615,Benchmark!$A$5:$A$807,0))</f>
        <v>114.9706913557601</v>
      </c>
      <c r="L615" s="14">
        <f t="shared" si="9"/>
        <v>0.33849002672896922</v>
      </c>
      <c r="M615" s="16">
        <f>IF(L615&gt;Benchmark!$B$2,1,IF(L615&lt;-Benchmark!$B$2,5,3))</f>
        <v>1</v>
      </c>
      <c r="N615" s="3" t="s">
        <v>31</v>
      </c>
    </row>
    <row r="616" spans="1:14" x14ac:dyDescent="0.35">
      <c r="A616" s="11" t="s">
        <v>7</v>
      </c>
      <c r="B616" s="11" t="s">
        <v>881</v>
      </c>
      <c r="C616" s="11">
        <v>7</v>
      </c>
      <c r="D616" s="11">
        <v>2</v>
      </c>
      <c r="E616" s="11" t="s">
        <v>78</v>
      </c>
      <c r="F616" s="11" t="s">
        <v>641</v>
      </c>
      <c r="G616" s="12">
        <v>9.89</v>
      </c>
      <c r="H616" s="13">
        <v>108.6137512639029</v>
      </c>
      <c r="I616" s="11" t="s">
        <v>882</v>
      </c>
      <c r="J616" s="11" t="s">
        <v>614</v>
      </c>
      <c r="K616" s="7">
        <f>INDEX(Benchmark!$H$5:$H$807,MATCH(I616,Benchmark!$A$5:$A$807,0))</f>
        <v>120.25823591923491</v>
      </c>
      <c r="L616" s="14">
        <f t="shared" si="9"/>
        <v>-9.6828999413831496E-2</v>
      </c>
      <c r="M616" s="15">
        <f>IF(L616&gt;Benchmark!$B$2,1,IF(L616&lt;-Benchmark!$B$2,5,3))</f>
        <v>5</v>
      </c>
      <c r="N616" s="3" t="s">
        <v>31</v>
      </c>
    </row>
    <row r="617" spans="1:14" x14ac:dyDescent="0.35">
      <c r="A617" s="11" t="s">
        <v>7</v>
      </c>
      <c r="B617" s="11" t="s">
        <v>883</v>
      </c>
      <c r="C617" s="11">
        <v>7</v>
      </c>
      <c r="D617" s="11">
        <v>1</v>
      </c>
      <c r="E617" s="11" t="s">
        <v>27</v>
      </c>
      <c r="F617" s="11" t="s">
        <v>641</v>
      </c>
      <c r="G617" s="12">
        <v>5.9</v>
      </c>
      <c r="H617" s="13">
        <v>131.62203389830509</v>
      </c>
      <c r="I617" s="11" t="s">
        <v>687</v>
      </c>
      <c r="J617" s="11" t="s">
        <v>30</v>
      </c>
      <c r="K617" s="7">
        <f>INDEX(Benchmark!$H$5:$H$807,MATCH(I617,Benchmark!$A$5:$A$807,0))</f>
        <v>147.96583143507971</v>
      </c>
      <c r="L617" s="14">
        <f t="shared" si="9"/>
        <v>-0.11045656539932658</v>
      </c>
      <c r="M617" s="15">
        <f>IF(L617&gt;Benchmark!$B$2,1,IF(L617&lt;-Benchmark!$B$2,5,3))</f>
        <v>5</v>
      </c>
      <c r="N617" s="3" t="s">
        <v>31</v>
      </c>
    </row>
    <row r="618" spans="1:14" x14ac:dyDescent="0.35">
      <c r="A618" s="11" t="s">
        <v>7</v>
      </c>
      <c r="B618" s="11" t="s">
        <v>884</v>
      </c>
      <c r="C618" s="11">
        <v>7</v>
      </c>
      <c r="D618" s="11">
        <v>2</v>
      </c>
      <c r="E618" s="11" t="s">
        <v>104</v>
      </c>
      <c r="F618" s="11" t="s">
        <v>633</v>
      </c>
      <c r="G618" s="12">
        <v>5.84</v>
      </c>
      <c r="H618" s="13">
        <v>112.74486301369861</v>
      </c>
      <c r="I618" s="11" t="s">
        <v>700</v>
      </c>
      <c r="J618" s="11" t="s">
        <v>30</v>
      </c>
      <c r="K618" s="7">
        <f>INDEX(Benchmark!$H$5:$H$807,MATCH(I618,Benchmark!$A$5:$A$807,0))</f>
        <v>114.9706913557601</v>
      </c>
      <c r="L618" s="14">
        <f t="shared" si="9"/>
        <v>-1.9359963098542932E-2</v>
      </c>
      <c r="M618" s="17">
        <f>IF(L618&gt;Benchmark!$B$2,1,IF(L618&lt;-Benchmark!$B$2,5,3))</f>
        <v>3</v>
      </c>
      <c r="N618" s="3" t="s">
        <v>31</v>
      </c>
    </row>
    <row r="619" spans="1:14" x14ac:dyDescent="0.35">
      <c r="A619" s="11" t="s">
        <v>7</v>
      </c>
      <c r="B619" s="11" t="s">
        <v>885</v>
      </c>
      <c r="C619" s="11">
        <v>7</v>
      </c>
      <c r="D619" s="11">
        <v>2</v>
      </c>
      <c r="E619" s="11" t="s">
        <v>104</v>
      </c>
      <c r="F619" s="11" t="s">
        <v>131</v>
      </c>
      <c r="G619" s="12">
        <v>12.19</v>
      </c>
      <c r="H619" s="13">
        <v>108.9926168990976</v>
      </c>
      <c r="I619" s="11" t="s">
        <v>649</v>
      </c>
      <c r="J619" s="11" t="s">
        <v>30</v>
      </c>
      <c r="K619" s="7">
        <f>INDEX(Benchmark!$H$5:$H$807,MATCH(I619,Benchmark!$A$5:$A$807,0))</f>
        <v>119.7159232038653</v>
      </c>
      <c r="L619" s="14">
        <f t="shared" si="9"/>
        <v>-8.9572932470369016E-2</v>
      </c>
      <c r="M619" s="15">
        <f>IF(L619&gt;Benchmark!$B$2,1,IF(L619&lt;-Benchmark!$B$2,5,3))</f>
        <v>5</v>
      </c>
      <c r="N619" s="3" t="s">
        <v>31</v>
      </c>
    </row>
    <row r="620" spans="1:14" x14ac:dyDescent="0.35">
      <c r="A620" s="11" t="s">
        <v>7</v>
      </c>
      <c r="B620" s="11" t="s">
        <v>886</v>
      </c>
      <c r="C620" s="11">
        <v>7</v>
      </c>
      <c r="D620" s="11">
        <v>2</v>
      </c>
      <c r="E620" s="11" t="s">
        <v>198</v>
      </c>
      <c r="F620" s="11" t="s">
        <v>633</v>
      </c>
      <c r="G620" s="12">
        <v>3.71</v>
      </c>
      <c r="H620" s="13">
        <v>126.8140161725067</v>
      </c>
      <c r="I620" s="11" t="s">
        <v>634</v>
      </c>
      <c r="J620" s="11" t="s">
        <v>30</v>
      </c>
      <c r="K620" s="7">
        <f>INDEX(Benchmark!$H$5:$H$807,MATCH(I620,Benchmark!$A$5:$A$807,0))</f>
        <v>122.7119856887299</v>
      </c>
      <c r="L620" s="14">
        <f t="shared" si="9"/>
        <v>3.3428115931413371E-2</v>
      </c>
      <c r="M620" s="17">
        <f>IF(L620&gt;Benchmark!$B$2,1,IF(L620&lt;-Benchmark!$B$2,5,3))</f>
        <v>3</v>
      </c>
      <c r="N620" s="3" t="s">
        <v>31</v>
      </c>
    </row>
    <row r="621" spans="1:14" x14ac:dyDescent="0.35">
      <c r="A621" s="11" t="s">
        <v>7</v>
      </c>
      <c r="B621" s="11" t="s">
        <v>887</v>
      </c>
      <c r="C621" s="11">
        <v>7</v>
      </c>
      <c r="D621" s="11">
        <v>2</v>
      </c>
      <c r="E621" s="11" t="s">
        <v>104</v>
      </c>
      <c r="F621" s="11" t="s">
        <v>633</v>
      </c>
      <c r="G621" s="12">
        <v>2.35</v>
      </c>
      <c r="H621" s="13">
        <v>100.1276595744681</v>
      </c>
      <c r="I621" s="11" t="s">
        <v>700</v>
      </c>
      <c r="J621" s="11" t="s">
        <v>30</v>
      </c>
      <c r="K621" s="7">
        <f>INDEX(Benchmark!$H$5:$H$807,MATCH(I621,Benchmark!$A$5:$A$807,0))</f>
        <v>114.9706913557601</v>
      </c>
      <c r="L621" s="14">
        <f t="shared" si="9"/>
        <v>-0.1291027444147691</v>
      </c>
      <c r="M621" s="15">
        <f>IF(L621&gt;Benchmark!$B$2,1,IF(L621&lt;-Benchmark!$B$2,5,3))</f>
        <v>5</v>
      </c>
      <c r="N621" s="3" t="s">
        <v>31</v>
      </c>
    </row>
    <row r="622" spans="1:14" x14ac:dyDescent="0.35">
      <c r="A622" s="11" t="s">
        <v>7</v>
      </c>
      <c r="B622" s="11" t="s">
        <v>888</v>
      </c>
      <c r="C622" s="11">
        <v>7</v>
      </c>
      <c r="D622" s="11">
        <v>2</v>
      </c>
      <c r="E622" s="11" t="s">
        <v>27</v>
      </c>
      <c r="F622" s="11" t="s">
        <v>364</v>
      </c>
      <c r="G622" s="12">
        <v>29.4</v>
      </c>
      <c r="H622" s="13">
        <v>117.35748299319729</v>
      </c>
      <c r="I622" s="11" t="s">
        <v>773</v>
      </c>
      <c r="J622" s="11" t="s">
        <v>30</v>
      </c>
      <c r="K622" s="7">
        <f>INDEX(Benchmark!$H$5:$H$807,MATCH(I622,Benchmark!$A$5:$A$807,0))</f>
        <v>122.69387755102041</v>
      </c>
      <c r="L622" s="14">
        <f t="shared" si="9"/>
        <v>-4.3493568418717987E-2</v>
      </c>
      <c r="M622" s="17">
        <f>IF(L622&gt;Benchmark!$B$2,1,IF(L622&lt;-Benchmark!$B$2,5,3))</f>
        <v>3</v>
      </c>
      <c r="N622" s="3" t="s">
        <v>31</v>
      </c>
    </row>
    <row r="623" spans="1:14" x14ac:dyDescent="0.35">
      <c r="A623" s="11" t="s">
        <v>7</v>
      </c>
      <c r="B623" s="11" t="s">
        <v>889</v>
      </c>
      <c r="C623" s="11">
        <v>7</v>
      </c>
      <c r="D623" s="11">
        <v>4</v>
      </c>
      <c r="E623" s="11" t="s">
        <v>88</v>
      </c>
      <c r="F623" s="11" t="s">
        <v>169</v>
      </c>
      <c r="G623" s="12">
        <v>8.4499999999999993</v>
      </c>
      <c r="H623" s="13">
        <v>89.04378698224852</v>
      </c>
      <c r="I623" s="11" t="s">
        <v>678</v>
      </c>
      <c r="J623" s="11" t="s">
        <v>30</v>
      </c>
      <c r="K623" s="7">
        <f>INDEX(Benchmark!$H$5:$H$807,MATCH(I623,Benchmark!$A$5:$A$807,0))</f>
        <v>128.29704764400449</v>
      </c>
      <c r="L623" s="14">
        <f t="shared" si="9"/>
        <v>-0.30595607134058889</v>
      </c>
      <c r="M623" s="15">
        <f>IF(L623&gt;Benchmark!$B$2,1,IF(L623&lt;-Benchmark!$B$2,5,3))</f>
        <v>5</v>
      </c>
      <c r="N623" s="3" t="s">
        <v>31</v>
      </c>
    </row>
    <row r="624" spans="1:14" x14ac:dyDescent="0.35">
      <c r="A624" s="11" t="s">
        <v>7</v>
      </c>
      <c r="B624" s="11" t="s">
        <v>890</v>
      </c>
      <c r="C624" s="11">
        <v>7</v>
      </c>
      <c r="D624" s="11">
        <v>7</v>
      </c>
      <c r="E624" s="11" t="s">
        <v>198</v>
      </c>
      <c r="F624" s="11" t="s">
        <v>641</v>
      </c>
      <c r="G624" s="12">
        <v>13.15</v>
      </c>
      <c r="H624" s="13">
        <v>80.054752851711029</v>
      </c>
      <c r="I624" s="11" t="s">
        <v>841</v>
      </c>
      <c r="J624" s="11" t="s">
        <v>30</v>
      </c>
      <c r="K624" s="7">
        <f>INDEX(Benchmark!$H$5:$H$807,MATCH(I624,Benchmark!$A$5:$A$807,0))</f>
        <v>125.8558441558442</v>
      </c>
      <c r="L624" s="14">
        <f t="shared" si="9"/>
        <v>-0.36391707998413492</v>
      </c>
      <c r="M624" s="15">
        <f>IF(L624&gt;Benchmark!$B$2,1,IF(L624&lt;-Benchmark!$B$2,5,3))</f>
        <v>5</v>
      </c>
      <c r="N624" s="3" t="s">
        <v>31</v>
      </c>
    </row>
    <row r="625" spans="1:14" x14ac:dyDescent="0.35">
      <c r="A625" s="11" t="s">
        <v>7</v>
      </c>
      <c r="B625" s="11" t="s">
        <v>891</v>
      </c>
      <c r="C625" s="11">
        <v>7</v>
      </c>
      <c r="D625" s="11">
        <v>6</v>
      </c>
      <c r="E625" s="11" t="s">
        <v>156</v>
      </c>
      <c r="F625" s="11" t="s">
        <v>28</v>
      </c>
      <c r="G625" s="12">
        <v>8.6300000000000008</v>
      </c>
      <c r="H625" s="13">
        <v>91.414831981460011</v>
      </c>
      <c r="I625" s="11" t="s">
        <v>892</v>
      </c>
      <c r="J625" s="11" t="s">
        <v>30</v>
      </c>
      <c r="K625" s="7">
        <f>INDEX(Benchmark!$H$5:$H$807,MATCH(I625,Benchmark!$A$5:$A$807,0))</f>
        <v>113.199304750869</v>
      </c>
      <c r="L625" s="14">
        <f t="shared" si="9"/>
        <v>-0.19244352089752348</v>
      </c>
      <c r="M625" s="15">
        <f>IF(L625&gt;Benchmark!$B$2,1,IF(L625&lt;-Benchmark!$B$2,5,3))</f>
        <v>5</v>
      </c>
      <c r="N625" s="3" t="s">
        <v>31</v>
      </c>
    </row>
    <row r="626" spans="1:14" x14ac:dyDescent="0.35">
      <c r="A626" s="11" t="s">
        <v>7</v>
      </c>
      <c r="B626" s="11" t="s">
        <v>893</v>
      </c>
      <c r="C626" s="11">
        <v>7</v>
      </c>
      <c r="D626" s="11">
        <v>3</v>
      </c>
      <c r="E626" s="11" t="s">
        <v>27</v>
      </c>
      <c r="F626" s="11" t="s">
        <v>28</v>
      </c>
      <c r="G626" s="12">
        <v>5.6</v>
      </c>
      <c r="H626" s="13">
        <v>124.5446428571429</v>
      </c>
      <c r="I626" s="11" t="s">
        <v>834</v>
      </c>
      <c r="J626" s="11" t="s">
        <v>30</v>
      </c>
      <c r="K626" s="7">
        <f>INDEX(Benchmark!$H$5:$H$807,MATCH(I626,Benchmark!$A$5:$A$807,0))</f>
        <v>132.84642857142859</v>
      </c>
      <c r="L626" s="14">
        <f t="shared" si="9"/>
        <v>-6.2491598784848001E-2</v>
      </c>
      <c r="M626" s="15">
        <f>IF(L626&gt;Benchmark!$B$2,1,IF(L626&lt;-Benchmark!$B$2,5,3))</f>
        <v>5</v>
      </c>
      <c r="N626" s="3" t="s">
        <v>31</v>
      </c>
    </row>
    <row r="627" spans="1:14" x14ac:dyDescent="0.35">
      <c r="A627" s="11" t="s">
        <v>7</v>
      </c>
      <c r="B627" s="11" t="s">
        <v>894</v>
      </c>
      <c r="C627" s="11">
        <v>7</v>
      </c>
      <c r="D627" s="11">
        <v>4</v>
      </c>
      <c r="E627" s="11" t="s">
        <v>88</v>
      </c>
      <c r="F627" s="11" t="s">
        <v>28</v>
      </c>
      <c r="G627" s="12">
        <v>11.05</v>
      </c>
      <c r="H627" s="13">
        <v>100.8796380090498</v>
      </c>
      <c r="I627" s="11" t="s">
        <v>664</v>
      </c>
      <c r="J627" s="11" t="s">
        <v>30</v>
      </c>
      <c r="K627" s="7">
        <f>INDEX(Benchmark!$H$5:$H$807,MATCH(I627,Benchmark!$A$5:$A$807,0))</f>
        <v>123.09268030238</v>
      </c>
      <c r="L627" s="14">
        <f t="shared" si="9"/>
        <v>-0.18045786507177641</v>
      </c>
      <c r="M627" s="15">
        <f>IF(L627&gt;Benchmark!$B$2,1,IF(L627&lt;-Benchmark!$B$2,5,3))</f>
        <v>5</v>
      </c>
      <c r="N627" s="3" t="s">
        <v>31</v>
      </c>
    </row>
    <row r="628" spans="1:14" x14ac:dyDescent="0.35">
      <c r="A628" s="11" t="s">
        <v>7</v>
      </c>
      <c r="B628" s="11" t="s">
        <v>895</v>
      </c>
      <c r="C628" s="11">
        <v>7</v>
      </c>
      <c r="D628" s="11">
        <v>9</v>
      </c>
      <c r="E628" s="11" t="s">
        <v>489</v>
      </c>
      <c r="F628" s="11" t="s">
        <v>35</v>
      </c>
      <c r="G628" s="12">
        <v>8.06</v>
      </c>
      <c r="H628" s="13">
        <v>103.5198511166253</v>
      </c>
      <c r="I628" s="11" t="s">
        <v>896</v>
      </c>
      <c r="J628" s="11" t="s">
        <v>30</v>
      </c>
      <c r="K628" s="7">
        <f>INDEX(Benchmark!$H$5:$H$807,MATCH(I628,Benchmark!$A$5:$A$807,0))</f>
        <v>121.4813241005366</v>
      </c>
      <c r="L628" s="14">
        <f t="shared" si="9"/>
        <v>-0.14785378013369843</v>
      </c>
      <c r="M628" s="15">
        <f>IF(L628&gt;Benchmark!$B$2,1,IF(L628&lt;-Benchmark!$B$2,5,3))</f>
        <v>5</v>
      </c>
      <c r="N628" s="3" t="s">
        <v>31</v>
      </c>
    </row>
    <row r="629" spans="1:14" x14ac:dyDescent="0.35">
      <c r="A629" s="11" t="s">
        <v>7</v>
      </c>
      <c r="B629" s="11" t="s">
        <v>897</v>
      </c>
      <c r="C629" s="11">
        <v>7</v>
      </c>
      <c r="D629" s="11">
        <v>3</v>
      </c>
      <c r="E629" s="11" t="s">
        <v>88</v>
      </c>
      <c r="F629" s="11" t="s">
        <v>35</v>
      </c>
      <c r="G629" s="12">
        <v>22.23</v>
      </c>
      <c r="H629" s="13">
        <v>102.4907782276203</v>
      </c>
      <c r="I629" s="11" t="s">
        <v>646</v>
      </c>
      <c r="J629" s="11" t="s">
        <v>30</v>
      </c>
      <c r="K629" s="7">
        <f>INDEX(Benchmark!$H$5:$H$807,MATCH(I629,Benchmark!$A$5:$A$807,0))</f>
        <v>133.1830855018587</v>
      </c>
      <c r="L629" s="14">
        <f t="shared" si="9"/>
        <v>-0.2304519913965356</v>
      </c>
      <c r="M629" s="15">
        <f>IF(L629&gt;Benchmark!$B$2,1,IF(L629&lt;-Benchmark!$B$2,5,3))</f>
        <v>5</v>
      </c>
      <c r="N629" s="3" t="s">
        <v>31</v>
      </c>
    </row>
    <row r="630" spans="1:14" x14ac:dyDescent="0.35">
      <c r="A630" s="11" t="s">
        <v>7</v>
      </c>
      <c r="B630" s="11" t="s">
        <v>898</v>
      </c>
      <c r="C630" s="11">
        <v>7</v>
      </c>
      <c r="D630" s="11">
        <v>5</v>
      </c>
      <c r="E630" s="11" t="s">
        <v>692</v>
      </c>
      <c r="F630" s="11" t="s">
        <v>35</v>
      </c>
      <c r="G630" s="12">
        <v>7.4</v>
      </c>
      <c r="H630" s="13">
        <v>117.70810810810811</v>
      </c>
      <c r="I630" s="11" t="s">
        <v>737</v>
      </c>
      <c r="J630" s="11" t="s">
        <v>30</v>
      </c>
      <c r="K630" s="7">
        <f>INDEX(Benchmark!$H$5:$H$807,MATCH(I630,Benchmark!$A$5:$A$807,0))</f>
        <v>127.7702083929547</v>
      </c>
      <c r="L630" s="14">
        <f t="shared" si="9"/>
        <v>-7.8751536930274146E-2</v>
      </c>
      <c r="M630" s="15">
        <f>IF(L630&gt;Benchmark!$B$2,1,IF(L630&lt;-Benchmark!$B$2,5,3))</f>
        <v>5</v>
      </c>
      <c r="N630" s="3" t="s">
        <v>31</v>
      </c>
    </row>
    <row r="631" spans="1:14" x14ac:dyDescent="0.35">
      <c r="A631" s="11" t="s">
        <v>7</v>
      </c>
      <c r="B631" s="11" t="s">
        <v>899</v>
      </c>
      <c r="C631" s="11">
        <v>7</v>
      </c>
      <c r="D631" s="11">
        <v>8</v>
      </c>
      <c r="E631" s="11" t="s">
        <v>198</v>
      </c>
      <c r="F631" s="11" t="s">
        <v>633</v>
      </c>
      <c r="G631" s="12">
        <v>7.99</v>
      </c>
      <c r="H631" s="13">
        <v>96.732165206508128</v>
      </c>
      <c r="I631" s="11" t="s">
        <v>634</v>
      </c>
      <c r="J631" s="11" t="s">
        <v>30</v>
      </c>
      <c r="K631" s="7">
        <f>INDEX(Benchmark!$H$5:$H$807,MATCH(I631,Benchmark!$A$5:$A$807,0))</f>
        <v>122.7119856887299</v>
      </c>
      <c r="L631" s="14">
        <f t="shared" si="9"/>
        <v>-0.21171379744536079</v>
      </c>
      <c r="M631" s="15">
        <f>IF(L631&gt;Benchmark!$B$2,1,IF(L631&lt;-Benchmark!$B$2,5,3))</f>
        <v>5</v>
      </c>
      <c r="N631" s="3" t="s">
        <v>31</v>
      </c>
    </row>
    <row r="632" spans="1:14" x14ac:dyDescent="0.35">
      <c r="A632" s="11" t="s">
        <v>7</v>
      </c>
      <c r="B632" s="11" t="s">
        <v>900</v>
      </c>
      <c r="C632" s="11">
        <v>7</v>
      </c>
      <c r="D632" s="11">
        <v>5</v>
      </c>
      <c r="E632" s="11" t="s">
        <v>88</v>
      </c>
      <c r="F632" s="11" t="s">
        <v>633</v>
      </c>
      <c r="G632" s="12">
        <v>7.73</v>
      </c>
      <c r="H632" s="13">
        <v>87.531694695989643</v>
      </c>
      <c r="I632" s="11" t="s">
        <v>644</v>
      </c>
      <c r="J632" s="11" t="s">
        <v>30</v>
      </c>
      <c r="K632" s="7">
        <f>INDEX(Benchmark!$H$5:$H$807,MATCH(I632,Benchmark!$A$5:$A$807,0))</f>
        <v>108.726573100639</v>
      </c>
      <c r="L632" s="14">
        <f t="shared" si="9"/>
        <v>-0.19493742698053262</v>
      </c>
      <c r="M632" s="15">
        <f>IF(L632&gt;Benchmark!$B$2,1,IF(L632&lt;-Benchmark!$B$2,5,3))</f>
        <v>5</v>
      </c>
      <c r="N632" s="3" t="s">
        <v>31</v>
      </c>
    </row>
    <row r="633" spans="1:14" x14ac:dyDescent="0.35">
      <c r="A633" s="11" t="s">
        <v>7</v>
      </c>
      <c r="B633" s="11" t="s">
        <v>901</v>
      </c>
      <c r="C633" s="11">
        <v>7</v>
      </c>
      <c r="D633" s="11">
        <v>5</v>
      </c>
      <c r="E633" s="11" t="s">
        <v>88</v>
      </c>
      <c r="F633" s="11" t="s">
        <v>633</v>
      </c>
      <c r="G633" s="12">
        <v>8.59</v>
      </c>
      <c r="H633" s="13">
        <v>85.71944121071013</v>
      </c>
      <c r="I633" s="11" t="s">
        <v>644</v>
      </c>
      <c r="J633" s="11" t="s">
        <v>30</v>
      </c>
      <c r="K633" s="7">
        <f>INDEX(Benchmark!$H$5:$H$807,MATCH(I633,Benchmark!$A$5:$A$807,0))</f>
        <v>108.726573100639</v>
      </c>
      <c r="L633" s="14">
        <f t="shared" si="9"/>
        <v>-0.21160541745975125</v>
      </c>
      <c r="M633" s="15">
        <f>IF(L633&gt;Benchmark!$B$2,1,IF(L633&lt;-Benchmark!$B$2,5,3))</f>
        <v>5</v>
      </c>
      <c r="N633" s="3" t="s">
        <v>31</v>
      </c>
    </row>
    <row r="634" spans="1:14" x14ac:dyDescent="0.35">
      <c r="A634" s="11" t="s">
        <v>7</v>
      </c>
      <c r="B634" s="11" t="s">
        <v>902</v>
      </c>
      <c r="C634" s="11">
        <v>7</v>
      </c>
      <c r="D634" s="11">
        <v>5</v>
      </c>
      <c r="E634" s="11" t="s">
        <v>198</v>
      </c>
      <c r="F634" s="11" t="s">
        <v>633</v>
      </c>
      <c r="G634" s="12">
        <v>7.76</v>
      </c>
      <c r="H634" s="13">
        <v>98.412371134020617</v>
      </c>
      <c r="I634" s="11" t="s">
        <v>634</v>
      </c>
      <c r="J634" s="11" t="s">
        <v>30</v>
      </c>
      <c r="K634" s="7">
        <f>INDEX(Benchmark!$H$5:$H$807,MATCH(I634,Benchmark!$A$5:$A$807,0))</f>
        <v>122.7119856887299</v>
      </c>
      <c r="L634" s="14">
        <f t="shared" si="9"/>
        <v>-0.19802152510470705</v>
      </c>
      <c r="M634" s="15">
        <f>IF(L634&gt;Benchmark!$B$2,1,IF(L634&lt;-Benchmark!$B$2,5,3))</f>
        <v>5</v>
      </c>
      <c r="N634" s="3" t="s">
        <v>31</v>
      </c>
    </row>
    <row r="635" spans="1:14" x14ac:dyDescent="0.35">
      <c r="A635" s="11" t="s">
        <v>7</v>
      </c>
      <c r="B635" s="11" t="s">
        <v>903</v>
      </c>
      <c r="C635" s="11">
        <v>7</v>
      </c>
      <c r="D635" s="11">
        <v>3</v>
      </c>
      <c r="E635" s="11" t="s">
        <v>88</v>
      </c>
      <c r="F635" s="11" t="s">
        <v>35</v>
      </c>
      <c r="G635" s="12">
        <v>6.29</v>
      </c>
      <c r="H635" s="13">
        <v>103.45310015898249</v>
      </c>
      <c r="I635" s="11" t="s">
        <v>646</v>
      </c>
      <c r="J635" s="11" t="s">
        <v>30</v>
      </c>
      <c r="K635" s="7">
        <f>INDEX(Benchmark!$H$5:$H$807,MATCH(I635,Benchmark!$A$5:$A$807,0))</f>
        <v>133.1830855018587</v>
      </c>
      <c r="L635" s="14">
        <f t="shared" si="9"/>
        <v>-0.22322643472966619</v>
      </c>
      <c r="M635" s="15">
        <f>IF(L635&gt;Benchmark!$B$2,1,IF(L635&lt;-Benchmark!$B$2,5,3))</f>
        <v>5</v>
      </c>
      <c r="N635" s="3" t="s">
        <v>31</v>
      </c>
    </row>
    <row r="636" spans="1:14" x14ac:dyDescent="0.35">
      <c r="A636" s="11" t="s">
        <v>7</v>
      </c>
      <c r="B636" s="11" t="s">
        <v>904</v>
      </c>
      <c r="C636" s="11">
        <v>8</v>
      </c>
      <c r="D636" s="11">
        <v>2</v>
      </c>
      <c r="E636" s="11" t="s">
        <v>88</v>
      </c>
      <c r="F636" s="11" t="s">
        <v>169</v>
      </c>
      <c r="G636" s="12">
        <v>12.74</v>
      </c>
      <c r="H636" s="13">
        <v>118.89481946624799</v>
      </c>
      <c r="I636" s="11" t="s">
        <v>678</v>
      </c>
      <c r="J636" s="11" t="s">
        <v>30</v>
      </c>
      <c r="K636" s="7">
        <f>INDEX(Benchmark!$H$5:$H$807,MATCH(I636,Benchmark!$A$5:$A$807,0))</f>
        <v>128.29704764400449</v>
      </c>
      <c r="L636" s="14">
        <f t="shared" si="9"/>
        <v>-7.3284836638217721E-2</v>
      </c>
      <c r="M636" s="15">
        <f>IF(L636&gt;Benchmark!$B$2,1,IF(L636&lt;-Benchmark!$B$2,5,3))</f>
        <v>5</v>
      </c>
      <c r="N636" s="3" t="s">
        <v>31</v>
      </c>
    </row>
    <row r="637" spans="1:14" x14ac:dyDescent="0.35">
      <c r="A637" s="11" t="s">
        <v>7</v>
      </c>
      <c r="B637" s="11" t="s">
        <v>905</v>
      </c>
      <c r="C637" s="11">
        <v>8</v>
      </c>
      <c r="D637" s="11">
        <v>4</v>
      </c>
      <c r="E637" s="11" t="s">
        <v>104</v>
      </c>
      <c r="F637" s="11" t="s">
        <v>641</v>
      </c>
      <c r="G637" s="12">
        <v>4.43</v>
      </c>
      <c r="H637" s="13">
        <v>104.9097065462754</v>
      </c>
      <c r="I637" s="11" t="s">
        <v>782</v>
      </c>
      <c r="J637" s="11" t="s">
        <v>37</v>
      </c>
      <c r="K637" s="7">
        <f>INDEX(Benchmark!$H$5:$H$807,MATCH(I637,Benchmark!$A$5:$A$807,0))</f>
        <v>117.28506787330321</v>
      </c>
      <c r="L637" s="14">
        <f t="shared" si="9"/>
        <v>-0.1055152335367725</v>
      </c>
      <c r="M637" s="15">
        <f>IF(L637&gt;Benchmark!$B$2,1,IF(L637&lt;-Benchmark!$B$2,5,3))</f>
        <v>5</v>
      </c>
      <c r="N637" s="3" t="s">
        <v>31</v>
      </c>
    </row>
    <row r="638" spans="1:14" x14ac:dyDescent="0.35">
      <c r="A638" s="11" t="s">
        <v>7</v>
      </c>
      <c r="B638" s="11" t="s">
        <v>906</v>
      </c>
      <c r="C638" s="11">
        <v>8</v>
      </c>
      <c r="D638" s="11">
        <v>1</v>
      </c>
      <c r="E638" s="11" t="s">
        <v>27</v>
      </c>
      <c r="F638" s="11" t="s">
        <v>39</v>
      </c>
      <c r="G638" s="12">
        <v>12.44</v>
      </c>
      <c r="H638" s="13">
        <v>118.88504823151131</v>
      </c>
      <c r="I638" s="11" t="s">
        <v>879</v>
      </c>
      <c r="J638" s="11" t="s">
        <v>30</v>
      </c>
      <c r="K638" s="7">
        <f>INDEX(Benchmark!$H$5:$H$807,MATCH(I638,Benchmark!$A$5:$A$807,0))</f>
        <v>131.3117261471231</v>
      </c>
      <c r="L638" s="14">
        <f t="shared" si="9"/>
        <v>-9.4634944496036932E-2</v>
      </c>
      <c r="M638" s="15">
        <f>IF(L638&gt;Benchmark!$B$2,1,IF(L638&lt;-Benchmark!$B$2,5,3))</f>
        <v>5</v>
      </c>
      <c r="N638" s="3" t="s">
        <v>31</v>
      </c>
    </row>
    <row r="639" spans="1:14" x14ac:dyDescent="0.35">
      <c r="A639" s="11" t="s">
        <v>7</v>
      </c>
      <c r="B639" s="11" t="s">
        <v>907</v>
      </c>
      <c r="C639" s="11">
        <v>8</v>
      </c>
      <c r="D639" s="11">
        <v>1</v>
      </c>
      <c r="E639" s="11" t="s">
        <v>27</v>
      </c>
      <c r="F639" s="11" t="s">
        <v>667</v>
      </c>
      <c r="G639" s="12">
        <v>6.68</v>
      </c>
      <c r="H639" s="13">
        <v>139.26796407185631</v>
      </c>
      <c r="I639" s="11" t="s">
        <v>744</v>
      </c>
      <c r="J639" s="11" t="s">
        <v>30</v>
      </c>
      <c r="K639" s="7">
        <f>INDEX(Benchmark!$H$5:$H$807,MATCH(I639,Benchmark!$A$5:$A$807,0))</f>
        <v>144.8510362694301</v>
      </c>
      <c r="L639" s="14">
        <f t="shared" si="9"/>
        <v>-3.8543543362637656E-2</v>
      </c>
      <c r="M639" s="17">
        <f>IF(L639&gt;Benchmark!$B$2,1,IF(L639&lt;-Benchmark!$B$2,5,3))</f>
        <v>3</v>
      </c>
      <c r="N639" s="3" t="s">
        <v>31</v>
      </c>
    </row>
    <row r="640" spans="1:14" x14ac:dyDescent="0.35">
      <c r="A640" s="11" t="s">
        <v>7</v>
      </c>
      <c r="B640" s="11" t="s">
        <v>908</v>
      </c>
      <c r="C640" s="11">
        <v>8</v>
      </c>
      <c r="D640" s="11">
        <v>3</v>
      </c>
      <c r="E640" s="11" t="s">
        <v>78</v>
      </c>
      <c r="F640" s="11" t="s">
        <v>670</v>
      </c>
      <c r="G640" s="12">
        <v>4.6500000000000004</v>
      </c>
      <c r="H640" s="13">
        <v>87.683870967741939</v>
      </c>
      <c r="I640" s="11" t="s">
        <v>786</v>
      </c>
      <c r="J640" s="11" t="s">
        <v>614</v>
      </c>
      <c r="K640" s="7">
        <f>INDEX(Benchmark!$H$5:$H$807,MATCH(I640,Benchmark!$A$5:$A$807,0))</f>
        <v>113</v>
      </c>
      <c r="L640" s="14">
        <f t="shared" si="9"/>
        <v>-0.2240365401084784</v>
      </c>
      <c r="M640" s="15">
        <f>IF(L640&gt;Benchmark!$B$2,1,IF(L640&lt;-Benchmark!$B$2,5,3))</f>
        <v>5</v>
      </c>
      <c r="N640" s="3" t="s">
        <v>31</v>
      </c>
    </row>
    <row r="641" spans="1:14" x14ac:dyDescent="0.35">
      <c r="A641" s="11" t="s">
        <v>7</v>
      </c>
      <c r="B641" s="11" t="s">
        <v>909</v>
      </c>
      <c r="C641" s="11">
        <v>8</v>
      </c>
      <c r="D641" s="11">
        <v>10</v>
      </c>
      <c r="E641" s="11" t="s">
        <v>198</v>
      </c>
      <c r="F641" s="11" t="s">
        <v>186</v>
      </c>
      <c r="G641" s="12">
        <v>14.42</v>
      </c>
      <c r="H641" s="13">
        <v>110.0894590846047</v>
      </c>
      <c r="I641" s="11" t="s">
        <v>788</v>
      </c>
      <c r="J641" s="11" t="s">
        <v>30</v>
      </c>
      <c r="K641" s="7">
        <f>INDEX(Benchmark!$H$5:$H$807,MATCH(I641,Benchmark!$A$5:$A$807,0))</f>
        <v>124.3922106417992</v>
      </c>
      <c r="L641" s="14">
        <f t="shared" si="9"/>
        <v>-0.11498108670470386</v>
      </c>
      <c r="M641" s="15">
        <f>IF(L641&gt;Benchmark!$B$2,1,IF(L641&lt;-Benchmark!$B$2,5,3))</f>
        <v>5</v>
      </c>
      <c r="N641" s="3" t="s">
        <v>31</v>
      </c>
    </row>
    <row r="642" spans="1:14" x14ac:dyDescent="0.35">
      <c r="A642" s="11" t="s">
        <v>7</v>
      </c>
      <c r="B642" s="11" t="s">
        <v>910</v>
      </c>
      <c r="C642" s="11">
        <v>8</v>
      </c>
      <c r="D642" s="11">
        <v>11</v>
      </c>
      <c r="E642" s="11" t="s">
        <v>198</v>
      </c>
      <c r="F642" s="11" t="s">
        <v>186</v>
      </c>
      <c r="G642" s="12">
        <v>3.72</v>
      </c>
      <c r="H642" s="13">
        <v>102.760752688172</v>
      </c>
      <c r="I642" s="11" t="s">
        <v>788</v>
      </c>
      <c r="J642" s="11" t="s">
        <v>30</v>
      </c>
      <c r="K642" s="7">
        <f>INDEX(Benchmark!$H$5:$H$807,MATCH(I642,Benchmark!$A$5:$A$807,0))</f>
        <v>124.3922106417992</v>
      </c>
      <c r="L642" s="14">
        <f t="shared" si="9"/>
        <v>-0.17389720660176466</v>
      </c>
      <c r="M642" s="15">
        <f>IF(L642&gt;Benchmark!$B$2,1,IF(L642&lt;-Benchmark!$B$2,5,3))</f>
        <v>5</v>
      </c>
      <c r="N642" s="3" t="s">
        <v>31</v>
      </c>
    </row>
    <row r="643" spans="1:14" x14ac:dyDescent="0.35">
      <c r="A643" s="11" t="s">
        <v>7</v>
      </c>
      <c r="B643" s="11" t="s">
        <v>911</v>
      </c>
      <c r="C643" s="11">
        <v>8</v>
      </c>
      <c r="D643" s="11">
        <v>3</v>
      </c>
      <c r="E643" s="11" t="s">
        <v>104</v>
      </c>
      <c r="F643" s="11" t="s">
        <v>667</v>
      </c>
      <c r="G643" s="12">
        <v>3.58</v>
      </c>
      <c r="H643" s="13">
        <v>102.25698324022351</v>
      </c>
      <c r="I643" s="11" t="s">
        <v>782</v>
      </c>
      <c r="J643" s="11" t="s">
        <v>37</v>
      </c>
      <c r="K643" s="7">
        <f>INDEX(Benchmark!$H$5:$H$807,MATCH(I643,Benchmark!$A$5:$A$807,0))</f>
        <v>117.28506787330321</v>
      </c>
      <c r="L643" s="14">
        <f t="shared" si="9"/>
        <v>-0.12813297468790941</v>
      </c>
      <c r="M643" s="15">
        <f>IF(L643&gt;Benchmark!$B$2,1,IF(L643&lt;-Benchmark!$B$2,5,3))</f>
        <v>5</v>
      </c>
      <c r="N643" s="3" t="s">
        <v>31</v>
      </c>
    </row>
    <row r="644" spans="1:14" x14ac:dyDescent="0.35">
      <c r="A644" s="11" t="s">
        <v>7</v>
      </c>
      <c r="B644" s="11" t="s">
        <v>912</v>
      </c>
      <c r="C644" s="11">
        <v>8</v>
      </c>
      <c r="D644" s="11">
        <v>1</v>
      </c>
      <c r="E644" s="11" t="s">
        <v>78</v>
      </c>
      <c r="F644" s="11" t="s">
        <v>667</v>
      </c>
      <c r="G644" s="12">
        <v>10.33</v>
      </c>
      <c r="H644" s="13">
        <v>144.01936108422069</v>
      </c>
      <c r="I644" s="11" t="s">
        <v>767</v>
      </c>
      <c r="J644" s="11" t="s">
        <v>614</v>
      </c>
      <c r="K644" s="7">
        <f>INDEX(Benchmark!$H$5:$H$807,MATCH(I644,Benchmark!$A$5:$A$807,0))</f>
        <v>121.2098238120662</v>
      </c>
      <c r="L644" s="14">
        <f t="shared" si="9"/>
        <v>0.18818224921702953</v>
      </c>
      <c r="M644" s="16">
        <f>IF(L644&gt;Benchmark!$B$2,1,IF(L644&lt;-Benchmark!$B$2,5,3))</f>
        <v>1</v>
      </c>
      <c r="N644" s="3" t="s">
        <v>31</v>
      </c>
    </row>
    <row r="645" spans="1:14" x14ac:dyDescent="0.35">
      <c r="A645" s="11" t="s">
        <v>7</v>
      </c>
      <c r="B645" s="11" t="s">
        <v>913</v>
      </c>
      <c r="C645" s="11">
        <v>8</v>
      </c>
      <c r="D645" s="11">
        <v>3</v>
      </c>
      <c r="E645" s="11" t="s">
        <v>27</v>
      </c>
      <c r="F645" s="11" t="s">
        <v>670</v>
      </c>
      <c r="G645" s="12">
        <v>7.29</v>
      </c>
      <c r="H645" s="13">
        <v>144.80658436213989</v>
      </c>
      <c r="I645" s="11" t="s">
        <v>676</v>
      </c>
      <c r="J645" s="11" t="s">
        <v>30</v>
      </c>
      <c r="K645" s="7">
        <f>INDEX(Benchmark!$H$5:$H$807,MATCH(I645,Benchmark!$A$5:$A$807,0))</f>
        <v>134.7709190672154</v>
      </c>
      <c r="L645" s="14">
        <f t="shared" ref="L645:L708" si="10">H645/K645-1</f>
        <v>7.446462014493882E-2</v>
      </c>
      <c r="M645" s="16">
        <f>IF(L645&gt;Benchmark!$B$2,1,IF(L645&lt;-Benchmark!$B$2,5,3))</f>
        <v>1</v>
      </c>
      <c r="N645" s="3" t="s">
        <v>31</v>
      </c>
    </row>
    <row r="646" spans="1:14" x14ac:dyDescent="0.35">
      <c r="A646" s="11" t="s">
        <v>7</v>
      </c>
      <c r="B646" s="11" t="s">
        <v>914</v>
      </c>
      <c r="C646" s="11">
        <v>8</v>
      </c>
      <c r="D646" s="11">
        <v>5</v>
      </c>
      <c r="E646" s="11" t="s">
        <v>156</v>
      </c>
      <c r="F646" s="11" t="s">
        <v>670</v>
      </c>
      <c r="G646" s="12">
        <v>5.74</v>
      </c>
      <c r="H646" s="13">
        <v>95.395470383275267</v>
      </c>
      <c r="I646" s="11" t="s">
        <v>851</v>
      </c>
      <c r="J646" s="11" t="s">
        <v>30</v>
      </c>
      <c r="K646" s="7">
        <f>INDEX(Benchmark!$H$5:$H$807,MATCH(I646,Benchmark!$A$5:$A$807,0))</f>
        <v>96.118439716312054</v>
      </c>
      <c r="L646" s="14">
        <f t="shared" si="10"/>
        <v>-7.52165073809552E-3</v>
      </c>
      <c r="M646" s="17">
        <f>IF(L646&gt;Benchmark!$B$2,1,IF(L646&lt;-Benchmark!$B$2,5,3))</f>
        <v>3</v>
      </c>
      <c r="N646" s="3" t="s">
        <v>31</v>
      </c>
    </row>
    <row r="647" spans="1:14" x14ac:dyDescent="0.35">
      <c r="A647" s="11" t="s">
        <v>7</v>
      </c>
      <c r="B647" s="11" t="s">
        <v>915</v>
      </c>
      <c r="C647" s="11">
        <v>8</v>
      </c>
      <c r="D647" s="11">
        <v>5</v>
      </c>
      <c r="E647" s="11" t="s">
        <v>198</v>
      </c>
      <c r="F647" s="11" t="s">
        <v>670</v>
      </c>
      <c r="G647" s="12">
        <v>6.73</v>
      </c>
      <c r="H647" s="13">
        <v>95.884101040118864</v>
      </c>
      <c r="I647" s="11" t="s">
        <v>916</v>
      </c>
      <c r="J647" s="11" t="s">
        <v>30</v>
      </c>
      <c r="K647" s="7">
        <f>INDEX(Benchmark!$H$5:$H$807,MATCH(I647,Benchmark!$A$5:$A$807,0))</f>
        <v>110.0158771473191</v>
      </c>
      <c r="L647" s="14">
        <f t="shared" si="10"/>
        <v>-0.12845215139517352</v>
      </c>
      <c r="M647" s="15">
        <f>IF(L647&gt;Benchmark!$B$2,1,IF(L647&lt;-Benchmark!$B$2,5,3))</f>
        <v>5</v>
      </c>
      <c r="N647" s="3" t="s">
        <v>31</v>
      </c>
    </row>
    <row r="648" spans="1:14" x14ac:dyDescent="0.35">
      <c r="A648" s="11" t="s">
        <v>7</v>
      </c>
      <c r="B648" s="11" t="s">
        <v>917</v>
      </c>
      <c r="C648" s="11">
        <v>8</v>
      </c>
      <c r="D648" s="11">
        <v>7</v>
      </c>
      <c r="E648" s="11" t="s">
        <v>198</v>
      </c>
      <c r="F648" s="11" t="s">
        <v>667</v>
      </c>
      <c r="G648" s="12">
        <v>8.41</v>
      </c>
      <c r="H648" s="13">
        <v>100.99167657550539</v>
      </c>
      <c r="I648" s="11" t="s">
        <v>845</v>
      </c>
      <c r="J648" s="11" t="s">
        <v>30</v>
      </c>
      <c r="K648" s="7">
        <f>INDEX(Benchmark!$H$5:$H$807,MATCH(I648,Benchmark!$A$5:$A$807,0))</f>
        <v>122.54196228984689</v>
      </c>
      <c r="L648" s="14">
        <f t="shared" si="10"/>
        <v>-0.17586045883098311</v>
      </c>
      <c r="M648" s="15">
        <f>IF(L648&gt;Benchmark!$B$2,1,IF(L648&lt;-Benchmark!$B$2,5,3))</f>
        <v>5</v>
      </c>
      <c r="N648" s="3" t="s">
        <v>31</v>
      </c>
    </row>
    <row r="649" spans="1:14" x14ac:dyDescent="0.35">
      <c r="A649" s="11" t="s">
        <v>7</v>
      </c>
      <c r="B649" s="11" t="s">
        <v>918</v>
      </c>
      <c r="C649" s="11">
        <v>8</v>
      </c>
      <c r="D649" s="11">
        <v>3</v>
      </c>
      <c r="E649" s="11" t="s">
        <v>27</v>
      </c>
      <c r="F649" s="11" t="s">
        <v>670</v>
      </c>
      <c r="G649" s="12">
        <v>10.36</v>
      </c>
      <c r="H649" s="13">
        <v>130.8137065637066</v>
      </c>
      <c r="I649" s="11" t="s">
        <v>676</v>
      </c>
      <c r="J649" s="11" t="s">
        <v>30</v>
      </c>
      <c r="K649" s="7">
        <f>INDEX(Benchmark!$H$5:$H$807,MATCH(I649,Benchmark!$A$5:$A$807,0))</f>
        <v>134.7709190672154</v>
      </c>
      <c r="L649" s="14">
        <f t="shared" si="10"/>
        <v>-2.9362510331588543E-2</v>
      </c>
      <c r="M649" s="17">
        <f>IF(L649&gt;Benchmark!$B$2,1,IF(L649&lt;-Benchmark!$B$2,5,3))</f>
        <v>3</v>
      </c>
      <c r="N649" s="3" t="s">
        <v>31</v>
      </c>
    </row>
    <row r="650" spans="1:14" x14ac:dyDescent="0.35">
      <c r="A650" s="11" t="s">
        <v>7</v>
      </c>
      <c r="B650" s="11" t="s">
        <v>919</v>
      </c>
      <c r="C650" s="11">
        <v>8</v>
      </c>
      <c r="D650" s="11">
        <v>6</v>
      </c>
      <c r="E650" s="11" t="s">
        <v>198</v>
      </c>
      <c r="F650" s="11" t="s">
        <v>633</v>
      </c>
      <c r="G650" s="12">
        <v>7.57</v>
      </c>
      <c r="H650" s="13">
        <v>99.974900924702766</v>
      </c>
      <c r="I650" s="11" t="s">
        <v>634</v>
      </c>
      <c r="J650" s="11" t="s">
        <v>30</v>
      </c>
      <c r="K650" s="7">
        <f>INDEX(Benchmark!$H$5:$H$807,MATCH(I650,Benchmark!$A$5:$A$807,0))</f>
        <v>122.7119856887299</v>
      </c>
      <c r="L650" s="14">
        <f t="shared" si="10"/>
        <v>-0.18528821480977264</v>
      </c>
      <c r="M650" s="15">
        <f>IF(L650&gt;Benchmark!$B$2,1,IF(L650&lt;-Benchmark!$B$2,5,3))</f>
        <v>5</v>
      </c>
      <c r="N650" s="3" t="s">
        <v>31</v>
      </c>
    </row>
    <row r="651" spans="1:14" x14ac:dyDescent="0.35">
      <c r="A651" s="11" t="s">
        <v>7</v>
      </c>
      <c r="B651" s="11" t="s">
        <v>920</v>
      </c>
      <c r="C651" s="11">
        <v>8</v>
      </c>
      <c r="D651" s="11">
        <v>5</v>
      </c>
      <c r="E651" s="11" t="s">
        <v>692</v>
      </c>
      <c r="F651" s="11" t="s">
        <v>35</v>
      </c>
      <c r="G651" s="12">
        <v>17.34</v>
      </c>
      <c r="H651" s="13">
        <v>87.566320645905421</v>
      </c>
      <c r="I651" s="11" t="s">
        <v>737</v>
      </c>
      <c r="J651" s="11" t="s">
        <v>30</v>
      </c>
      <c r="K651" s="7">
        <f>INDEX(Benchmark!$H$5:$H$807,MATCH(I651,Benchmark!$A$5:$A$807,0))</f>
        <v>127.7702083929547</v>
      </c>
      <c r="L651" s="14">
        <f t="shared" si="10"/>
        <v>-0.31465776140399671</v>
      </c>
      <c r="M651" s="15">
        <f>IF(L651&gt;Benchmark!$B$2,1,IF(L651&lt;-Benchmark!$B$2,5,3))</f>
        <v>5</v>
      </c>
      <c r="N651" s="3" t="s">
        <v>31</v>
      </c>
    </row>
    <row r="652" spans="1:14" x14ac:dyDescent="0.35">
      <c r="A652" s="11" t="s">
        <v>7</v>
      </c>
      <c r="B652" s="11" t="s">
        <v>921</v>
      </c>
      <c r="C652" s="11">
        <v>8</v>
      </c>
      <c r="D652" s="11">
        <v>5</v>
      </c>
      <c r="E652" s="11" t="s">
        <v>198</v>
      </c>
      <c r="F652" s="11" t="s">
        <v>35</v>
      </c>
      <c r="G652" s="12">
        <v>11.1</v>
      </c>
      <c r="H652" s="13">
        <v>94.943243243243231</v>
      </c>
      <c r="I652" s="11" t="s">
        <v>922</v>
      </c>
      <c r="J652" s="11" t="s">
        <v>30</v>
      </c>
      <c r="K652" s="7">
        <f>INDEX(Benchmark!$H$5:$H$807,MATCH(I652,Benchmark!$A$5:$A$807,0))</f>
        <v>134.71142066534611</v>
      </c>
      <c r="L652" s="14">
        <f t="shared" si="10"/>
        <v>-0.29521014050394512</v>
      </c>
      <c r="M652" s="15">
        <f>IF(L652&gt;Benchmark!$B$2,1,IF(L652&lt;-Benchmark!$B$2,5,3))</f>
        <v>5</v>
      </c>
      <c r="N652" s="3" t="s">
        <v>31</v>
      </c>
    </row>
    <row r="653" spans="1:14" x14ac:dyDescent="0.35">
      <c r="A653" s="11" t="s">
        <v>7</v>
      </c>
      <c r="B653" s="11" t="s">
        <v>923</v>
      </c>
      <c r="C653" s="11">
        <v>8</v>
      </c>
      <c r="D653" s="11">
        <v>2</v>
      </c>
      <c r="E653" s="11" t="s">
        <v>27</v>
      </c>
      <c r="F653" s="11" t="s">
        <v>35</v>
      </c>
      <c r="G653" s="12">
        <v>5.24</v>
      </c>
      <c r="H653" s="13">
        <v>101.45610687022899</v>
      </c>
      <c r="I653" s="11" t="s">
        <v>682</v>
      </c>
      <c r="J653" s="11" t="s">
        <v>30</v>
      </c>
      <c r="K653" s="7">
        <f>INDEX(Benchmark!$H$5:$H$807,MATCH(I653,Benchmark!$A$5:$A$807,0))</f>
        <v>145.44695259593681</v>
      </c>
      <c r="L653" s="14">
        <f t="shared" si="10"/>
        <v>-0.302452852676246</v>
      </c>
      <c r="M653" s="15">
        <f>IF(L653&gt;Benchmark!$B$2,1,IF(L653&lt;-Benchmark!$B$2,5,3))</f>
        <v>5</v>
      </c>
      <c r="N653" s="3" t="s">
        <v>31</v>
      </c>
    </row>
    <row r="654" spans="1:14" x14ac:dyDescent="0.35">
      <c r="A654" s="11" t="s">
        <v>7</v>
      </c>
      <c r="B654" s="11" t="s">
        <v>924</v>
      </c>
      <c r="C654" s="11">
        <v>8</v>
      </c>
      <c r="D654" s="11">
        <v>8</v>
      </c>
      <c r="E654" s="11" t="s">
        <v>666</v>
      </c>
      <c r="F654" s="11" t="s">
        <v>35</v>
      </c>
      <c r="G654" s="12">
        <v>10.82</v>
      </c>
      <c r="H654" s="13">
        <v>114.77634011090571</v>
      </c>
      <c r="I654" s="11" t="s">
        <v>925</v>
      </c>
      <c r="J654" s="11" t="s">
        <v>30</v>
      </c>
      <c r="K654" s="7">
        <f>INDEX(Benchmark!$H$5:$H$807,MATCH(I654,Benchmark!$A$5:$A$807,0))</f>
        <v>138.60791787829879</v>
      </c>
      <c r="L654" s="14">
        <f t="shared" si="10"/>
        <v>-0.17193518330112867</v>
      </c>
      <c r="M654" s="15">
        <f>IF(L654&gt;Benchmark!$B$2,1,IF(L654&lt;-Benchmark!$B$2,5,3))</f>
        <v>5</v>
      </c>
      <c r="N654" s="3" t="s">
        <v>31</v>
      </c>
    </row>
    <row r="655" spans="1:14" x14ac:dyDescent="0.35">
      <c r="A655" s="11" t="s">
        <v>7</v>
      </c>
      <c r="B655" s="11" t="s">
        <v>926</v>
      </c>
      <c r="C655" s="11">
        <v>8</v>
      </c>
      <c r="D655" s="11">
        <v>7</v>
      </c>
      <c r="E655" s="11" t="s">
        <v>692</v>
      </c>
      <c r="F655" s="11" t="s">
        <v>131</v>
      </c>
      <c r="G655" s="12">
        <v>20.059999999999999</v>
      </c>
      <c r="H655" s="13">
        <v>114.00598205383849</v>
      </c>
      <c r="I655" s="11" t="s">
        <v>927</v>
      </c>
      <c r="J655" s="11" t="s">
        <v>30</v>
      </c>
      <c r="K655" s="7">
        <f>INDEX(Benchmark!$H$5:$H$807,MATCH(I655,Benchmark!$A$5:$A$807,0))</f>
        <v>127.781015037594</v>
      </c>
      <c r="L655" s="14">
        <f t="shared" si="10"/>
        <v>-0.1078018747910463</v>
      </c>
      <c r="M655" s="15">
        <f>IF(L655&gt;Benchmark!$B$2,1,IF(L655&lt;-Benchmark!$B$2,5,3))</f>
        <v>5</v>
      </c>
      <c r="N655" s="3" t="s">
        <v>31</v>
      </c>
    </row>
    <row r="656" spans="1:14" x14ac:dyDescent="0.35">
      <c r="A656" s="11" t="s">
        <v>7</v>
      </c>
      <c r="B656" s="11" t="s">
        <v>928</v>
      </c>
      <c r="C656" s="11">
        <v>8</v>
      </c>
      <c r="D656" s="11">
        <v>5</v>
      </c>
      <c r="E656" s="11" t="s">
        <v>198</v>
      </c>
      <c r="F656" s="11" t="s">
        <v>131</v>
      </c>
      <c r="G656" s="12">
        <v>7.52</v>
      </c>
      <c r="H656" s="13">
        <v>70.825797872340431</v>
      </c>
      <c r="I656" s="11" t="s">
        <v>929</v>
      </c>
      <c r="J656" s="11" t="s">
        <v>30</v>
      </c>
      <c r="K656" s="7">
        <f>INDEX(Benchmark!$H$5:$H$807,MATCH(I656,Benchmark!$A$5:$A$807,0))</f>
        <v>124.3517444178628</v>
      </c>
      <c r="L656" s="14">
        <f t="shared" si="10"/>
        <v>-0.43043985266228002</v>
      </c>
      <c r="M656" s="15">
        <f>IF(L656&gt;Benchmark!$B$2,1,IF(L656&lt;-Benchmark!$B$2,5,3))</f>
        <v>5</v>
      </c>
      <c r="N656" s="3" t="s">
        <v>31</v>
      </c>
    </row>
    <row r="657" spans="1:14" x14ac:dyDescent="0.35">
      <c r="A657" s="11" t="s">
        <v>7</v>
      </c>
      <c r="B657" s="11" t="s">
        <v>930</v>
      </c>
      <c r="C657" s="11">
        <v>8</v>
      </c>
      <c r="D657" s="11">
        <v>8</v>
      </c>
      <c r="E657" s="11" t="s">
        <v>198</v>
      </c>
      <c r="F657" s="11" t="s">
        <v>131</v>
      </c>
      <c r="G657" s="12">
        <v>4.08</v>
      </c>
      <c r="H657" s="13">
        <v>109.28676470588231</v>
      </c>
      <c r="I657" s="11" t="s">
        <v>929</v>
      </c>
      <c r="J657" s="11" t="s">
        <v>30</v>
      </c>
      <c r="K657" s="7">
        <f>INDEX(Benchmark!$H$5:$H$807,MATCH(I657,Benchmark!$A$5:$A$807,0))</f>
        <v>124.3517444178628</v>
      </c>
      <c r="L657" s="14">
        <f t="shared" si="10"/>
        <v>-0.12114811724198427</v>
      </c>
      <c r="M657" s="15">
        <f>IF(L657&gt;Benchmark!$B$2,1,IF(L657&lt;-Benchmark!$B$2,5,3))</f>
        <v>5</v>
      </c>
      <c r="N657" s="3" t="s">
        <v>31</v>
      </c>
    </row>
    <row r="658" spans="1:14" x14ac:dyDescent="0.35">
      <c r="A658" s="11" t="s">
        <v>7</v>
      </c>
      <c r="B658" s="11" t="s">
        <v>931</v>
      </c>
      <c r="C658" s="11">
        <v>8</v>
      </c>
      <c r="D658" s="11">
        <v>7</v>
      </c>
      <c r="E658" s="11" t="s">
        <v>692</v>
      </c>
      <c r="F658" s="11" t="s">
        <v>131</v>
      </c>
      <c r="G658" s="12">
        <v>1.82</v>
      </c>
      <c r="H658" s="13">
        <v>94.84615384615384</v>
      </c>
      <c r="I658" s="11" t="s">
        <v>927</v>
      </c>
      <c r="J658" s="11" t="s">
        <v>30</v>
      </c>
      <c r="K658" s="7">
        <f>INDEX(Benchmark!$H$5:$H$807,MATCH(I658,Benchmark!$A$5:$A$807,0))</f>
        <v>127.781015037594</v>
      </c>
      <c r="L658" s="14">
        <f t="shared" si="10"/>
        <v>-0.25774455760701631</v>
      </c>
      <c r="M658" s="15">
        <f>IF(L658&gt;Benchmark!$B$2,1,IF(L658&lt;-Benchmark!$B$2,5,3))</f>
        <v>5</v>
      </c>
      <c r="N658" s="3" t="s">
        <v>31</v>
      </c>
    </row>
    <row r="659" spans="1:14" x14ac:dyDescent="0.35">
      <c r="A659" s="11" t="s">
        <v>7</v>
      </c>
      <c r="B659" s="11" t="s">
        <v>932</v>
      </c>
      <c r="C659" s="11">
        <v>8</v>
      </c>
      <c r="D659" s="11">
        <v>12</v>
      </c>
      <c r="E659" s="11" t="s">
        <v>198</v>
      </c>
      <c r="F659" s="11" t="s">
        <v>131</v>
      </c>
      <c r="G659" s="12">
        <v>11.12</v>
      </c>
      <c r="H659" s="13">
        <v>104.8956834532374</v>
      </c>
      <c r="I659" s="11" t="s">
        <v>929</v>
      </c>
      <c r="J659" s="11" t="s">
        <v>30</v>
      </c>
      <c r="K659" s="7">
        <f>INDEX(Benchmark!$H$5:$H$807,MATCH(I659,Benchmark!$A$5:$A$807,0))</f>
        <v>124.3517444178628</v>
      </c>
      <c r="L659" s="14">
        <f t="shared" si="10"/>
        <v>-0.15645989572326902</v>
      </c>
      <c r="M659" s="15">
        <f>IF(L659&gt;Benchmark!$B$2,1,IF(L659&lt;-Benchmark!$B$2,5,3))</f>
        <v>5</v>
      </c>
      <c r="N659" s="3" t="s">
        <v>31</v>
      </c>
    </row>
    <row r="660" spans="1:14" x14ac:dyDescent="0.35">
      <c r="A660" s="11" t="s">
        <v>7</v>
      </c>
      <c r="B660" s="11" t="s">
        <v>933</v>
      </c>
      <c r="C660" s="11">
        <v>8</v>
      </c>
      <c r="D660" s="11">
        <v>6</v>
      </c>
      <c r="E660" s="11" t="s">
        <v>198</v>
      </c>
      <c r="F660" s="11" t="s">
        <v>131</v>
      </c>
      <c r="G660" s="12">
        <v>9</v>
      </c>
      <c r="H660" s="13">
        <v>88.102222222222224</v>
      </c>
      <c r="I660" s="11" t="s">
        <v>929</v>
      </c>
      <c r="J660" s="11" t="s">
        <v>30</v>
      </c>
      <c r="K660" s="7">
        <f>INDEX(Benchmark!$H$5:$H$807,MATCH(I660,Benchmark!$A$5:$A$807,0))</f>
        <v>124.3517444178628</v>
      </c>
      <c r="L660" s="14">
        <f t="shared" si="10"/>
        <v>-0.29150795081595515</v>
      </c>
      <c r="M660" s="15">
        <f>IF(L660&gt;Benchmark!$B$2,1,IF(L660&lt;-Benchmark!$B$2,5,3))</f>
        <v>5</v>
      </c>
      <c r="N660" s="3" t="s">
        <v>31</v>
      </c>
    </row>
    <row r="661" spans="1:14" x14ac:dyDescent="0.35">
      <c r="A661" s="11" t="s">
        <v>7</v>
      </c>
      <c r="B661" s="11" t="s">
        <v>934</v>
      </c>
      <c r="C661" s="11">
        <v>8</v>
      </c>
      <c r="D661" s="11">
        <v>6</v>
      </c>
      <c r="E661" s="11" t="s">
        <v>88</v>
      </c>
      <c r="F661" s="11" t="s">
        <v>131</v>
      </c>
      <c r="G661" s="12">
        <v>11.08</v>
      </c>
      <c r="H661" s="13">
        <v>93.113718411552355</v>
      </c>
      <c r="I661" s="11" t="s">
        <v>651</v>
      </c>
      <c r="J661" s="11" t="s">
        <v>30</v>
      </c>
      <c r="K661" s="7">
        <f>INDEX(Benchmark!$H$5:$H$807,MATCH(I661,Benchmark!$A$5:$A$807,0))</f>
        <v>125.49009863982791</v>
      </c>
      <c r="L661" s="14">
        <f t="shared" si="10"/>
        <v>-0.257999480271346</v>
      </c>
      <c r="M661" s="15">
        <f>IF(L661&gt;Benchmark!$B$2,1,IF(L661&lt;-Benchmark!$B$2,5,3))</f>
        <v>5</v>
      </c>
      <c r="N661" s="3" t="s">
        <v>31</v>
      </c>
    </row>
    <row r="662" spans="1:14" x14ac:dyDescent="0.35">
      <c r="A662" s="11" t="s">
        <v>7</v>
      </c>
      <c r="B662" s="11" t="s">
        <v>935</v>
      </c>
      <c r="C662" s="11">
        <v>8</v>
      </c>
      <c r="D662" s="11">
        <v>3</v>
      </c>
      <c r="E662" s="11" t="s">
        <v>27</v>
      </c>
      <c r="F662" s="11" t="s">
        <v>131</v>
      </c>
      <c r="G662" s="12">
        <v>17.350000000000001</v>
      </c>
      <c r="H662" s="13">
        <v>117.5752161383285</v>
      </c>
      <c r="I662" s="11" t="s">
        <v>653</v>
      </c>
      <c r="J662" s="11" t="s">
        <v>30</v>
      </c>
      <c r="K662" s="7">
        <f>INDEX(Benchmark!$H$5:$H$807,MATCH(I662,Benchmark!$A$5:$A$807,0))</f>
        <v>144.05763688760811</v>
      </c>
      <c r="L662" s="14">
        <f t="shared" si="10"/>
        <v>-0.18383211970873059</v>
      </c>
      <c r="M662" s="15">
        <f>IF(L662&gt;Benchmark!$B$2,1,IF(L662&lt;-Benchmark!$B$2,5,3))</f>
        <v>5</v>
      </c>
      <c r="N662" s="3" t="s">
        <v>31</v>
      </c>
    </row>
    <row r="663" spans="1:14" x14ac:dyDescent="0.35">
      <c r="A663" s="11" t="s">
        <v>7</v>
      </c>
      <c r="B663" s="11" t="s">
        <v>936</v>
      </c>
      <c r="C663" s="11">
        <v>8</v>
      </c>
      <c r="D663" s="11">
        <v>5</v>
      </c>
      <c r="E663" s="11" t="s">
        <v>198</v>
      </c>
      <c r="F663" s="11" t="s">
        <v>131</v>
      </c>
      <c r="G663" s="12">
        <v>8.2799999999999994</v>
      </c>
      <c r="H663" s="13">
        <v>89.187198067632863</v>
      </c>
      <c r="I663" s="11" t="s">
        <v>929</v>
      </c>
      <c r="J663" s="11" t="s">
        <v>30</v>
      </c>
      <c r="K663" s="7">
        <f>INDEX(Benchmark!$H$5:$H$807,MATCH(I663,Benchmark!$A$5:$A$807,0))</f>
        <v>124.3517444178628</v>
      </c>
      <c r="L663" s="14">
        <f t="shared" si="10"/>
        <v>-0.28278289552630231</v>
      </c>
      <c r="M663" s="15">
        <f>IF(L663&gt;Benchmark!$B$2,1,IF(L663&lt;-Benchmark!$B$2,5,3))</f>
        <v>5</v>
      </c>
      <c r="N663" s="3" t="s">
        <v>31</v>
      </c>
    </row>
    <row r="664" spans="1:14" x14ac:dyDescent="0.35">
      <c r="A664" s="11" t="s">
        <v>7</v>
      </c>
      <c r="B664" s="11" t="s">
        <v>937</v>
      </c>
      <c r="C664" s="11">
        <v>8</v>
      </c>
      <c r="D664" s="11">
        <v>6</v>
      </c>
      <c r="E664" s="11" t="s">
        <v>156</v>
      </c>
      <c r="F664" s="11" t="s">
        <v>131</v>
      </c>
      <c r="G664" s="12">
        <v>5.65</v>
      </c>
      <c r="H664" s="13">
        <v>111.0442477876106</v>
      </c>
      <c r="I664" s="11" t="s">
        <v>938</v>
      </c>
      <c r="J664" s="11" t="s">
        <v>30</v>
      </c>
      <c r="K664" s="7">
        <f>INDEX(Benchmark!$H$5:$H$807,MATCH(I664,Benchmark!$A$5:$A$807,0))</f>
        <v>114.63865248226951</v>
      </c>
      <c r="L664" s="14">
        <f t="shared" si="10"/>
        <v>-3.1354212709494567E-2</v>
      </c>
      <c r="M664" s="17">
        <f>IF(L664&gt;Benchmark!$B$2,1,IF(L664&lt;-Benchmark!$B$2,5,3))</f>
        <v>3</v>
      </c>
      <c r="N664" s="3" t="s">
        <v>31</v>
      </c>
    </row>
    <row r="665" spans="1:14" x14ac:dyDescent="0.35">
      <c r="A665" s="11" t="s">
        <v>7</v>
      </c>
      <c r="B665" s="11" t="s">
        <v>939</v>
      </c>
      <c r="C665" s="11">
        <v>8</v>
      </c>
      <c r="D665" s="11">
        <v>3</v>
      </c>
      <c r="E665" s="11" t="s">
        <v>27</v>
      </c>
      <c r="F665" s="11" t="s">
        <v>633</v>
      </c>
      <c r="G665" s="12">
        <v>19.57</v>
      </c>
      <c r="H665" s="13">
        <v>93.795605518650987</v>
      </c>
      <c r="I665" s="11" t="s">
        <v>658</v>
      </c>
      <c r="J665" s="11" t="s">
        <v>30</v>
      </c>
      <c r="K665" s="7">
        <f>INDEX(Benchmark!$H$5:$H$807,MATCH(I665,Benchmark!$A$5:$A$807,0))</f>
        <v>128.387190909645</v>
      </c>
      <c r="L665" s="14">
        <f t="shared" si="10"/>
        <v>-0.26943174896114452</v>
      </c>
      <c r="M665" s="15">
        <f>IF(L665&gt;Benchmark!$B$2,1,IF(L665&lt;-Benchmark!$B$2,5,3))</f>
        <v>5</v>
      </c>
      <c r="N665" s="3" t="s">
        <v>31</v>
      </c>
    </row>
    <row r="666" spans="1:14" x14ac:dyDescent="0.35">
      <c r="A666" s="11" t="s">
        <v>7</v>
      </c>
      <c r="B666" s="11" t="s">
        <v>940</v>
      </c>
      <c r="C666" s="11">
        <v>8</v>
      </c>
      <c r="D666" s="11">
        <v>2</v>
      </c>
      <c r="E666" s="11" t="s">
        <v>104</v>
      </c>
      <c r="F666" s="11" t="s">
        <v>364</v>
      </c>
      <c r="G666" s="12">
        <v>17.13</v>
      </c>
      <c r="H666" s="13">
        <v>108.83129013426741</v>
      </c>
      <c r="I666" s="11" t="s">
        <v>637</v>
      </c>
      <c r="J666" s="11" t="s">
        <v>30</v>
      </c>
      <c r="K666" s="7">
        <f>INDEX(Benchmark!$H$5:$H$807,MATCH(I666,Benchmark!$A$5:$A$807,0))</f>
        <v>114.22005012531331</v>
      </c>
      <c r="L666" s="14">
        <f t="shared" si="10"/>
        <v>-4.7178757014497696E-2</v>
      </c>
      <c r="M666" s="17">
        <f>IF(L666&gt;Benchmark!$B$2,1,IF(L666&lt;-Benchmark!$B$2,5,3))</f>
        <v>3</v>
      </c>
      <c r="N666" s="3" t="s">
        <v>31</v>
      </c>
    </row>
    <row r="667" spans="1:14" x14ac:dyDescent="0.35">
      <c r="A667" s="11" t="s">
        <v>7</v>
      </c>
      <c r="B667" s="11" t="s">
        <v>941</v>
      </c>
      <c r="C667" s="11">
        <v>8</v>
      </c>
      <c r="D667" s="11">
        <v>2</v>
      </c>
      <c r="E667" s="11" t="s">
        <v>88</v>
      </c>
      <c r="F667" s="11" t="s">
        <v>633</v>
      </c>
      <c r="G667" s="12">
        <v>17.64</v>
      </c>
      <c r="H667" s="13">
        <v>123.8526077097505</v>
      </c>
      <c r="I667" s="11" t="s">
        <v>644</v>
      </c>
      <c r="J667" s="11" t="s">
        <v>30</v>
      </c>
      <c r="K667" s="7">
        <f>INDEX(Benchmark!$H$5:$H$807,MATCH(I667,Benchmark!$A$5:$A$807,0))</f>
        <v>108.726573100639</v>
      </c>
      <c r="L667" s="14">
        <f t="shared" si="10"/>
        <v>0.1391199426023535</v>
      </c>
      <c r="M667" s="16">
        <f>IF(L667&gt;Benchmark!$B$2,1,IF(L667&lt;-Benchmark!$B$2,5,3))</f>
        <v>1</v>
      </c>
      <c r="N667" s="3" t="s">
        <v>31</v>
      </c>
    </row>
    <row r="668" spans="1:14" x14ac:dyDescent="0.35">
      <c r="A668" s="11" t="s">
        <v>7</v>
      </c>
      <c r="B668" s="11" t="s">
        <v>942</v>
      </c>
      <c r="C668" s="11">
        <v>8</v>
      </c>
      <c r="D668" s="11">
        <v>10</v>
      </c>
      <c r="E668" s="11" t="s">
        <v>198</v>
      </c>
      <c r="F668" s="11" t="s">
        <v>633</v>
      </c>
      <c r="G668" s="12">
        <v>11.39</v>
      </c>
      <c r="H668" s="13">
        <v>98.68305531167691</v>
      </c>
      <c r="I668" s="11" t="s">
        <v>634</v>
      </c>
      <c r="J668" s="11" t="s">
        <v>30</v>
      </c>
      <c r="K668" s="7">
        <f>INDEX(Benchmark!$H$5:$H$807,MATCH(I668,Benchmark!$A$5:$A$807,0))</f>
        <v>122.7119856887299</v>
      </c>
      <c r="L668" s="14">
        <f t="shared" si="10"/>
        <v>-0.19581567556085799</v>
      </c>
      <c r="M668" s="15">
        <f>IF(L668&gt;Benchmark!$B$2,1,IF(L668&lt;-Benchmark!$B$2,5,3))</f>
        <v>5</v>
      </c>
      <c r="N668" s="3" t="s">
        <v>31</v>
      </c>
    </row>
    <row r="669" spans="1:14" x14ac:dyDescent="0.35">
      <c r="A669" s="11" t="s">
        <v>7</v>
      </c>
      <c r="B669" s="11" t="s">
        <v>943</v>
      </c>
      <c r="C669" s="11">
        <v>8</v>
      </c>
      <c r="D669" s="11">
        <v>1</v>
      </c>
      <c r="E669" s="11" t="s">
        <v>78</v>
      </c>
      <c r="F669" s="11" t="s">
        <v>633</v>
      </c>
      <c r="G669" s="12">
        <v>7.8</v>
      </c>
      <c r="H669" s="13">
        <v>133.33333333333329</v>
      </c>
      <c r="I669" s="11" t="s">
        <v>702</v>
      </c>
      <c r="J669" s="11" t="s">
        <v>614</v>
      </c>
      <c r="K669" s="7">
        <f>INDEX(Benchmark!$H$5:$H$807,MATCH(I669,Benchmark!$A$5:$A$807,0))</f>
        <v>120.3572922555116</v>
      </c>
      <c r="L669" s="14">
        <f t="shared" si="10"/>
        <v>0.10781267038040632</v>
      </c>
      <c r="M669" s="16">
        <f>IF(L669&gt;Benchmark!$B$2,1,IF(L669&lt;-Benchmark!$B$2,5,3))</f>
        <v>1</v>
      </c>
      <c r="N669" s="3" t="s">
        <v>31</v>
      </c>
    </row>
    <row r="670" spans="1:14" x14ac:dyDescent="0.35">
      <c r="A670" s="11" t="s">
        <v>7</v>
      </c>
      <c r="B670" s="11" t="s">
        <v>944</v>
      </c>
      <c r="C670" s="11">
        <v>8</v>
      </c>
      <c r="D670" s="11">
        <v>1</v>
      </c>
      <c r="E670" s="11" t="s">
        <v>78</v>
      </c>
      <c r="F670" s="11" t="s">
        <v>633</v>
      </c>
      <c r="G670" s="12">
        <v>7.84</v>
      </c>
      <c r="H670" s="13">
        <v>147.68367346938771</v>
      </c>
      <c r="I670" s="11" t="s">
        <v>702</v>
      </c>
      <c r="J670" s="11" t="s">
        <v>614</v>
      </c>
      <c r="K670" s="7">
        <f>INDEX(Benchmark!$H$5:$H$807,MATCH(I670,Benchmark!$A$5:$A$807,0))</f>
        <v>120.3572922555116</v>
      </c>
      <c r="L670" s="14">
        <f t="shared" si="10"/>
        <v>0.2270438350828281</v>
      </c>
      <c r="M670" s="16">
        <f>IF(L670&gt;Benchmark!$B$2,1,IF(L670&lt;-Benchmark!$B$2,5,3))</f>
        <v>1</v>
      </c>
      <c r="N670" s="3" t="s">
        <v>31</v>
      </c>
    </row>
    <row r="671" spans="1:14" x14ac:dyDescent="0.35">
      <c r="A671" s="11" t="s">
        <v>7</v>
      </c>
      <c r="B671" s="11" t="s">
        <v>945</v>
      </c>
      <c r="C671" s="11">
        <v>8</v>
      </c>
      <c r="D671" s="11">
        <v>5</v>
      </c>
      <c r="E671" s="11" t="s">
        <v>104</v>
      </c>
      <c r="F671" s="11" t="s">
        <v>633</v>
      </c>
      <c r="G671" s="12">
        <v>16.88</v>
      </c>
      <c r="H671" s="13">
        <v>88.460900473933663</v>
      </c>
      <c r="I671" s="11" t="s">
        <v>700</v>
      </c>
      <c r="J671" s="11" t="s">
        <v>30</v>
      </c>
      <c r="K671" s="7">
        <f>INDEX(Benchmark!$H$5:$H$807,MATCH(I671,Benchmark!$A$5:$A$807,0))</f>
        <v>114.9706913557601</v>
      </c>
      <c r="L671" s="14">
        <f t="shared" si="10"/>
        <v>-0.23057868548250904</v>
      </c>
      <c r="M671" s="15">
        <f>IF(L671&gt;Benchmark!$B$2,1,IF(L671&lt;-Benchmark!$B$2,5,3))</f>
        <v>5</v>
      </c>
      <c r="N671" s="3" t="s">
        <v>31</v>
      </c>
    </row>
    <row r="672" spans="1:14" x14ac:dyDescent="0.35">
      <c r="A672" s="11" t="s">
        <v>7</v>
      </c>
      <c r="B672" s="11" t="s">
        <v>946</v>
      </c>
      <c r="C672" s="11">
        <v>8</v>
      </c>
      <c r="D672" s="11">
        <v>3</v>
      </c>
      <c r="E672" s="11" t="s">
        <v>692</v>
      </c>
      <c r="F672" s="11" t="s">
        <v>633</v>
      </c>
      <c r="G672" s="12">
        <v>4.3600000000000003</v>
      </c>
      <c r="H672" s="13">
        <v>98.42889908256879</v>
      </c>
      <c r="I672" s="11" t="s">
        <v>947</v>
      </c>
      <c r="J672" s="11" t="s">
        <v>30</v>
      </c>
      <c r="K672" s="7">
        <f>INDEX(Benchmark!$H$5:$H$807,MATCH(I672,Benchmark!$A$5:$A$807,0))</f>
        <v>114.47342192691031</v>
      </c>
      <c r="L672" s="14">
        <f t="shared" si="10"/>
        <v>-0.14015937126947875</v>
      </c>
      <c r="M672" s="15">
        <f>IF(L672&gt;Benchmark!$B$2,1,IF(L672&lt;-Benchmark!$B$2,5,3))</f>
        <v>5</v>
      </c>
      <c r="N672" s="3" t="s">
        <v>31</v>
      </c>
    </row>
    <row r="673" spans="1:14" x14ac:dyDescent="0.35">
      <c r="A673" s="11" t="s">
        <v>7</v>
      </c>
      <c r="B673" s="11" t="s">
        <v>948</v>
      </c>
      <c r="C673" s="11">
        <v>8</v>
      </c>
      <c r="D673" s="11">
        <v>4</v>
      </c>
      <c r="E673" s="11" t="s">
        <v>104</v>
      </c>
      <c r="F673" s="11" t="s">
        <v>633</v>
      </c>
      <c r="G673" s="12">
        <v>17.32</v>
      </c>
      <c r="H673" s="13">
        <v>87.864896073902997</v>
      </c>
      <c r="I673" s="11" t="s">
        <v>700</v>
      </c>
      <c r="J673" s="11" t="s">
        <v>30</v>
      </c>
      <c r="K673" s="7">
        <f>INDEX(Benchmark!$H$5:$H$807,MATCH(I673,Benchmark!$A$5:$A$807,0))</f>
        <v>114.9706913557601</v>
      </c>
      <c r="L673" s="14">
        <f t="shared" si="10"/>
        <v>-0.23576265361388626</v>
      </c>
      <c r="M673" s="15">
        <f>IF(L673&gt;Benchmark!$B$2,1,IF(L673&lt;-Benchmark!$B$2,5,3))</f>
        <v>5</v>
      </c>
      <c r="N673" s="3" t="s">
        <v>31</v>
      </c>
    </row>
    <row r="674" spans="1:14" x14ac:dyDescent="0.35">
      <c r="A674" s="11" t="s">
        <v>7</v>
      </c>
      <c r="B674" s="11" t="s">
        <v>949</v>
      </c>
      <c r="C674" s="11">
        <v>8</v>
      </c>
      <c r="D674" s="11">
        <v>2</v>
      </c>
      <c r="E674" s="11" t="s">
        <v>78</v>
      </c>
      <c r="F674" s="11" t="s">
        <v>633</v>
      </c>
      <c r="G674" s="12">
        <v>4.7</v>
      </c>
      <c r="H674" s="13">
        <v>138.91276595744679</v>
      </c>
      <c r="I674" s="11" t="s">
        <v>702</v>
      </c>
      <c r="J674" s="11" t="s">
        <v>614</v>
      </c>
      <c r="K674" s="7">
        <f>INDEX(Benchmark!$H$5:$H$807,MATCH(I674,Benchmark!$A$5:$A$807,0))</f>
        <v>120.3572922555116</v>
      </c>
      <c r="L674" s="14">
        <f t="shared" si="10"/>
        <v>0.15416991653935685</v>
      </c>
      <c r="M674" s="16">
        <f>IF(L674&gt;Benchmark!$B$2,1,IF(L674&lt;-Benchmark!$B$2,5,3))</f>
        <v>1</v>
      </c>
      <c r="N674" s="3" t="s">
        <v>31</v>
      </c>
    </row>
    <row r="675" spans="1:14" x14ac:dyDescent="0.35">
      <c r="A675" s="11" t="s">
        <v>7</v>
      </c>
      <c r="B675" s="11" t="s">
        <v>950</v>
      </c>
      <c r="C675" s="11">
        <v>8</v>
      </c>
      <c r="D675" s="11">
        <v>1</v>
      </c>
      <c r="E675" s="11" t="s">
        <v>78</v>
      </c>
      <c r="F675" s="11" t="s">
        <v>633</v>
      </c>
      <c r="G675" s="12">
        <v>7.59</v>
      </c>
      <c r="H675" s="13">
        <v>121.79051383399209</v>
      </c>
      <c r="I675" s="11" t="s">
        <v>702</v>
      </c>
      <c r="J675" s="11" t="s">
        <v>614</v>
      </c>
      <c r="K675" s="7">
        <f>INDEX(Benchmark!$H$5:$H$807,MATCH(I675,Benchmark!$A$5:$A$807,0))</f>
        <v>120.3572922555116</v>
      </c>
      <c r="L675" s="14">
        <f t="shared" si="10"/>
        <v>1.1908057680774853E-2</v>
      </c>
      <c r="M675" s="17">
        <f>IF(L675&gt;Benchmark!$B$2,1,IF(L675&lt;-Benchmark!$B$2,5,3))</f>
        <v>3</v>
      </c>
      <c r="N675" s="3" t="s">
        <v>31</v>
      </c>
    </row>
    <row r="676" spans="1:14" x14ac:dyDescent="0.35">
      <c r="A676" s="11" t="s">
        <v>7</v>
      </c>
      <c r="B676" s="11" t="s">
        <v>951</v>
      </c>
      <c r="C676" s="11">
        <v>8</v>
      </c>
      <c r="D676" s="11">
        <v>2</v>
      </c>
      <c r="E676" s="11" t="s">
        <v>27</v>
      </c>
      <c r="F676" s="11" t="s">
        <v>633</v>
      </c>
      <c r="G676" s="12">
        <v>12.22</v>
      </c>
      <c r="H676" s="13">
        <v>112.7823240589198</v>
      </c>
      <c r="I676" s="11" t="s">
        <v>658</v>
      </c>
      <c r="J676" s="11" t="s">
        <v>30</v>
      </c>
      <c r="K676" s="7">
        <f>INDEX(Benchmark!$H$5:$H$807,MATCH(I676,Benchmark!$A$5:$A$807,0))</f>
        <v>128.387190909645</v>
      </c>
      <c r="L676" s="14">
        <f t="shared" si="10"/>
        <v>-0.12154535620073992</v>
      </c>
      <c r="M676" s="15">
        <f>IF(L676&gt;Benchmark!$B$2,1,IF(L676&lt;-Benchmark!$B$2,5,3))</f>
        <v>5</v>
      </c>
      <c r="N676" s="3" t="s">
        <v>31</v>
      </c>
    </row>
    <row r="677" spans="1:14" x14ac:dyDescent="0.35">
      <c r="A677" s="11" t="s">
        <v>7</v>
      </c>
      <c r="B677" s="11" t="s">
        <v>952</v>
      </c>
      <c r="C677" s="11">
        <v>8</v>
      </c>
      <c r="D677" s="11">
        <v>12</v>
      </c>
      <c r="E677" s="11" t="s">
        <v>198</v>
      </c>
      <c r="F677" s="11" t="s">
        <v>633</v>
      </c>
      <c r="G677" s="12">
        <v>1.98</v>
      </c>
      <c r="H677" s="13">
        <v>94.742424242424249</v>
      </c>
      <c r="I677" s="11" t="s">
        <v>634</v>
      </c>
      <c r="J677" s="11" t="s">
        <v>30</v>
      </c>
      <c r="K677" s="7">
        <f>INDEX(Benchmark!$H$5:$H$807,MATCH(I677,Benchmark!$A$5:$A$807,0))</f>
        <v>122.7119856887299</v>
      </c>
      <c r="L677" s="14">
        <f t="shared" si="10"/>
        <v>-0.22792852132026431</v>
      </c>
      <c r="M677" s="15">
        <f>IF(L677&gt;Benchmark!$B$2,1,IF(L677&lt;-Benchmark!$B$2,5,3))</f>
        <v>5</v>
      </c>
      <c r="N677" s="3" t="s">
        <v>31</v>
      </c>
    </row>
    <row r="678" spans="1:14" x14ac:dyDescent="0.35">
      <c r="A678" s="11" t="s">
        <v>7</v>
      </c>
      <c r="B678" s="11" t="s">
        <v>953</v>
      </c>
      <c r="C678" s="11">
        <v>8</v>
      </c>
      <c r="D678" s="11">
        <v>3</v>
      </c>
      <c r="E678" s="11" t="s">
        <v>27</v>
      </c>
      <c r="F678" s="11" t="s">
        <v>633</v>
      </c>
      <c r="G678" s="12">
        <v>16.100000000000001</v>
      </c>
      <c r="H678" s="13">
        <v>111.3142857142857</v>
      </c>
      <c r="I678" s="11" t="s">
        <v>658</v>
      </c>
      <c r="J678" s="11" t="s">
        <v>30</v>
      </c>
      <c r="K678" s="7">
        <f>INDEX(Benchmark!$H$5:$H$807,MATCH(I678,Benchmark!$A$5:$A$807,0))</f>
        <v>128.387190909645</v>
      </c>
      <c r="L678" s="14">
        <f t="shared" si="10"/>
        <v>-0.13297981733531883</v>
      </c>
      <c r="M678" s="15">
        <f>IF(L678&gt;Benchmark!$B$2,1,IF(L678&lt;-Benchmark!$B$2,5,3))</f>
        <v>5</v>
      </c>
      <c r="N678" s="3" t="s">
        <v>31</v>
      </c>
    </row>
    <row r="679" spans="1:14" x14ac:dyDescent="0.35">
      <c r="A679" s="11" t="s">
        <v>7</v>
      </c>
      <c r="B679" s="11" t="s">
        <v>954</v>
      </c>
      <c r="C679" s="11">
        <v>8</v>
      </c>
      <c r="D679" s="11">
        <v>3</v>
      </c>
      <c r="E679" s="11" t="s">
        <v>27</v>
      </c>
      <c r="F679" s="11" t="s">
        <v>633</v>
      </c>
      <c r="G679" s="12">
        <v>6.06</v>
      </c>
      <c r="H679" s="13">
        <v>130.45874587458749</v>
      </c>
      <c r="I679" s="11" t="s">
        <v>658</v>
      </c>
      <c r="J679" s="11" t="s">
        <v>30</v>
      </c>
      <c r="K679" s="7">
        <f>INDEX(Benchmark!$H$5:$H$807,MATCH(I679,Benchmark!$A$5:$A$807,0))</f>
        <v>128.387190909645</v>
      </c>
      <c r="L679" s="14">
        <f t="shared" si="10"/>
        <v>1.6135215283278548E-2</v>
      </c>
      <c r="M679" s="17">
        <f>IF(L679&gt;Benchmark!$B$2,1,IF(L679&lt;-Benchmark!$B$2,5,3))</f>
        <v>3</v>
      </c>
      <c r="N679" s="3" t="s">
        <v>31</v>
      </c>
    </row>
    <row r="680" spans="1:14" x14ac:dyDescent="0.35">
      <c r="A680" s="11" t="s">
        <v>7</v>
      </c>
      <c r="B680" s="11" t="s">
        <v>955</v>
      </c>
      <c r="C680" s="11">
        <v>8</v>
      </c>
      <c r="D680" s="11">
        <v>4</v>
      </c>
      <c r="E680" s="11" t="s">
        <v>104</v>
      </c>
      <c r="F680" s="11" t="s">
        <v>633</v>
      </c>
      <c r="G680" s="12">
        <v>11.65</v>
      </c>
      <c r="H680" s="13">
        <v>97.229184549356219</v>
      </c>
      <c r="I680" s="11" t="s">
        <v>700</v>
      </c>
      <c r="J680" s="11" t="s">
        <v>30</v>
      </c>
      <c r="K680" s="7">
        <f>INDEX(Benchmark!$H$5:$H$807,MATCH(I680,Benchmark!$A$5:$A$807,0))</f>
        <v>114.9706913557601</v>
      </c>
      <c r="L680" s="14">
        <f t="shared" si="10"/>
        <v>-0.1543133001740884</v>
      </c>
      <c r="M680" s="15">
        <f>IF(L680&gt;Benchmark!$B$2,1,IF(L680&lt;-Benchmark!$B$2,5,3))</f>
        <v>5</v>
      </c>
      <c r="N680" s="3" t="s">
        <v>31</v>
      </c>
    </row>
    <row r="681" spans="1:14" x14ac:dyDescent="0.35">
      <c r="A681" s="11" t="s">
        <v>7</v>
      </c>
      <c r="B681" s="11" t="s">
        <v>956</v>
      </c>
      <c r="C681" s="11">
        <v>8</v>
      </c>
      <c r="D681" s="11">
        <v>5</v>
      </c>
      <c r="E681" s="11" t="s">
        <v>104</v>
      </c>
      <c r="F681" s="11" t="s">
        <v>633</v>
      </c>
      <c r="G681" s="12">
        <v>5.58</v>
      </c>
      <c r="H681" s="13">
        <v>122.9964157706093</v>
      </c>
      <c r="I681" s="11" t="s">
        <v>700</v>
      </c>
      <c r="J681" s="11" t="s">
        <v>30</v>
      </c>
      <c r="K681" s="7">
        <f>INDEX(Benchmark!$H$5:$H$807,MATCH(I681,Benchmark!$A$5:$A$807,0))</f>
        <v>114.9706913557601</v>
      </c>
      <c r="L681" s="14">
        <f t="shared" si="10"/>
        <v>6.9806698735199957E-2</v>
      </c>
      <c r="M681" s="16">
        <f>IF(L681&gt;Benchmark!$B$2,1,IF(L681&lt;-Benchmark!$B$2,5,3))</f>
        <v>1</v>
      </c>
      <c r="N681" s="3" t="s">
        <v>31</v>
      </c>
    </row>
    <row r="682" spans="1:14" x14ac:dyDescent="0.35">
      <c r="A682" s="11" t="s">
        <v>7</v>
      </c>
      <c r="B682" s="11" t="s">
        <v>957</v>
      </c>
      <c r="C682" s="11">
        <v>8</v>
      </c>
      <c r="D682" s="11">
        <v>3</v>
      </c>
      <c r="E682" s="11" t="s">
        <v>27</v>
      </c>
      <c r="F682" s="11" t="s">
        <v>633</v>
      </c>
      <c r="G682" s="12">
        <v>9.64</v>
      </c>
      <c r="H682" s="13">
        <v>107.4917012448133</v>
      </c>
      <c r="I682" s="11" t="s">
        <v>658</v>
      </c>
      <c r="J682" s="11" t="s">
        <v>30</v>
      </c>
      <c r="K682" s="7">
        <f>INDEX(Benchmark!$H$5:$H$807,MATCH(I682,Benchmark!$A$5:$A$807,0))</f>
        <v>128.387190909645</v>
      </c>
      <c r="L682" s="14">
        <f t="shared" si="10"/>
        <v>-0.16275369463872225</v>
      </c>
      <c r="M682" s="15">
        <f>IF(L682&gt;Benchmark!$B$2,1,IF(L682&lt;-Benchmark!$B$2,5,3))</f>
        <v>5</v>
      </c>
      <c r="N682" s="3" t="s">
        <v>31</v>
      </c>
    </row>
    <row r="683" spans="1:14" x14ac:dyDescent="0.35">
      <c r="A683" s="11" t="s">
        <v>7</v>
      </c>
      <c r="B683" s="11" t="s">
        <v>958</v>
      </c>
      <c r="C683" s="11">
        <v>8</v>
      </c>
      <c r="D683" s="11">
        <v>2</v>
      </c>
      <c r="E683" s="11" t="s">
        <v>27</v>
      </c>
      <c r="F683" s="11" t="s">
        <v>633</v>
      </c>
      <c r="G683" s="12">
        <v>17.38</v>
      </c>
      <c r="H683" s="13">
        <v>116.0448791714614</v>
      </c>
      <c r="I683" s="11" t="s">
        <v>658</v>
      </c>
      <c r="J683" s="11" t="s">
        <v>30</v>
      </c>
      <c r="K683" s="7">
        <f>INDEX(Benchmark!$H$5:$H$807,MATCH(I683,Benchmark!$A$5:$A$807,0))</f>
        <v>128.387190909645</v>
      </c>
      <c r="L683" s="14">
        <f t="shared" si="10"/>
        <v>-9.6133513403761084E-2</v>
      </c>
      <c r="M683" s="15">
        <f>IF(L683&gt;Benchmark!$B$2,1,IF(L683&lt;-Benchmark!$B$2,5,3))</f>
        <v>5</v>
      </c>
      <c r="N683" s="3" t="s">
        <v>31</v>
      </c>
    </row>
    <row r="684" spans="1:14" x14ac:dyDescent="0.35">
      <c r="A684" s="11" t="s">
        <v>7</v>
      </c>
      <c r="B684" s="11" t="s">
        <v>959</v>
      </c>
      <c r="C684" s="11">
        <v>8</v>
      </c>
      <c r="D684" s="11">
        <v>2</v>
      </c>
      <c r="E684" s="11" t="s">
        <v>27</v>
      </c>
      <c r="F684" s="11" t="s">
        <v>633</v>
      </c>
      <c r="G684" s="12">
        <v>5.95</v>
      </c>
      <c r="H684" s="13">
        <v>102.5798319327731</v>
      </c>
      <c r="I684" s="11" t="s">
        <v>658</v>
      </c>
      <c r="J684" s="11" t="s">
        <v>30</v>
      </c>
      <c r="K684" s="7">
        <f>INDEX(Benchmark!$H$5:$H$807,MATCH(I684,Benchmark!$A$5:$A$807,0))</f>
        <v>128.387190909645</v>
      </c>
      <c r="L684" s="14">
        <f t="shared" si="10"/>
        <v>-0.20101194514828458</v>
      </c>
      <c r="M684" s="15">
        <f>IF(L684&gt;Benchmark!$B$2,1,IF(L684&lt;-Benchmark!$B$2,5,3))</f>
        <v>5</v>
      </c>
      <c r="N684" s="3" t="s">
        <v>31</v>
      </c>
    </row>
    <row r="685" spans="1:14" x14ac:dyDescent="0.35">
      <c r="A685" s="11" t="s">
        <v>7</v>
      </c>
      <c r="B685" s="11" t="s">
        <v>960</v>
      </c>
      <c r="C685" s="11">
        <v>8</v>
      </c>
      <c r="D685" s="11">
        <v>3</v>
      </c>
      <c r="E685" s="11" t="s">
        <v>27</v>
      </c>
      <c r="F685" s="11" t="s">
        <v>633</v>
      </c>
      <c r="G685" s="12">
        <v>6.2</v>
      </c>
      <c r="H685" s="13">
        <v>111.3048387096774</v>
      </c>
      <c r="I685" s="11" t="s">
        <v>658</v>
      </c>
      <c r="J685" s="11" t="s">
        <v>30</v>
      </c>
      <c r="K685" s="7">
        <f>INDEX(Benchmark!$H$5:$H$807,MATCH(I685,Benchmark!$A$5:$A$807,0))</f>
        <v>128.387190909645</v>
      </c>
      <c r="L685" s="14">
        <f t="shared" si="10"/>
        <v>-0.13305339947806505</v>
      </c>
      <c r="M685" s="15">
        <f>IF(L685&gt;Benchmark!$B$2,1,IF(L685&lt;-Benchmark!$B$2,5,3))</f>
        <v>5</v>
      </c>
      <c r="N685" s="3" t="s">
        <v>31</v>
      </c>
    </row>
    <row r="686" spans="1:14" x14ac:dyDescent="0.35">
      <c r="A686" s="11" t="s">
        <v>7</v>
      </c>
      <c r="B686" s="11" t="s">
        <v>961</v>
      </c>
      <c r="C686" s="11">
        <v>8</v>
      </c>
      <c r="D686" s="11">
        <v>1</v>
      </c>
      <c r="E686" s="11" t="s">
        <v>27</v>
      </c>
      <c r="F686" s="11" t="s">
        <v>360</v>
      </c>
      <c r="G686" s="12">
        <v>14.83</v>
      </c>
      <c r="H686" s="13">
        <v>96.651382333108558</v>
      </c>
      <c r="I686" s="11" t="s">
        <v>734</v>
      </c>
      <c r="J686" s="11" t="s">
        <v>37</v>
      </c>
      <c r="K686" s="7">
        <f>INDEX(Benchmark!$H$5:$H$807,MATCH(I686,Benchmark!$A$5:$A$807,0))</f>
        <v>133.21602787456439</v>
      </c>
      <c r="L686" s="14">
        <f t="shared" si="10"/>
        <v>-0.27447632334365157</v>
      </c>
      <c r="M686" s="15">
        <f>IF(L686&gt;Benchmark!$B$2,1,IF(L686&lt;-Benchmark!$B$2,5,3))</f>
        <v>5</v>
      </c>
      <c r="N686" s="3" t="s">
        <v>31</v>
      </c>
    </row>
    <row r="687" spans="1:14" x14ac:dyDescent="0.35">
      <c r="A687" s="11" t="s">
        <v>7</v>
      </c>
      <c r="B687" s="11" t="s">
        <v>962</v>
      </c>
      <c r="C687" s="11">
        <v>8</v>
      </c>
      <c r="D687" s="11">
        <v>1</v>
      </c>
      <c r="E687" s="11" t="s">
        <v>48</v>
      </c>
      <c r="F687" s="11" t="s">
        <v>364</v>
      </c>
      <c r="G687" s="12">
        <v>5.1100000000000003</v>
      </c>
      <c r="H687" s="13">
        <v>99.722113502935414</v>
      </c>
      <c r="I687" s="11" t="s">
        <v>963</v>
      </c>
      <c r="J687" s="11" t="s">
        <v>37</v>
      </c>
      <c r="K687" s="7">
        <f>INDEX(Benchmark!$H$5:$H$807,MATCH(I687,Benchmark!$A$5:$A$807,0))</f>
        <v>146.51635977190529</v>
      </c>
      <c r="L687" s="14">
        <f t="shared" si="10"/>
        <v>-0.31937898499402062</v>
      </c>
      <c r="M687" s="15">
        <f>IF(L687&gt;Benchmark!$B$2,1,IF(L687&lt;-Benchmark!$B$2,5,3))</f>
        <v>5</v>
      </c>
      <c r="N687" s="3" t="s">
        <v>31</v>
      </c>
    </row>
    <row r="688" spans="1:14" x14ac:dyDescent="0.35">
      <c r="A688" s="11" t="s">
        <v>7</v>
      </c>
      <c r="B688" s="11" t="s">
        <v>964</v>
      </c>
      <c r="C688" s="11">
        <v>8</v>
      </c>
      <c r="D688" s="11">
        <v>4</v>
      </c>
      <c r="E688" s="11" t="s">
        <v>88</v>
      </c>
      <c r="F688" s="11" t="s">
        <v>633</v>
      </c>
      <c r="G688" s="12">
        <v>4.13</v>
      </c>
      <c r="H688" s="13">
        <v>113.0847457627119</v>
      </c>
      <c r="I688" s="11" t="s">
        <v>644</v>
      </c>
      <c r="J688" s="11" t="s">
        <v>30</v>
      </c>
      <c r="K688" s="7">
        <f>INDEX(Benchmark!$H$5:$H$807,MATCH(I688,Benchmark!$A$5:$A$807,0))</f>
        <v>108.726573100639</v>
      </c>
      <c r="L688" s="14">
        <f t="shared" si="10"/>
        <v>4.0083785755290036E-2</v>
      </c>
      <c r="M688" s="17">
        <f>IF(L688&gt;Benchmark!$B$2,1,IF(L688&lt;-Benchmark!$B$2,5,3))</f>
        <v>3</v>
      </c>
      <c r="N688" s="3" t="s">
        <v>31</v>
      </c>
    </row>
    <row r="689" spans="1:14" x14ac:dyDescent="0.35">
      <c r="A689" s="11" t="s">
        <v>7</v>
      </c>
      <c r="B689" s="11" t="s">
        <v>965</v>
      </c>
      <c r="C689" s="11">
        <v>8</v>
      </c>
      <c r="D689" s="11">
        <v>2</v>
      </c>
      <c r="E689" s="11" t="s">
        <v>27</v>
      </c>
      <c r="F689" s="11" t="s">
        <v>502</v>
      </c>
      <c r="G689" s="12">
        <v>9</v>
      </c>
      <c r="H689" s="13">
        <v>96.49</v>
      </c>
      <c r="I689" s="11" t="s">
        <v>775</v>
      </c>
      <c r="J689" s="11" t="s">
        <v>30</v>
      </c>
      <c r="K689" s="7">
        <f>INDEX(Benchmark!$H$5:$H$807,MATCH(I689,Benchmark!$A$5:$A$807,0))</f>
        <v>141.3474440894569</v>
      </c>
      <c r="L689" s="14">
        <f t="shared" si="10"/>
        <v>-0.31735589121135599</v>
      </c>
      <c r="M689" s="15">
        <f>IF(L689&gt;Benchmark!$B$2,1,IF(L689&lt;-Benchmark!$B$2,5,3))</f>
        <v>5</v>
      </c>
      <c r="N689" s="3" t="s">
        <v>31</v>
      </c>
    </row>
    <row r="690" spans="1:14" x14ac:dyDescent="0.35">
      <c r="A690" s="11" t="s">
        <v>7</v>
      </c>
      <c r="B690" s="11" t="s">
        <v>966</v>
      </c>
      <c r="C690" s="11">
        <v>8</v>
      </c>
      <c r="D690" s="11">
        <v>14</v>
      </c>
      <c r="E690" s="11" t="s">
        <v>114</v>
      </c>
      <c r="F690" s="11" t="s">
        <v>364</v>
      </c>
      <c r="G690" s="12">
        <v>1.32</v>
      </c>
      <c r="H690" s="13">
        <v>144.3787878787879</v>
      </c>
      <c r="I690" s="11" t="s">
        <v>718</v>
      </c>
      <c r="J690" s="11" t="s">
        <v>30</v>
      </c>
      <c r="K690" s="7">
        <f>INDEX(Benchmark!$H$5:$H$807,MATCH(I690,Benchmark!$A$5:$A$807,0))</f>
        <v>126.82149084568439</v>
      </c>
      <c r="L690" s="14">
        <f t="shared" si="10"/>
        <v>0.13844102380460988</v>
      </c>
      <c r="M690" s="16">
        <f>IF(L690&gt;Benchmark!$B$2,1,IF(L690&lt;-Benchmark!$B$2,5,3))</f>
        <v>1</v>
      </c>
      <c r="N690" s="3" t="s">
        <v>31</v>
      </c>
    </row>
    <row r="691" spans="1:14" x14ac:dyDescent="0.35">
      <c r="A691" s="11" t="s">
        <v>7</v>
      </c>
      <c r="B691" s="11" t="s">
        <v>967</v>
      </c>
      <c r="C691" s="11">
        <v>8</v>
      </c>
      <c r="D691" s="11">
        <v>12</v>
      </c>
      <c r="E691" s="11" t="s">
        <v>198</v>
      </c>
      <c r="F691" s="11" t="s">
        <v>502</v>
      </c>
      <c r="G691" s="12">
        <v>1.19</v>
      </c>
      <c r="H691" s="13">
        <v>85.361344537815128</v>
      </c>
      <c r="I691" s="11" t="s">
        <v>968</v>
      </c>
      <c r="J691" s="11" t="s">
        <v>30</v>
      </c>
      <c r="K691" s="7">
        <f>INDEX(Benchmark!$H$5:$H$807,MATCH(I691,Benchmark!$A$5:$A$807,0))</f>
        <v>128.99451869176229</v>
      </c>
      <c r="L691" s="14">
        <f t="shared" si="10"/>
        <v>-0.33825603286454697</v>
      </c>
      <c r="M691" s="15">
        <f>IF(L691&gt;Benchmark!$B$2,1,IF(L691&lt;-Benchmark!$B$2,5,3))</f>
        <v>5</v>
      </c>
      <c r="N691" s="3" t="s">
        <v>31</v>
      </c>
    </row>
    <row r="692" spans="1:14" x14ac:dyDescent="0.35">
      <c r="A692" s="11" t="s">
        <v>7</v>
      </c>
      <c r="B692" s="11" t="s">
        <v>969</v>
      </c>
      <c r="C692" s="11">
        <v>8</v>
      </c>
      <c r="D692" s="11">
        <v>1</v>
      </c>
      <c r="E692" s="11" t="s">
        <v>78</v>
      </c>
      <c r="F692" s="11" t="s">
        <v>633</v>
      </c>
      <c r="G692" s="12">
        <v>5.75</v>
      </c>
      <c r="H692" s="13">
        <v>130.84869565217389</v>
      </c>
      <c r="I692" s="11" t="s">
        <v>702</v>
      </c>
      <c r="J692" s="11" t="s">
        <v>614</v>
      </c>
      <c r="K692" s="7">
        <f>INDEX(Benchmark!$H$5:$H$807,MATCH(I692,Benchmark!$A$5:$A$807,0))</f>
        <v>120.3572922555116</v>
      </c>
      <c r="L692" s="14">
        <f t="shared" si="10"/>
        <v>8.7168822096708842E-2</v>
      </c>
      <c r="M692" s="16">
        <f>IF(L692&gt;Benchmark!$B$2,1,IF(L692&lt;-Benchmark!$B$2,5,3))</f>
        <v>1</v>
      </c>
      <c r="N692" s="3" t="s">
        <v>31</v>
      </c>
    </row>
    <row r="693" spans="1:14" x14ac:dyDescent="0.35">
      <c r="A693" s="11" t="s">
        <v>7</v>
      </c>
      <c r="B693" s="11" t="s">
        <v>970</v>
      </c>
      <c r="C693" s="11">
        <v>8</v>
      </c>
      <c r="D693" s="11">
        <v>2</v>
      </c>
      <c r="E693" s="11" t="s">
        <v>78</v>
      </c>
      <c r="F693" s="11" t="s">
        <v>633</v>
      </c>
      <c r="G693" s="12">
        <v>3.98</v>
      </c>
      <c r="H693" s="13">
        <v>87.288944723618101</v>
      </c>
      <c r="I693" s="11" t="s">
        <v>702</v>
      </c>
      <c r="J693" s="11" t="s">
        <v>614</v>
      </c>
      <c r="K693" s="7">
        <f>INDEX(Benchmark!$H$5:$H$807,MATCH(I693,Benchmark!$A$5:$A$807,0))</f>
        <v>120.3572922555116</v>
      </c>
      <c r="L693" s="14">
        <f t="shared" si="10"/>
        <v>-0.274751507882807</v>
      </c>
      <c r="M693" s="15">
        <f>IF(L693&gt;Benchmark!$B$2,1,IF(L693&lt;-Benchmark!$B$2,5,3))</f>
        <v>5</v>
      </c>
      <c r="N693" s="3" t="s">
        <v>31</v>
      </c>
    </row>
    <row r="694" spans="1:14" x14ac:dyDescent="0.35">
      <c r="A694" s="11" t="s">
        <v>7</v>
      </c>
      <c r="B694" s="11" t="s">
        <v>971</v>
      </c>
      <c r="C694" s="11">
        <v>8</v>
      </c>
      <c r="D694" s="11">
        <v>13</v>
      </c>
      <c r="E694" s="11" t="s">
        <v>972</v>
      </c>
      <c r="F694" s="11" t="s">
        <v>633</v>
      </c>
      <c r="G694" s="12">
        <v>2.68</v>
      </c>
      <c r="H694" s="13">
        <v>78.242537313432834</v>
      </c>
      <c r="I694" s="11" t="s">
        <v>973</v>
      </c>
      <c r="J694" s="11" t="s">
        <v>30</v>
      </c>
      <c r="K694" s="7">
        <f>INDEX(Benchmark!$H$5:$H$807,MATCH(I694,Benchmark!$A$5:$A$807,0))</f>
        <v>107.7068493150685</v>
      </c>
      <c r="L694" s="14">
        <f t="shared" si="10"/>
        <v>-0.27356024420921876</v>
      </c>
      <c r="M694" s="15">
        <f>IF(L694&gt;Benchmark!$B$2,1,IF(L694&lt;-Benchmark!$B$2,5,3))</f>
        <v>5</v>
      </c>
      <c r="N694" s="3" t="s">
        <v>31</v>
      </c>
    </row>
    <row r="695" spans="1:14" x14ac:dyDescent="0.35">
      <c r="A695" s="11" t="s">
        <v>7</v>
      </c>
      <c r="B695" s="11" t="s">
        <v>974</v>
      </c>
      <c r="C695" s="11">
        <v>8</v>
      </c>
      <c r="D695" s="11">
        <v>13</v>
      </c>
      <c r="E695" s="11" t="s">
        <v>198</v>
      </c>
      <c r="F695" s="11" t="s">
        <v>364</v>
      </c>
      <c r="G695" s="12">
        <v>13.47</v>
      </c>
      <c r="H695" s="13">
        <v>124.2576095025984</v>
      </c>
      <c r="I695" s="11" t="s">
        <v>709</v>
      </c>
      <c r="J695" s="11" t="s">
        <v>30</v>
      </c>
      <c r="K695" s="7">
        <f>INDEX(Benchmark!$H$5:$H$807,MATCH(I695,Benchmark!$A$5:$A$807,0))</f>
        <v>125.33667409057161</v>
      </c>
      <c r="L695" s="14">
        <f t="shared" si="10"/>
        <v>-8.6093284013061266E-3</v>
      </c>
      <c r="M695" s="17">
        <f>IF(L695&gt;Benchmark!$B$2,1,IF(L695&lt;-Benchmark!$B$2,5,3))</f>
        <v>3</v>
      </c>
      <c r="N695" s="3" t="s">
        <v>31</v>
      </c>
    </row>
    <row r="696" spans="1:14" x14ac:dyDescent="0.35">
      <c r="A696" s="11" t="s">
        <v>7</v>
      </c>
      <c r="B696" s="11" t="s">
        <v>975</v>
      </c>
      <c r="C696" s="11">
        <v>8</v>
      </c>
      <c r="D696" s="11">
        <v>3</v>
      </c>
      <c r="E696" s="11" t="s">
        <v>27</v>
      </c>
      <c r="F696" s="11" t="s">
        <v>35</v>
      </c>
      <c r="G696" s="12">
        <v>15.65</v>
      </c>
      <c r="H696" s="13">
        <v>125.5424920127795</v>
      </c>
      <c r="I696" s="11" t="s">
        <v>682</v>
      </c>
      <c r="J696" s="11" t="s">
        <v>30</v>
      </c>
      <c r="K696" s="7">
        <f>INDEX(Benchmark!$H$5:$H$807,MATCH(I696,Benchmark!$A$5:$A$807,0))</f>
        <v>145.44695259593681</v>
      </c>
      <c r="L696" s="14">
        <f t="shared" si="10"/>
        <v>-0.13685031021896676</v>
      </c>
      <c r="M696" s="15">
        <f>IF(L696&gt;Benchmark!$B$2,1,IF(L696&lt;-Benchmark!$B$2,5,3))</f>
        <v>5</v>
      </c>
      <c r="N696" s="3" t="s">
        <v>31</v>
      </c>
    </row>
    <row r="697" spans="1:14" x14ac:dyDescent="0.35">
      <c r="A697" s="11" t="s">
        <v>7</v>
      </c>
      <c r="B697" s="11" t="s">
        <v>976</v>
      </c>
      <c r="C697" s="11">
        <v>8</v>
      </c>
      <c r="D697" s="11">
        <v>10</v>
      </c>
      <c r="E697" s="11" t="s">
        <v>198</v>
      </c>
      <c r="F697" s="11" t="s">
        <v>730</v>
      </c>
      <c r="G697" s="12">
        <v>15.12</v>
      </c>
      <c r="H697" s="13">
        <v>127.3214285714286</v>
      </c>
      <c r="I697" s="11" t="s">
        <v>977</v>
      </c>
      <c r="J697" s="11" t="s">
        <v>30</v>
      </c>
      <c r="K697" s="7">
        <f>INDEX(Benchmark!$H$5:$H$807,MATCH(I697,Benchmark!$A$5:$A$807,0))</f>
        <v>140.45626875610199</v>
      </c>
      <c r="L697" s="14">
        <f t="shared" si="10"/>
        <v>-9.3515514124055565E-2</v>
      </c>
      <c r="M697" s="15">
        <f>IF(L697&gt;Benchmark!$B$2,1,IF(L697&lt;-Benchmark!$B$2,5,3))</f>
        <v>5</v>
      </c>
      <c r="N697" s="3" t="s">
        <v>31</v>
      </c>
    </row>
    <row r="698" spans="1:14" x14ac:dyDescent="0.35">
      <c r="A698" s="11" t="s">
        <v>7</v>
      </c>
      <c r="B698" s="11" t="s">
        <v>978</v>
      </c>
      <c r="C698" s="11">
        <v>8</v>
      </c>
      <c r="D698" s="11">
        <v>10</v>
      </c>
      <c r="E698" s="11" t="s">
        <v>198</v>
      </c>
      <c r="F698" s="11" t="s">
        <v>730</v>
      </c>
      <c r="G698" s="12">
        <v>15.99</v>
      </c>
      <c r="H698" s="13">
        <v>123.9962476547842</v>
      </c>
      <c r="I698" s="11" t="s">
        <v>977</v>
      </c>
      <c r="J698" s="11" t="s">
        <v>30</v>
      </c>
      <c r="K698" s="7">
        <f>INDEX(Benchmark!$H$5:$H$807,MATCH(I698,Benchmark!$A$5:$A$807,0))</f>
        <v>140.45626875610199</v>
      </c>
      <c r="L698" s="14">
        <f t="shared" si="10"/>
        <v>-0.1171896508934045</v>
      </c>
      <c r="M698" s="15">
        <f>IF(L698&gt;Benchmark!$B$2,1,IF(L698&lt;-Benchmark!$B$2,5,3))</f>
        <v>5</v>
      </c>
      <c r="N698" s="3" t="s">
        <v>31</v>
      </c>
    </row>
    <row r="699" spans="1:14" x14ac:dyDescent="0.35">
      <c r="A699" s="11" t="s">
        <v>7</v>
      </c>
      <c r="B699" s="11" t="s">
        <v>979</v>
      </c>
      <c r="C699" s="11">
        <v>8</v>
      </c>
      <c r="D699" s="11">
        <v>5</v>
      </c>
      <c r="E699" s="11" t="s">
        <v>198</v>
      </c>
      <c r="F699" s="11" t="s">
        <v>633</v>
      </c>
      <c r="G699" s="12">
        <v>6.25</v>
      </c>
      <c r="H699" s="13">
        <v>104.1024</v>
      </c>
      <c r="I699" s="11" t="s">
        <v>634</v>
      </c>
      <c r="J699" s="11" t="s">
        <v>30</v>
      </c>
      <c r="K699" s="7">
        <f>INDEX(Benchmark!$H$5:$H$807,MATCH(I699,Benchmark!$A$5:$A$807,0))</f>
        <v>122.7119856887299</v>
      </c>
      <c r="L699" s="14">
        <f t="shared" si="10"/>
        <v>-0.15165255116916454</v>
      </c>
      <c r="M699" s="15">
        <f>IF(L699&gt;Benchmark!$B$2,1,IF(L699&lt;-Benchmark!$B$2,5,3))</f>
        <v>5</v>
      </c>
      <c r="N699" s="3" t="s">
        <v>31</v>
      </c>
    </row>
    <row r="700" spans="1:14" x14ac:dyDescent="0.35">
      <c r="A700" s="11" t="s">
        <v>7</v>
      </c>
      <c r="B700" s="11" t="s">
        <v>980</v>
      </c>
      <c r="C700" s="11">
        <v>8</v>
      </c>
      <c r="D700" s="11">
        <v>5</v>
      </c>
      <c r="E700" s="11" t="s">
        <v>88</v>
      </c>
      <c r="F700" s="11" t="s">
        <v>633</v>
      </c>
      <c r="G700" s="12">
        <v>1.3</v>
      </c>
      <c r="H700" s="13">
        <v>118.5615384615384</v>
      </c>
      <c r="I700" s="11" t="s">
        <v>644</v>
      </c>
      <c r="J700" s="11" t="s">
        <v>30</v>
      </c>
      <c r="K700" s="7">
        <f>INDEX(Benchmark!$H$5:$H$807,MATCH(I700,Benchmark!$A$5:$A$807,0))</f>
        <v>108.726573100639</v>
      </c>
      <c r="L700" s="14">
        <f t="shared" si="10"/>
        <v>9.0455949087956622E-2</v>
      </c>
      <c r="M700" s="16">
        <f>IF(L700&gt;Benchmark!$B$2,1,IF(L700&lt;-Benchmark!$B$2,5,3))</f>
        <v>1</v>
      </c>
      <c r="N700" s="3" t="s">
        <v>31</v>
      </c>
    </row>
    <row r="701" spans="1:14" x14ac:dyDescent="0.35">
      <c r="A701" s="11" t="s">
        <v>7</v>
      </c>
      <c r="B701" s="11" t="s">
        <v>981</v>
      </c>
      <c r="C701" s="11">
        <v>8</v>
      </c>
      <c r="D701" s="11">
        <v>6</v>
      </c>
      <c r="E701" s="11" t="s">
        <v>198</v>
      </c>
      <c r="F701" s="11" t="s">
        <v>502</v>
      </c>
      <c r="G701" s="12">
        <v>2.27</v>
      </c>
      <c r="H701" s="13">
        <v>104.5638766519824</v>
      </c>
      <c r="I701" s="11" t="s">
        <v>968</v>
      </c>
      <c r="J701" s="11" t="s">
        <v>30</v>
      </c>
      <c r="K701" s="7">
        <f>INDEX(Benchmark!$H$5:$H$807,MATCH(I701,Benchmark!$A$5:$A$807,0))</f>
        <v>128.99451869176229</v>
      </c>
      <c r="L701" s="14">
        <f t="shared" si="10"/>
        <v>-0.18939286946104994</v>
      </c>
      <c r="M701" s="15">
        <f>IF(L701&gt;Benchmark!$B$2,1,IF(L701&lt;-Benchmark!$B$2,5,3))</f>
        <v>5</v>
      </c>
      <c r="N701" s="3" t="s">
        <v>31</v>
      </c>
    </row>
    <row r="702" spans="1:14" x14ac:dyDescent="0.35">
      <c r="A702" s="11" t="s">
        <v>7</v>
      </c>
      <c r="B702" s="11" t="s">
        <v>982</v>
      </c>
      <c r="C702" s="11">
        <v>8</v>
      </c>
      <c r="D702" s="11">
        <v>8</v>
      </c>
      <c r="E702" s="11" t="s">
        <v>198</v>
      </c>
      <c r="F702" s="11" t="s">
        <v>502</v>
      </c>
      <c r="G702" s="12">
        <v>2.79</v>
      </c>
      <c r="H702" s="13">
        <v>101.2114695340502</v>
      </c>
      <c r="I702" s="11" t="s">
        <v>968</v>
      </c>
      <c r="J702" s="11" t="s">
        <v>30</v>
      </c>
      <c r="K702" s="7">
        <f>INDEX(Benchmark!$H$5:$H$807,MATCH(I702,Benchmark!$A$5:$A$807,0))</f>
        <v>128.99451869176229</v>
      </c>
      <c r="L702" s="14">
        <f t="shared" si="10"/>
        <v>-0.21538162582009268</v>
      </c>
      <c r="M702" s="15">
        <f>IF(L702&gt;Benchmark!$B$2,1,IF(L702&lt;-Benchmark!$B$2,5,3))</f>
        <v>5</v>
      </c>
      <c r="N702" s="3" t="s">
        <v>31</v>
      </c>
    </row>
    <row r="703" spans="1:14" x14ac:dyDescent="0.35">
      <c r="A703" s="11" t="s">
        <v>7</v>
      </c>
      <c r="B703" s="11" t="s">
        <v>983</v>
      </c>
      <c r="C703" s="11">
        <v>8</v>
      </c>
      <c r="D703" s="11">
        <v>3</v>
      </c>
      <c r="E703" s="11" t="s">
        <v>27</v>
      </c>
      <c r="F703" s="11" t="s">
        <v>633</v>
      </c>
      <c r="G703" s="12">
        <v>6.16</v>
      </c>
      <c r="H703" s="13">
        <v>127.7337662337662</v>
      </c>
      <c r="I703" s="11" t="s">
        <v>658</v>
      </c>
      <c r="J703" s="11" t="s">
        <v>30</v>
      </c>
      <c r="K703" s="7">
        <f>INDEX(Benchmark!$H$5:$H$807,MATCH(I703,Benchmark!$A$5:$A$807,0))</f>
        <v>128.387190909645</v>
      </c>
      <c r="L703" s="14">
        <f t="shared" si="10"/>
        <v>-5.0894849497771233E-3</v>
      </c>
      <c r="M703" s="17">
        <f>IF(L703&gt;Benchmark!$B$2,1,IF(L703&lt;-Benchmark!$B$2,5,3))</f>
        <v>3</v>
      </c>
      <c r="N703" s="3" t="s">
        <v>31</v>
      </c>
    </row>
    <row r="704" spans="1:14" x14ac:dyDescent="0.35">
      <c r="A704" s="11" t="s">
        <v>7</v>
      </c>
      <c r="B704" s="11" t="s">
        <v>984</v>
      </c>
      <c r="C704" s="11">
        <v>8</v>
      </c>
      <c r="D704" s="11">
        <v>3</v>
      </c>
      <c r="E704" s="11" t="s">
        <v>27</v>
      </c>
      <c r="F704" s="11" t="s">
        <v>633</v>
      </c>
      <c r="G704" s="12">
        <v>4.3600000000000003</v>
      </c>
      <c r="H704" s="13">
        <v>113.43119266055049</v>
      </c>
      <c r="I704" s="11" t="s">
        <v>658</v>
      </c>
      <c r="J704" s="11" t="s">
        <v>30</v>
      </c>
      <c r="K704" s="7">
        <f>INDEX(Benchmark!$H$5:$H$807,MATCH(I704,Benchmark!$A$5:$A$807,0))</f>
        <v>128.387190909645</v>
      </c>
      <c r="L704" s="14">
        <f t="shared" si="10"/>
        <v>-0.11649135823541834</v>
      </c>
      <c r="M704" s="15">
        <f>IF(L704&gt;Benchmark!$B$2,1,IF(L704&lt;-Benchmark!$B$2,5,3))</f>
        <v>5</v>
      </c>
      <c r="N704" s="3" t="s">
        <v>31</v>
      </c>
    </row>
    <row r="705" spans="1:14" x14ac:dyDescent="0.35">
      <c r="A705" s="11" t="s">
        <v>7</v>
      </c>
      <c r="B705" s="11" t="s">
        <v>985</v>
      </c>
      <c r="C705" s="11">
        <v>9</v>
      </c>
      <c r="D705" s="11">
        <v>5</v>
      </c>
      <c r="E705" s="11" t="s">
        <v>198</v>
      </c>
      <c r="F705" s="11" t="s">
        <v>169</v>
      </c>
      <c r="G705" s="12">
        <v>1.9</v>
      </c>
      <c r="H705" s="13">
        <v>88.968421052631584</v>
      </c>
      <c r="I705" s="11" t="s">
        <v>680</v>
      </c>
      <c r="J705" s="11" t="s">
        <v>30</v>
      </c>
      <c r="K705" s="7">
        <f>INDEX(Benchmark!$H$5:$H$807,MATCH(I705,Benchmark!$A$5:$A$807,0))</f>
        <v>116.7568295114656</v>
      </c>
      <c r="L705" s="14">
        <f t="shared" si="10"/>
        <v>-0.23800242414175155</v>
      </c>
      <c r="M705" s="15">
        <f>IF(L705&gt;Benchmark!$B$2,1,IF(L705&lt;-Benchmark!$B$2,5,3))</f>
        <v>5</v>
      </c>
      <c r="N705" s="3" t="s">
        <v>31</v>
      </c>
    </row>
    <row r="706" spans="1:14" x14ac:dyDescent="0.35">
      <c r="A706" s="11" t="s">
        <v>7</v>
      </c>
      <c r="B706" s="11" t="s">
        <v>986</v>
      </c>
      <c r="C706" s="11">
        <v>9</v>
      </c>
      <c r="D706" s="11">
        <v>2</v>
      </c>
      <c r="E706" s="11" t="s">
        <v>27</v>
      </c>
      <c r="F706" s="11" t="s">
        <v>169</v>
      </c>
      <c r="G706" s="12">
        <v>2.88</v>
      </c>
      <c r="H706" s="13">
        <v>84.982638888888886</v>
      </c>
      <c r="I706" s="11" t="s">
        <v>837</v>
      </c>
      <c r="J706" s="11" t="s">
        <v>30</v>
      </c>
      <c r="K706" s="7">
        <f>INDEX(Benchmark!$H$5:$H$807,MATCH(I706,Benchmark!$A$5:$A$807,0))</f>
        <v>126.6153283767038</v>
      </c>
      <c r="L706" s="14">
        <f t="shared" si="10"/>
        <v>-0.32881239595217127</v>
      </c>
      <c r="M706" s="15">
        <f>IF(L706&gt;Benchmark!$B$2,1,IF(L706&lt;-Benchmark!$B$2,5,3))</f>
        <v>5</v>
      </c>
      <c r="N706" s="3" t="s">
        <v>31</v>
      </c>
    </row>
    <row r="707" spans="1:14" x14ac:dyDescent="0.35">
      <c r="A707" s="11" t="s">
        <v>7</v>
      </c>
      <c r="B707" s="11" t="s">
        <v>987</v>
      </c>
      <c r="C707" s="11">
        <v>9</v>
      </c>
      <c r="D707" s="11">
        <v>2</v>
      </c>
      <c r="E707" s="11" t="s">
        <v>34</v>
      </c>
      <c r="F707" s="11" t="s">
        <v>39</v>
      </c>
      <c r="G707" s="12">
        <v>10.72</v>
      </c>
      <c r="H707" s="13">
        <v>126.9738805970149</v>
      </c>
      <c r="I707" s="11" t="s">
        <v>988</v>
      </c>
      <c r="J707" s="11" t="s">
        <v>37</v>
      </c>
      <c r="K707" s="7">
        <f>INDEX(Benchmark!$H$5:$H$807,MATCH(I707,Benchmark!$A$5:$A$807,0))</f>
        <v>149.89052085816101</v>
      </c>
      <c r="L707" s="14">
        <f t="shared" si="10"/>
        <v>-0.15288918958945885</v>
      </c>
      <c r="M707" s="15">
        <f>IF(L707&gt;Benchmark!$B$2,1,IF(L707&lt;-Benchmark!$B$2,5,3))</f>
        <v>5</v>
      </c>
      <c r="N707" s="3" t="s">
        <v>31</v>
      </c>
    </row>
    <row r="708" spans="1:14" x14ac:dyDescent="0.35">
      <c r="A708" s="11" t="s">
        <v>7</v>
      </c>
      <c r="B708" s="11" t="s">
        <v>989</v>
      </c>
      <c r="C708" s="11">
        <v>9</v>
      </c>
      <c r="D708" s="11">
        <v>4</v>
      </c>
      <c r="E708" s="11" t="s">
        <v>198</v>
      </c>
      <c r="F708" s="11" t="s">
        <v>169</v>
      </c>
      <c r="G708" s="12">
        <v>23.54</v>
      </c>
      <c r="H708" s="13">
        <v>101.4770603228547</v>
      </c>
      <c r="I708" s="11" t="s">
        <v>680</v>
      </c>
      <c r="J708" s="11" t="s">
        <v>30</v>
      </c>
      <c r="K708" s="7">
        <f>INDEX(Benchmark!$H$5:$H$807,MATCH(I708,Benchmark!$A$5:$A$807,0))</f>
        <v>116.7568295114656</v>
      </c>
      <c r="L708" s="14">
        <f t="shared" si="10"/>
        <v>-0.13086831196551474</v>
      </c>
      <c r="M708" s="15">
        <f>IF(L708&gt;Benchmark!$B$2,1,IF(L708&lt;-Benchmark!$B$2,5,3))</f>
        <v>5</v>
      </c>
      <c r="N708" s="3" t="s">
        <v>31</v>
      </c>
    </row>
    <row r="709" spans="1:14" x14ac:dyDescent="0.35">
      <c r="A709" s="11" t="s">
        <v>7</v>
      </c>
      <c r="B709" s="11" t="s">
        <v>990</v>
      </c>
      <c r="C709" s="11">
        <v>9</v>
      </c>
      <c r="D709" s="11">
        <v>3</v>
      </c>
      <c r="E709" s="11" t="s">
        <v>692</v>
      </c>
      <c r="F709" s="11" t="s">
        <v>28</v>
      </c>
      <c r="G709" s="12">
        <v>23.48</v>
      </c>
      <c r="H709" s="13">
        <v>145.16482112436111</v>
      </c>
      <c r="I709" s="11" t="s">
        <v>693</v>
      </c>
      <c r="J709" s="11" t="s">
        <v>30</v>
      </c>
      <c r="K709" s="7">
        <f>INDEX(Benchmark!$H$5:$H$807,MATCH(I709,Benchmark!$A$5:$A$807,0))</f>
        <v>113.26323584447439</v>
      </c>
      <c r="L709" s="14">
        <f t="shared" ref="L709:L772" si="11">H709/K709-1</f>
        <v>0.28165878400023692</v>
      </c>
      <c r="M709" s="16">
        <f>IF(L709&gt;Benchmark!$B$2,1,IF(L709&lt;-Benchmark!$B$2,5,3))</f>
        <v>1</v>
      </c>
      <c r="N709" s="3" t="s">
        <v>31</v>
      </c>
    </row>
    <row r="710" spans="1:14" x14ac:dyDescent="0.35">
      <c r="A710" s="11" t="s">
        <v>7</v>
      </c>
      <c r="B710" s="11" t="s">
        <v>991</v>
      </c>
      <c r="C710" s="11">
        <v>9</v>
      </c>
      <c r="D710" s="11">
        <v>2</v>
      </c>
      <c r="E710" s="11" t="s">
        <v>27</v>
      </c>
      <c r="F710" s="11" t="s">
        <v>186</v>
      </c>
      <c r="G710" s="12">
        <v>14.8</v>
      </c>
      <c r="H710" s="13">
        <v>110.6175675675676</v>
      </c>
      <c r="I710" s="11" t="s">
        <v>734</v>
      </c>
      <c r="J710" s="11" t="s">
        <v>37</v>
      </c>
      <c r="K710" s="7">
        <f>INDEX(Benchmark!$H$5:$H$807,MATCH(I710,Benchmark!$A$5:$A$807,0))</f>
        <v>133.21602787456439</v>
      </c>
      <c r="L710" s="14">
        <f t="shared" si="11"/>
        <v>-0.16963769801239981</v>
      </c>
      <c r="M710" s="15">
        <f>IF(L710&gt;Benchmark!$B$2,1,IF(L710&lt;-Benchmark!$B$2,5,3))</f>
        <v>5</v>
      </c>
      <c r="N710" s="3" t="s">
        <v>31</v>
      </c>
    </row>
    <row r="711" spans="1:14" x14ac:dyDescent="0.35">
      <c r="A711" s="11" t="s">
        <v>7</v>
      </c>
      <c r="B711" s="11" t="s">
        <v>992</v>
      </c>
      <c r="C711" s="11">
        <v>9</v>
      </c>
      <c r="D711" s="11">
        <v>1</v>
      </c>
      <c r="E711" s="11" t="s">
        <v>27</v>
      </c>
      <c r="F711" s="11" t="s">
        <v>670</v>
      </c>
      <c r="G711" s="12">
        <v>11.26</v>
      </c>
      <c r="H711" s="13">
        <v>122.2984014209591</v>
      </c>
      <c r="I711" s="11" t="s">
        <v>676</v>
      </c>
      <c r="J711" s="11" t="s">
        <v>30</v>
      </c>
      <c r="K711" s="7">
        <f>INDEX(Benchmark!$H$5:$H$807,MATCH(I711,Benchmark!$A$5:$A$807,0))</f>
        <v>134.7709190672154</v>
      </c>
      <c r="L711" s="14">
        <f t="shared" si="11"/>
        <v>-9.2546060623329152E-2</v>
      </c>
      <c r="M711" s="15">
        <f>IF(L711&gt;Benchmark!$B$2,1,IF(L711&lt;-Benchmark!$B$2,5,3))</f>
        <v>5</v>
      </c>
      <c r="N711" s="3" t="s">
        <v>31</v>
      </c>
    </row>
    <row r="712" spans="1:14" x14ac:dyDescent="0.35">
      <c r="A712" s="11" t="s">
        <v>7</v>
      </c>
      <c r="B712" s="11" t="s">
        <v>993</v>
      </c>
      <c r="C712" s="11">
        <v>9</v>
      </c>
      <c r="D712" s="11">
        <v>1</v>
      </c>
      <c r="E712" s="11" t="s">
        <v>78</v>
      </c>
      <c r="F712" s="11" t="s">
        <v>670</v>
      </c>
      <c r="G712" s="12">
        <v>17.78</v>
      </c>
      <c r="H712" s="13">
        <v>141.70809898762661</v>
      </c>
      <c r="I712" s="11" t="s">
        <v>786</v>
      </c>
      <c r="J712" s="11" t="s">
        <v>614</v>
      </c>
      <c r="K712" s="7">
        <f>INDEX(Benchmark!$H$5:$H$807,MATCH(I712,Benchmark!$A$5:$A$807,0))</f>
        <v>113</v>
      </c>
      <c r="L712" s="14">
        <f t="shared" si="11"/>
        <v>0.25405397334182833</v>
      </c>
      <c r="M712" s="16">
        <f>IF(L712&gt;Benchmark!$B$2,1,IF(L712&lt;-Benchmark!$B$2,5,3))</f>
        <v>1</v>
      </c>
      <c r="N712" s="3" t="s">
        <v>31</v>
      </c>
    </row>
    <row r="713" spans="1:14" x14ac:dyDescent="0.35">
      <c r="A713" s="11" t="s">
        <v>7</v>
      </c>
      <c r="B713" s="11" t="s">
        <v>994</v>
      </c>
      <c r="C713" s="11">
        <v>9</v>
      </c>
      <c r="D713" s="11">
        <v>1</v>
      </c>
      <c r="E713" s="11" t="s">
        <v>78</v>
      </c>
      <c r="F713" s="11" t="s">
        <v>670</v>
      </c>
      <c r="G713" s="12">
        <v>3.9</v>
      </c>
      <c r="H713" s="13">
        <v>139.17948717948721</v>
      </c>
      <c r="I713" s="11" t="s">
        <v>786</v>
      </c>
      <c r="J713" s="11" t="s">
        <v>614</v>
      </c>
      <c r="K713" s="7">
        <f>INDEX(Benchmark!$H$5:$H$807,MATCH(I713,Benchmark!$A$5:$A$807,0))</f>
        <v>113</v>
      </c>
      <c r="L713" s="14">
        <f t="shared" si="11"/>
        <v>0.23167687769457701</v>
      </c>
      <c r="M713" s="16">
        <f>IF(L713&gt;Benchmark!$B$2,1,IF(L713&lt;-Benchmark!$B$2,5,3))</f>
        <v>1</v>
      </c>
      <c r="N713" s="3" t="s">
        <v>31</v>
      </c>
    </row>
    <row r="714" spans="1:14" x14ac:dyDescent="0.35">
      <c r="A714" s="11" t="s">
        <v>7</v>
      </c>
      <c r="B714" s="11" t="s">
        <v>995</v>
      </c>
      <c r="C714" s="11">
        <v>9</v>
      </c>
      <c r="D714" s="11">
        <v>8</v>
      </c>
      <c r="E714" s="11" t="s">
        <v>198</v>
      </c>
      <c r="F714" s="11" t="s">
        <v>633</v>
      </c>
      <c r="G714" s="12">
        <v>7.28</v>
      </c>
      <c r="H714" s="13">
        <v>115.0398351648352</v>
      </c>
      <c r="I714" s="11" t="s">
        <v>634</v>
      </c>
      <c r="J714" s="11" t="s">
        <v>30</v>
      </c>
      <c r="K714" s="7">
        <f>INDEX(Benchmark!$H$5:$H$807,MATCH(I714,Benchmark!$A$5:$A$807,0))</f>
        <v>122.7119856887299</v>
      </c>
      <c r="L714" s="14">
        <f t="shared" si="11"/>
        <v>-6.2521606840881927E-2</v>
      </c>
      <c r="M714" s="15">
        <f>IF(L714&gt;Benchmark!$B$2,1,IF(L714&lt;-Benchmark!$B$2,5,3))</f>
        <v>5</v>
      </c>
      <c r="N714" s="3" t="s">
        <v>31</v>
      </c>
    </row>
    <row r="715" spans="1:14" x14ac:dyDescent="0.35">
      <c r="A715" s="11" t="s">
        <v>7</v>
      </c>
      <c r="B715" s="11" t="s">
        <v>996</v>
      </c>
      <c r="C715" s="11">
        <v>9</v>
      </c>
      <c r="D715" s="11">
        <v>11</v>
      </c>
      <c r="E715" s="11" t="s">
        <v>198</v>
      </c>
      <c r="F715" s="11" t="s">
        <v>35</v>
      </c>
      <c r="G715" s="12">
        <v>14.22</v>
      </c>
      <c r="H715" s="13">
        <v>92.924050632911403</v>
      </c>
      <c r="I715" s="11" t="s">
        <v>922</v>
      </c>
      <c r="J715" s="11" t="s">
        <v>30</v>
      </c>
      <c r="K715" s="7">
        <f>INDEX(Benchmark!$H$5:$H$807,MATCH(I715,Benchmark!$A$5:$A$807,0))</f>
        <v>134.71142066534611</v>
      </c>
      <c r="L715" s="14">
        <f t="shared" si="11"/>
        <v>-0.3101991637089484</v>
      </c>
      <c r="M715" s="15">
        <f>IF(L715&gt;Benchmark!$B$2,1,IF(L715&lt;-Benchmark!$B$2,5,3))</f>
        <v>5</v>
      </c>
      <c r="N715" s="3" t="s">
        <v>31</v>
      </c>
    </row>
    <row r="716" spans="1:14" x14ac:dyDescent="0.35">
      <c r="A716" s="11" t="s">
        <v>7</v>
      </c>
      <c r="B716" s="11" t="s">
        <v>997</v>
      </c>
      <c r="C716" s="11">
        <v>9</v>
      </c>
      <c r="D716" s="11">
        <v>1</v>
      </c>
      <c r="E716" s="11" t="s">
        <v>34</v>
      </c>
      <c r="F716" s="11" t="s">
        <v>35</v>
      </c>
      <c r="G716" s="12">
        <v>15.45</v>
      </c>
      <c r="H716" s="13">
        <v>120.4174757281554</v>
      </c>
      <c r="I716" s="11" t="s">
        <v>726</v>
      </c>
      <c r="J716" s="11" t="s">
        <v>30</v>
      </c>
      <c r="K716" s="7">
        <f>INDEX(Benchmark!$H$5:$H$807,MATCH(I716,Benchmark!$A$5:$A$807,0))</f>
        <v>152.2432150313152</v>
      </c>
      <c r="L716" s="14">
        <f t="shared" si="11"/>
        <v>-0.20904537057111883</v>
      </c>
      <c r="M716" s="15">
        <f>IF(L716&gt;Benchmark!$B$2,1,IF(L716&lt;-Benchmark!$B$2,5,3))</f>
        <v>5</v>
      </c>
      <c r="N716" s="3" t="s">
        <v>31</v>
      </c>
    </row>
    <row r="717" spans="1:14" x14ac:dyDescent="0.35">
      <c r="A717" s="11" t="s">
        <v>7</v>
      </c>
      <c r="B717" s="11" t="s">
        <v>998</v>
      </c>
      <c r="C717" s="11">
        <v>9</v>
      </c>
      <c r="D717" s="11">
        <v>11</v>
      </c>
      <c r="E717" s="11" t="s">
        <v>198</v>
      </c>
      <c r="F717" s="11" t="s">
        <v>633</v>
      </c>
      <c r="G717" s="12">
        <v>6.39</v>
      </c>
      <c r="H717" s="13">
        <v>107.0892018779343</v>
      </c>
      <c r="I717" s="11" t="s">
        <v>634</v>
      </c>
      <c r="J717" s="11" t="s">
        <v>30</v>
      </c>
      <c r="K717" s="7">
        <f>INDEX(Benchmark!$H$5:$H$807,MATCH(I717,Benchmark!$A$5:$A$807,0))</f>
        <v>122.7119856887299</v>
      </c>
      <c r="L717" s="14">
        <f t="shared" si="11"/>
        <v>-0.1273126151704872</v>
      </c>
      <c r="M717" s="15">
        <f>IF(L717&gt;Benchmark!$B$2,1,IF(L717&lt;-Benchmark!$B$2,5,3))</f>
        <v>5</v>
      </c>
      <c r="N717" s="3" t="s">
        <v>31</v>
      </c>
    </row>
    <row r="718" spans="1:14" x14ac:dyDescent="0.35">
      <c r="A718" s="11" t="s">
        <v>7</v>
      </c>
      <c r="B718" s="11" t="s">
        <v>999</v>
      </c>
      <c r="C718" s="11">
        <v>9</v>
      </c>
      <c r="D718" s="11">
        <v>8</v>
      </c>
      <c r="E718" s="11" t="s">
        <v>198</v>
      </c>
      <c r="F718" s="11" t="s">
        <v>35</v>
      </c>
      <c r="G718" s="12">
        <v>17.559999999999999</v>
      </c>
      <c r="H718" s="13">
        <v>97.019362186788172</v>
      </c>
      <c r="I718" s="11" t="s">
        <v>922</v>
      </c>
      <c r="J718" s="11" t="s">
        <v>30</v>
      </c>
      <c r="K718" s="7">
        <f>INDEX(Benchmark!$H$5:$H$807,MATCH(I718,Benchmark!$A$5:$A$807,0))</f>
        <v>134.71142066534611</v>
      </c>
      <c r="L718" s="14">
        <f t="shared" si="11"/>
        <v>-0.27979853743947669</v>
      </c>
      <c r="M718" s="15">
        <f>IF(L718&gt;Benchmark!$B$2,1,IF(L718&lt;-Benchmark!$B$2,5,3))</f>
        <v>5</v>
      </c>
      <c r="N718" s="3" t="s">
        <v>31</v>
      </c>
    </row>
    <row r="719" spans="1:14" x14ac:dyDescent="0.35">
      <c r="A719" s="11" t="s">
        <v>7</v>
      </c>
      <c r="B719" s="11" t="s">
        <v>1000</v>
      </c>
      <c r="C719" s="11">
        <v>9</v>
      </c>
      <c r="D719" s="11">
        <v>4</v>
      </c>
      <c r="E719" s="11" t="s">
        <v>27</v>
      </c>
      <c r="F719" s="11" t="s">
        <v>633</v>
      </c>
      <c r="G719" s="12">
        <v>5.59</v>
      </c>
      <c r="H719" s="13">
        <v>123.0983899821109</v>
      </c>
      <c r="I719" s="11" t="s">
        <v>658</v>
      </c>
      <c r="J719" s="11" t="s">
        <v>30</v>
      </c>
      <c r="K719" s="7">
        <f>INDEX(Benchmark!$H$5:$H$807,MATCH(I719,Benchmark!$A$5:$A$807,0))</f>
        <v>128.387190909645</v>
      </c>
      <c r="L719" s="14">
        <f t="shared" si="11"/>
        <v>-4.1194147874581977E-2</v>
      </c>
      <c r="M719" s="17">
        <f>IF(L719&gt;Benchmark!$B$2,1,IF(L719&lt;-Benchmark!$B$2,5,3))</f>
        <v>3</v>
      </c>
      <c r="N719" s="3" t="s">
        <v>31</v>
      </c>
    </row>
    <row r="720" spans="1:14" x14ac:dyDescent="0.35">
      <c r="A720" s="11" t="s">
        <v>7</v>
      </c>
      <c r="B720" s="11" t="s">
        <v>1001</v>
      </c>
      <c r="C720" s="11">
        <v>9</v>
      </c>
      <c r="D720" s="11">
        <v>7</v>
      </c>
      <c r="E720" s="11" t="s">
        <v>1002</v>
      </c>
      <c r="F720" s="11" t="s">
        <v>35</v>
      </c>
      <c r="G720" s="12">
        <v>6.09</v>
      </c>
      <c r="H720" s="13">
        <v>95.027914614121514</v>
      </c>
      <c r="I720" s="11" t="s">
        <v>1003</v>
      </c>
      <c r="J720" s="11" t="s">
        <v>30</v>
      </c>
      <c r="K720" s="7">
        <f>INDEX(Benchmark!$H$5:$H$807,MATCH(I720,Benchmark!$A$5:$A$807,0))</f>
        <v>124.2224256136021</v>
      </c>
      <c r="L720" s="14">
        <f t="shared" si="11"/>
        <v>-0.23501804006219507</v>
      </c>
      <c r="M720" s="15">
        <f>IF(L720&gt;Benchmark!$B$2,1,IF(L720&lt;-Benchmark!$B$2,5,3))</f>
        <v>5</v>
      </c>
      <c r="N720" s="3" t="s">
        <v>31</v>
      </c>
    </row>
    <row r="721" spans="1:14" x14ac:dyDescent="0.35">
      <c r="A721" s="11" t="s">
        <v>7</v>
      </c>
      <c r="B721" s="11" t="s">
        <v>1004</v>
      </c>
      <c r="C721" s="11">
        <v>9</v>
      </c>
      <c r="D721" s="11">
        <v>23</v>
      </c>
      <c r="E721" s="11" t="s">
        <v>1005</v>
      </c>
      <c r="F721" s="11" t="s">
        <v>28</v>
      </c>
      <c r="G721" s="12">
        <v>5.03</v>
      </c>
      <c r="H721" s="13">
        <v>111.53876739562619</v>
      </c>
      <c r="I721" s="11" t="s">
        <v>1006</v>
      </c>
      <c r="J721" s="11" t="s">
        <v>30</v>
      </c>
      <c r="K721" s="7">
        <f>INDEX(Benchmark!$H$5:$H$807,MATCH(I721,Benchmark!$A$5:$A$807,0))</f>
        <v>135.26493415974741</v>
      </c>
      <c r="L721" s="14">
        <f t="shared" si="11"/>
        <v>-0.17540515516091326</v>
      </c>
      <c r="M721" s="15">
        <f>IF(L721&gt;Benchmark!$B$2,1,IF(L721&lt;-Benchmark!$B$2,5,3))</f>
        <v>5</v>
      </c>
      <c r="N721" s="3" t="s">
        <v>31</v>
      </c>
    </row>
    <row r="722" spans="1:14" x14ac:dyDescent="0.35">
      <c r="A722" s="11" t="s">
        <v>7</v>
      </c>
      <c r="B722" s="11" t="s">
        <v>1007</v>
      </c>
      <c r="C722" s="11">
        <v>9</v>
      </c>
      <c r="D722" s="11">
        <v>22</v>
      </c>
      <c r="E722" s="11" t="s">
        <v>1005</v>
      </c>
      <c r="F722" s="11" t="s">
        <v>28</v>
      </c>
      <c r="G722" s="12">
        <v>4.25</v>
      </c>
      <c r="H722" s="13">
        <v>118.20941176470591</v>
      </c>
      <c r="I722" s="11" t="s">
        <v>1006</v>
      </c>
      <c r="J722" s="11" t="s">
        <v>30</v>
      </c>
      <c r="K722" s="7">
        <f>INDEX(Benchmark!$H$5:$H$807,MATCH(I722,Benchmark!$A$5:$A$807,0))</f>
        <v>135.26493415974741</v>
      </c>
      <c r="L722" s="14">
        <f t="shared" si="11"/>
        <v>-0.12608975490202801</v>
      </c>
      <c r="M722" s="15">
        <f>IF(L722&gt;Benchmark!$B$2,1,IF(L722&lt;-Benchmark!$B$2,5,3))</f>
        <v>5</v>
      </c>
      <c r="N722" s="3" t="s">
        <v>31</v>
      </c>
    </row>
    <row r="723" spans="1:14" x14ac:dyDescent="0.35">
      <c r="A723" s="11" t="s">
        <v>7</v>
      </c>
      <c r="B723" s="11" t="s">
        <v>1008</v>
      </c>
      <c r="C723" s="11">
        <v>9</v>
      </c>
      <c r="D723" s="11">
        <v>8</v>
      </c>
      <c r="E723" s="11" t="s">
        <v>198</v>
      </c>
      <c r="F723" s="11" t="s">
        <v>28</v>
      </c>
      <c r="G723" s="12">
        <v>4.6100000000000003</v>
      </c>
      <c r="H723" s="13">
        <v>93.338394793926241</v>
      </c>
      <c r="I723" s="11" t="s">
        <v>698</v>
      </c>
      <c r="J723" s="11" t="s">
        <v>30</v>
      </c>
      <c r="K723" s="7">
        <f>INDEX(Benchmark!$H$5:$H$807,MATCH(I723,Benchmark!$A$5:$A$807,0))</f>
        <v>121.8624870387313</v>
      </c>
      <c r="L723" s="14">
        <f t="shared" si="11"/>
        <v>-0.23406786565696225</v>
      </c>
      <c r="M723" s="15">
        <f>IF(L723&gt;Benchmark!$B$2,1,IF(L723&lt;-Benchmark!$B$2,5,3))</f>
        <v>5</v>
      </c>
      <c r="N723" s="3" t="s">
        <v>31</v>
      </c>
    </row>
    <row r="724" spans="1:14" x14ac:dyDescent="0.35">
      <c r="A724" s="11" t="s">
        <v>7</v>
      </c>
      <c r="B724" s="11" t="s">
        <v>1009</v>
      </c>
      <c r="C724" s="11">
        <v>9</v>
      </c>
      <c r="D724" s="11">
        <v>2</v>
      </c>
      <c r="E724" s="11" t="s">
        <v>27</v>
      </c>
      <c r="F724" s="11" t="s">
        <v>633</v>
      </c>
      <c r="G724" s="12">
        <v>9.01</v>
      </c>
      <c r="H724" s="13">
        <v>93.433962264150949</v>
      </c>
      <c r="I724" s="11" t="s">
        <v>658</v>
      </c>
      <c r="J724" s="11" t="s">
        <v>30</v>
      </c>
      <c r="K724" s="7">
        <f>INDEX(Benchmark!$H$5:$H$807,MATCH(I724,Benchmark!$A$5:$A$807,0))</f>
        <v>128.387190909645</v>
      </c>
      <c r="L724" s="14">
        <f t="shared" si="11"/>
        <v>-0.27224856621477966</v>
      </c>
      <c r="M724" s="15">
        <f>IF(L724&gt;Benchmark!$B$2,1,IF(L724&lt;-Benchmark!$B$2,5,3))</f>
        <v>5</v>
      </c>
      <c r="N724" s="3" t="s">
        <v>31</v>
      </c>
    </row>
    <row r="725" spans="1:14" x14ac:dyDescent="0.35">
      <c r="A725" s="11" t="s">
        <v>7</v>
      </c>
      <c r="B725" s="11" t="s">
        <v>1010</v>
      </c>
      <c r="C725" s="11">
        <v>9</v>
      </c>
      <c r="D725" s="11">
        <v>2</v>
      </c>
      <c r="E725" s="11" t="s">
        <v>27</v>
      </c>
      <c r="F725" s="11" t="s">
        <v>633</v>
      </c>
      <c r="G725" s="12">
        <v>5.53</v>
      </c>
      <c r="H725" s="13">
        <v>111.53345388788431</v>
      </c>
      <c r="I725" s="11" t="s">
        <v>658</v>
      </c>
      <c r="J725" s="11" t="s">
        <v>30</v>
      </c>
      <c r="K725" s="7">
        <f>INDEX(Benchmark!$H$5:$H$807,MATCH(I725,Benchmark!$A$5:$A$807,0))</f>
        <v>128.387190909645</v>
      </c>
      <c r="L725" s="14">
        <f t="shared" si="11"/>
        <v>-0.13127272979764659</v>
      </c>
      <c r="M725" s="15">
        <f>IF(L725&gt;Benchmark!$B$2,1,IF(L725&lt;-Benchmark!$B$2,5,3))</f>
        <v>5</v>
      </c>
      <c r="N725" s="3" t="s">
        <v>31</v>
      </c>
    </row>
    <row r="726" spans="1:14" x14ac:dyDescent="0.35">
      <c r="A726" s="11" t="s">
        <v>7</v>
      </c>
      <c r="B726" s="11" t="s">
        <v>1011</v>
      </c>
      <c r="C726" s="11">
        <v>9</v>
      </c>
      <c r="D726" s="11">
        <v>8</v>
      </c>
      <c r="E726" s="11" t="s">
        <v>198</v>
      </c>
      <c r="F726" s="11" t="s">
        <v>633</v>
      </c>
      <c r="G726" s="12">
        <v>8.82</v>
      </c>
      <c r="H726" s="13">
        <v>111.45578231292519</v>
      </c>
      <c r="I726" s="11" t="s">
        <v>634</v>
      </c>
      <c r="J726" s="11" t="s">
        <v>30</v>
      </c>
      <c r="K726" s="7">
        <f>INDEX(Benchmark!$H$5:$H$807,MATCH(I726,Benchmark!$A$5:$A$807,0))</f>
        <v>122.7119856887299</v>
      </c>
      <c r="L726" s="14">
        <f t="shared" si="11"/>
        <v>-9.1728638507709293E-2</v>
      </c>
      <c r="M726" s="15">
        <f>IF(L726&gt;Benchmark!$B$2,1,IF(L726&lt;-Benchmark!$B$2,5,3))</f>
        <v>5</v>
      </c>
      <c r="N726" s="3" t="s">
        <v>31</v>
      </c>
    </row>
    <row r="727" spans="1:14" x14ac:dyDescent="0.35">
      <c r="A727" s="11" t="s">
        <v>7</v>
      </c>
      <c r="B727" s="11" t="s">
        <v>1012</v>
      </c>
      <c r="C727" s="11">
        <v>9</v>
      </c>
      <c r="D727" s="11">
        <v>4</v>
      </c>
      <c r="E727" s="11" t="s">
        <v>27</v>
      </c>
      <c r="F727" s="11" t="s">
        <v>122</v>
      </c>
      <c r="G727" s="12">
        <v>11.93</v>
      </c>
      <c r="H727" s="13">
        <v>116.6303436714166</v>
      </c>
      <c r="I727" s="11" t="s">
        <v>764</v>
      </c>
      <c r="J727" s="11" t="s">
        <v>30</v>
      </c>
      <c r="K727" s="7">
        <f>INDEX(Benchmark!$H$5:$H$807,MATCH(I727,Benchmark!$A$5:$A$807,0))</f>
        <v>131.7632703360724</v>
      </c>
      <c r="L727" s="14">
        <f t="shared" si="11"/>
        <v>-0.11484935540881835</v>
      </c>
      <c r="M727" s="15">
        <f>IF(L727&gt;Benchmark!$B$2,1,IF(L727&lt;-Benchmark!$B$2,5,3))</f>
        <v>5</v>
      </c>
      <c r="N727" s="3" t="s">
        <v>31</v>
      </c>
    </row>
    <row r="728" spans="1:14" x14ac:dyDescent="0.35">
      <c r="A728" s="11" t="s">
        <v>7</v>
      </c>
      <c r="B728" s="11" t="s">
        <v>1013</v>
      </c>
      <c r="C728" s="11">
        <v>9</v>
      </c>
      <c r="D728" s="11">
        <v>3</v>
      </c>
      <c r="E728" s="11" t="s">
        <v>104</v>
      </c>
      <c r="F728" s="11" t="s">
        <v>633</v>
      </c>
      <c r="G728" s="12">
        <v>15.7</v>
      </c>
      <c r="H728" s="13">
        <v>118.2541401273885</v>
      </c>
      <c r="I728" s="11" t="s">
        <v>700</v>
      </c>
      <c r="J728" s="11" t="s">
        <v>30</v>
      </c>
      <c r="K728" s="7">
        <f>INDEX(Benchmark!$H$5:$H$807,MATCH(I728,Benchmark!$A$5:$A$807,0))</f>
        <v>114.9706913557601</v>
      </c>
      <c r="L728" s="14">
        <f t="shared" si="11"/>
        <v>2.8559006933934539E-2</v>
      </c>
      <c r="M728" s="17">
        <f>IF(L728&gt;Benchmark!$B$2,1,IF(L728&lt;-Benchmark!$B$2,5,3))</f>
        <v>3</v>
      </c>
      <c r="N728" s="3" t="s">
        <v>31</v>
      </c>
    </row>
    <row r="729" spans="1:14" x14ac:dyDescent="0.35">
      <c r="A729" s="11" t="s">
        <v>7</v>
      </c>
      <c r="B729" s="11" t="s">
        <v>1014</v>
      </c>
      <c r="C729" s="11">
        <v>9</v>
      </c>
      <c r="D729" s="11">
        <v>3</v>
      </c>
      <c r="E729" s="11" t="s">
        <v>27</v>
      </c>
      <c r="F729" s="11" t="s">
        <v>633</v>
      </c>
      <c r="G729" s="12">
        <v>5.98</v>
      </c>
      <c r="H729" s="13">
        <v>121.5752508361204</v>
      </c>
      <c r="I729" s="11" t="s">
        <v>658</v>
      </c>
      <c r="J729" s="11" t="s">
        <v>30</v>
      </c>
      <c r="K729" s="7">
        <f>INDEX(Benchmark!$H$5:$H$807,MATCH(I729,Benchmark!$A$5:$A$807,0))</f>
        <v>128.387190909645</v>
      </c>
      <c r="L729" s="14">
        <f t="shared" si="11"/>
        <v>-5.305778579047371E-2</v>
      </c>
      <c r="M729" s="15">
        <f>IF(L729&gt;Benchmark!$B$2,1,IF(L729&lt;-Benchmark!$B$2,5,3))</f>
        <v>5</v>
      </c>
      <c r="N729" s="3" t="s">
        <v>31</v>
      </c>
    </row>
    <row r="730" spans="1:14" x14ac:dyDescent="0.35">
      <c r="A730" s="11" t="s">
        <v>7</v>
      </c>
      <c r="B730" s="11" t="s">
        <v>1015</v>
      </c>
      <c r="C730" s="11">
        <v>9</v>
      </c>
      <c r="D730" s="11">
        <v>2</v>
      </c>
      <c r="E730" s="11" t="s">
        <v>27</v>
      </c>
      <c r="F730" s="11" t="s">
        <v>633</v>
      </c>
      <c r="G730" s="12">
        <v>22.26</v>
      </c>
      <c r="H730" s="13">
        <v>87.144204851752008</v>
      </c>
      <c r="I730" s="11" t="s">
        <v>658</v>
      </c>
      <c r="J730" s="11" t="s">
        <v>30</v>
      </c>
      <c r="K730" s="7">
        <f>INDEX(Benchmark!$H$5:$H$807,MATCH(I730,Benchmark!$A$5:$A$807,0))</f>
        <v>128.387190909645</v>
      </c>
      <c r="L730" s="14">
        <f t="shared" si="11"/>
        <v>-0.32123910310428516</v>
      </c>
      <c r="M730" s="15">
        <f>IF(L730&gt;Benchmark!$B$2,1,IF(L730&lt;-Benchmark!$B$2,5,3))</f>
        <v>5</v>
      </c>
      <c r="N730" s="3" t="s">
        <v>31</v>
      </c>
    </row>
    <row r="731" spans="1:14" x14ac:dyDescent="0.35">
      <c r="A731" s="11" t="s">
        <v>7</v>
      </c>
      <c r="B731" s="11" t="s">
        <v>1016</v>
      </c>
      <c r="C731" s="11">
        <v>9</v>
      </c>
      <c r="D731" s="11">
        <v>2</v>
      </c>
      <c r="E731" s="11" t="s">
        <v>27</v>
      </c>
      <c r="F731" s="11" t="s">
        <v>499</v>
      </c>
      <c r="G731" s="12">
        <v>16.75</v>
      </c>
      <c r="H731" s="13">
        <v>99.604776119402985</v>
      </c>
      <c r="I731" s="11" t="s">
        <v>734</v>
      </c>
      <c r="J731" s="11" t="s">
        <v>37</v>
      </c>
      <c r="K731" s="7">
        <f>INDEX(Benchmark!$H$5:$H$807,MATCH(I731,Benchmark!$A$5:$A$807,0))</f>
        <v>133.21602787456439</v>
      </c>
      <c r="L731" s="14">
        <f t="shared" si="11"/>
        <v>-0.25230636501795123</v>
      </c>
      <c r="M731" s="15">
        <f>IF(L731&gt;Benchmark!$B$2,1,IF(L731&lt;-Benchmark!$B$2,5,3))</f>
        <v>5</v>
      </c>
      <c r="N731" s="3" t="s">
        <v>31</v>
      </c>
    </row>
    <row r="732" spans="1:14" x14ac:dyDescent="0.35">
      <c r="A732" s="11" t="s">
        <v>7</v>
      </c>
      <c r="B732" s="11" t="s">
        <v>1017</v>
      </c>
      <c r="C732" s="11">
        <v>9</v>
      </c>
      <c r="D732" s="11">
        <v>2</v>
      </c>
      <c r="E732" s="11" t="s">
        <v>78</v>
      </c>
      <c r="F732" s="11" t="s">
        <v>502</v>
      </c>
      <c r="G732" s="12">
        <v>6.62</v>
      </c>
      <c r="H732" s="13">
        <v>97.353474320241688</v>
      </c>
      <c r="I732" s="11" t="s">
        <v>728</v>
      </c>
      <c r="J732" s="11" t="s">
        <v>614</v>
      </c>
      <c r="K732" s="7">
        <f>INDEX(Benchmark!$H$5:$H$807,MATCH(I732,Benchmark!$A$5:$A$807,0))</f>
        <v>128.85112302775141</v>
      </c>
      <c r="L732" s="14">
        <f t="shared" si="11"/>
        <v>-0.24444993545555593</v>
      </c>
      <c r="M732" s="15">
        <f>IF(L732&gt;Benchmark!$B$2,1,IF(L732&lt;-Benchmark!$B$2,5,3))</f>
        <v>5</v>
      </c>
      <c r="N732" s="3" t="s">
        <v>31</v>
      </c>
    </row>
    <row r="733" spans="1:14" x14ac:dyDescent="0.35">
      <c r="A733" s="11" t="s">
        <v>7</v>
      </c>
      <c r="B733" s="11" t="s">
        <v>1018</v>
      </c>
      <c r="C733" s="11">
        <v>9</v>
      </c>
      <c r="D733" s="11">
        <v>2</v>
      </c>
      <c r="E733" s="11" t="s">
        <v>78</v>
      </c>
      <c r="F733" s="11" t="s">
        <v>499</v>
      </c>
      <c r="G733" s="12">
        <v>5.51</v>
      </c>
      <c r="H733" s="13">
        <v>102.513611615245</v>
      </c>
      <c r="I733" s="11" t="s">
        <v>1019</v>
      </c>
      <c r="J733" s="11" t="s">
        <v>614</v>
      </c>
      <c r="K733" s="7">
        <f>INDEX(Benchmark!$H$5:$H$807,MATCH(I733,Benchmark!$A$5:$A$807,0))</f>
        <v>122.8603066439523</v>
      </c>
      <c r="L733" s="14">
        <f t="shared" si="11"/>
        <v>-0.1656083692487581</v>
      </c>
      <c r="M733" s="15">
        <f>IF(L733&gt;Benchmark!$B$2,1,IF(L733&lt;-Benchmark!$B$2,5,3))</f>
        <v>5</v>
      </c>
      <c r="N733" s="3" t="s">
        <v>31</v>
      </c>
    </row>
    <row r="734" spans="1:14" x14ac:dyDescent="0.35">
      <c r="A734" s="11" t="s">
        <v>7</v>
      </c>
      <c r="B734" s="11" t="s">
        <v>1020</v>
      </c>
      <c r="C734" s="11">
        <v>9</v>
      </c>
      <c r="D734" s="11">
        <v>3</v>
      </c>
      <c r="E734" s="11" t="s">
        <v>27</v>
      </c>
      <c r="F734" s="11" t="s">
        <v>364</v>
      </c>
      <c r="G734" s="12">
        <v>6.93</v>
      </c>
      <c r="H734" s="13">
        <v>103.95815295815299</v>
      </c>
      <c r="I734" s="11" t="s">
        <v>773</v>
      </c>
      <c r="J734" s="11" t="s">
        <v>30</v>
      </c>
      <c r="K734" s="7">
        <f>INDEX(Benchmark!$H$5:$H$807,MATCH(I734,Benchmark!$A$5:$A$807,0))</f>
        <v>122.69387755102041</v>
      </c>
      <c r="L734" s="14">
        <f t="shared" si="11"/>
        <v>-0.15270301148544629</v>
      </c>
      <c r="M734" s="15">
        <f>IF(L734&gt;Benchmark!$B$2,1,IF(L734&lt;-Benchmark!$B$2,5,3))</f>
        <v>5</v>
      </c>
      <c r="N734" s="3" t="s">
        <v>31</v>
      </c>
    </row>
    <row r="735" spans="1:14" x14ac:dyDescent="0.35">
      <c r="A735" s="11" t="s">
        <v>7</v>
      </c>
      <c r="B735" s="11" t="s">
        <v>1021</v>
      </c>
      <c r="C735" s="11">
        <v>9</v>
      </c>
      <c r="D735" s="11">
        <v>8</v>
      </c>
      <c r="E735" s="11" t="s">
        <v>198</v>
      </c>
      <c r="F735" s="11" t="s">
        <v>364</v>
      </c>
      <c r="G735" s="12">
        <v>12.44</v>
      </c>
      <c r="H735" s="13">
        <v>90.610932475884255</v>
      </c>
      <c r="I735" s="11" t="s">
        <v>709</v>
      </c>
      <c r="J735" s="11" t="s">
        <v>30</v>
      </c>
      <c r="K735" s="7">
        <f>INDEX(Benchmark!$H$5:$H$807,MATCH(I735,Benchmark!$A$5:$A$807,0))</f>
        <v>125.33667409057161</v>
      </c>
      <c r="L735" s="14">
        <f t="shared" si="11"/>
        <v>-0.27705970233096822</v>
      </c>
      <c r="M735" s="15">
        <f>IF(L735&gt;Benchmark!$B$2,1,IF(L735&lt;-Benchmark!$B$2,5,3))</f>
        <v>5</v>
      </c>
      <c r="N735" s="3" t="s">
        <v>31</v>
      </c>
    </row>
    <row r="736" spans="1:14" x14ac:dyDescent="0.35">
      <c r="A736" s="11" t="s">
        <v>7</v>
      </c>
      <c r="B736" s="11" t="s">
        <v>1022</v>
      </c>
      <c r="C736" s="11">
        <v>9</v>
      </c>
      <c r="D736" s="11">
        <v>2</v>
      </c>
      <c r="E736" s="11" t="s">
        <v>27</v>
      </c>
      <c r="F736" s="11" t="s">
        <v>502</v>
      </c>
      <c r="G736" s="12">
        <v>12.52</v>
      </c>
      <c r="H736" s="13">
        <v>92.825878594249204</v>
      </c>
      <c r="I736" s="11" t="s">
        <v>775</v>
      </c>
      <c r="J736" s="11" t="s">
        <v>30</v>
      </c>
      <c r="K736" s="7">
        <f>INDEX(Benchmark!$H$5:$H$807,MATCH(I736,Benchmark!$A$5:$A$807,0))</f>
        <v>141.3474440894569</v>
      </c>
      <c r="L736" s="14">
        <f t="shared" si="11"/>
        <v>-0.34327869037730208</v>
      </c>
      <c r="M736" s="15">
        <f>IF(L736&gt;Benchmark!$B$2,1,IF(L736&lt;-Benchmark!$B$2,5,3))</f>
        <v>5</v>
      </c>
      <c r="N736" s="3" t="s">
        <v>31</v>
      </c>
    </row>
    <row r="737" spans="1:14" x14ac:dyDescent="0.35">
      <c r="A737" s="11" t="s">
        <v>7</v>
      </c>
      <c r="B737" s="11" t="s">
        <v>1023</v>
      </c>
      <c r="C737" s="11">
        <v>9</v>
      </c>
      <c r="D737" s="11">
        <v>8</v>
      </c>
      <c r="E737" s="11" t="s">
        <v>198</v>
      </c>
      <c r="F737" s="11" t="s">
        <v>502</v>
      </c>
      <c r="G737" s="12">
        <v>11.97</v>
      </c>
      <c r="H737" s="13">
        <v>99.169590643274844</v>
      </c>
      <c r="I737" s="11" t="s">
        <v>968</v>
      </c>
      <c r="J737" s="11" t="s">
        <v>30</v>
      </c>
      <c r="K737" s="7">
        <f>INDEX(Benchmark!$H$5:$H$807,MATCH(I737,Benchmark!$A$5:$A$807,0))</f>
        <v>128.99451869176229</v>
      </c>
      <c r="L737" s="14">
        <f t="shared" si="11"/>
        <v>-0.23121081694762036</v>
      </c>
      <c r="M737" s="15">
        <f>IF(L737&gt;Benchmark!$B$2,1,IF(L737&lt;-Benchmark!$B$2,5,3))</f>
        <v>5</v>
      </c>
      <c r="N737" s="3" t="s">
        <v>31</v>
      </c>
    </row>
    <row r="738" spans="1:14" x14ac:dyDescent="0.35">
      <c r="A738" s="11" t="s">
        <v>7</v>
      </c>
      <c r="B738" s="11" t="s">
        <v>1024</v>
      </c>
      <c r="C738" s="11">
        <v>9</v>
      </c>
      <c r="D738" s="11">
        <v>12</v>
      </c>
      <c r="E738" s="11" t="s">
        <v>198</v>
      </c>
      <c r="F738" s="11" t="s">
        <v>502</v>
      </c>
      <c r="G738" s="12">
        <v>5.34</v>
      </c>
      <c r="H738" s="13">
        <v>90.312734082397</v>
      </c>
      <c r="I738" s="11" t="s">
        <v>968</v>
      </c>
      <c r="J738" s="11" t="s">
        <v>30</v>
      </c>
      <c r="K738" s="7">
        <f>INDEX(Benchmark!$H$5:$H$807,MATCH(I738,Benchmark!$A$5:$A$807,0))</f>
        <v>128.99451869176229</v>
      </c>
      <c r="L738" s="14">
        <f t="shared" si="11"/>
        <v>-0.29987153719141357</v>
      </c>
      <c r="M738" s="15">
        <f>IF(L738&gt;Benchmark!$B$2,1,IF(L738&lt;-Benchmark!$B$2,5,3))</f>
        <v>5</v>
      </c>
      <c r="N738" s="3" t="s">
        <v>31</v>
      </c>
    </row>
    <row r="739" spans="1:14" x14ac:dyDescent="0.35">
      <c r="A739" s="11" t="s">
        <v>7</v>
      </c>
      <c r="B739" s="11" t="s">
        <v>1025</v>
      </c>
      <c r="C739" s="11">
        <v>9</v>
      </c>
      <c r="D739" s="11">
        <v>10</v>
      </c>
      <c r="E739" s="11" t="s">
        <v>198</v>
      </c>
      <c r="F739" s="11" t="s">
        <v>502</v>
      </c>
      <c r="G739" s="12">
        <v>5.92</v>
      </c>
      <c r="H739" s="13">
        <v>115.0422297297297</v>
      </c>
      <c r="I739" s="11" t="s">
        <v>968</v>
      </c>
      <c r="J739" s="11" t="s">
        <v>30</v>
      </c>
      <c r="K739" s="7">
        <f>INDEX(Benchmark!$H$5:$H$807,MATCH(I739,Benchmark!$A$5:$A$807,0))</f>
        <v>128.99451869176229</v>
      </c>
      <c r="L739" s="14">
        <f t="shared" si="11"/>
        <v>-0.10816187465586946</v>
      </c>
      <c r="M739" s="15">
        <f>IF(L739&gt;Benchmark!$B$2,1,IF(L739&lt;-Benchmark!$B$2,5,3))</f>
        <v>5</v>
      </c>
      <c r="N739" s="3" t="s">
        <v>31</v>
      </c>
    </row>
    <row r="740" spans="1:14" x14ac:dyDescent="0.35">
      <c r="A740" s="11" t="s">
        <v>7</v>
      </c>
      <c r="B740" s="11" t="s">
        <v>1026</v>
      </c>
      <c r="C740" s="11">
        <v>9</v>
      </c>
      <c r="D740" s="11">
        <v>2</v>
      </c>
      <c r="E740" s="11" t="s">
        <v>27</v>
      </c>
      <c r="F740" s="11" t="s">
        <v>364</v>
      </c>
      <c r="G740" s="12">
        <v>6.37</v>
      </c>
      <c r="H740" s="13">
        <v>95.949764521193103</v>
      </c>
      <c r="I740" s="11" t="s">
        <v>773</v>
      </c>
      <c r="J740" s="11" t="s">
        <v>30</v>
      </c>
      <c r="K740" s="7">
        <f>INDEX(Benchmark!$H$5:$H$807,MATCH(I740,Benchmark!$A$5:$A$807,0))</f>
        <v>122.69387755102041</v>
      </c>
      <c r="L740" s="14">
        <f t="shared" si="11"/>
        <v>-0.21797430779466698</v>
      </c>
      <c r="M740" s="15">
        <f>IF(L740&gt;Benchmark!$B$2,1,IF(L740&lt;-Benchmark!$B$2,5,3))</f>
        <v>5</v>
      </c>
      <c r="N740" s="3" t="s">
        <v>31</v>
      </c>
    </row>
    <row r="741" spans="1:14" x14ac:dyDescent="0.35">
      <c r="A741" s="11" t="s">
        <v>7</v>
      </c>
      <c r="B741" s="11" t="s">
        <v>1027</v>
      </c>
      <c r="C741" s="11">
        <v>9</v>
      </c>
      <c r="D741" s="11">
        <v>2</v>
      </c>
      <c r="E741" s="11" t="s">
        <v>78</v>
      </c>
      <c r="F741" s="11" t="s">
        <v>364</v>
      </c>
      <c r="G741" s="12">
        <v>6.5</v>
      </c>
      <c r="H741" s="13">
        <v>115.01692307692311</v>
      </c>
      <c r="I741" s="11" t="s">
        <v>714</v>
      </c>
      <c r="J741" s="11" t="s">
        <v>614</v>
      </c>
      <c r="K741" s="7">
        <f>INDEX(Benchmark!$H$5:$H$807,MATCH(I741,Benchmark!$A$5:$A$807,0))</f>
        <v>123.3843295638126</v>
      </c>
      <c r="L741" s="14">
        <f t="shared" si="11"/>
        <v>-6.7815795704931792E-2</v>
      </c>
      <c r="M741" s="15">
        <f>IF(L741&gt;Benchmark!$B$2,1,IF(L741&lt;-Benchmark!$B$2,5,3))</f>
        <v>5</v>
      </c>
      <c r="N741" s="3" t="s">
        <v>31</v>
      </c>
    </row>
    <row r="742" spans="1:14" x14ac:dyDescent="0.35">
      <c r="A742" s="11" t="s">
        <v>7</v>
      </c>
      <c r="B742" s="11" t="s">
        <v>1028</v>
      </c>
      <c r="C742" s="11">
        <v>9</v>
      </c>
      <c r="D742" s="11">
        <v>2</v>
      </c>
      <c r="E742" s="11" t="s">
        <v>27</v>
      </c>
      <c r="F742" s="11" t="s">
        <v>39</v>
      </c>
      <c r="G742" s="12">
        <v>18.63</v>
      </c>
      <c r="H742" s="13">
        <v>129.1551261406334</v>
      </c>
      <c r="I742" s="11" t="s">
        <v>879</v>
      </c>
      <c r="J742" s="11" t="s">
        <v>30</v>
      </c>
      <c r="K742" s="7">
        <f>INDEX(Benchmark!$H$5:$H$807,MATCH(I742,Benchmark!$A$5:$A$807,0))</f>
        <v>131.3117261471231</v>
      </c>
      <c r="L742" s="14">
        <f t="shared" si="11"/>
        <v>-1.642351425700872E-2</v>
      </c>
      <c r="M742" s="17">
        <f>IF(L742&gt;Benchmark!$B$2,1,IF(L742&lt;-Benchmark!$B$2,5,3))</f>
        <v>3</v>
      </c>
      <c r="N742" s="3" t="s">
        <v>31</v>
      </c>
    </row>
    <row r="743" spans="1:14" x14ac:dyDescent="0.35">
      <c r="A743" s="11" t="s">
        <v>7</v>
      </c>
      <c r="B743" s="11" t="s">
        <v>1029</v>
      </c>
      <c r="C743" s="11">
        <v>9</v>
      </c>
      <c r="D743" s="11">
        <v>12</v>
      </c>
      <c r="E743" s="11" t="s">
        <v>198</v>
      </c>
      <c r="F743" s="11" t="s">
        <v>39</v>
      </c>
      <c r="G743" s="12">
        <v>4.75</v>
      </c>
      <c r="H743" s="13">
        <v>121.85052631578949</v>
      </c>
      <c r="I743" s="11" t="s">
        <v>1030</v>
      </c>
      <c r="J743" s="11" t="s">
        <v>30</v>
      </c>
      <c r="K743" s="7">
        <f>INDEX(Benchmark!$H$5:$H$807,MATCH(I743,Benchmark!$A$5:$A$807,0))</f>
        <v>124.51754725290211</v>
      </c>
      <c r="L743" s="14">
        <f t="shared" si="11"/>
        <v>-2.1418836107458317E-2</v>
      </c>
      <c r="M743" s="17">
        <f>IF(L743&gt;Benchmark!$B$2,1,IF(L743&lt;-Benchmark!$B$2,5,3))</f>
        <v>3</v>
      </c>
      <c r="N743" s="3" t="s">
        <v>31</v>
      </c>
    </row>
    <row r="744" spans="1:14" x14ac:dyDescent="0.35">
      <c r="A744" s="11" t="s">
        <v>7</v>
      </c>
      <c r="B744" s="11" t="s">
        <v>1031</v>
      </c>
      <c r="C744" s="11">
        <v>9</v>
      </c>
      <c r="D744" s="11">
        <v>2</v>
      </c>
      <c r="E744" s="11" t="s">
        <v>27</v>
      </c>
      <c r="F744" s="11" t="s">
        <v>633</v>
      </c>
      <c r="G744" s="12">
        <v>3.06</v>
      </c>
      <c r="H744" s="13">
        <v>146.19607843137251</v>
      </c>
      <c r="I744" s="11" t="s">
        <v>658</v>
      </c>
      <c r="J744" s="11" t="s">
        <v>30</v>
      </c>
      <c r="K744" s="7">
        <f>INDEX(Benchmark!$H$5:$H$807,MATCH(I744,Benchmark!$A$5:$A$807,0))</f>
        <v>128.387190909645</v>
      </c>
      <c r="L744" s="14">
        <f t="shared" si="11"/>
        <v>0.13871233878978528</v>
      </c>
      <c r="M744" s="16">
        <f>IF(L744&gt;Benchmark!$B$2,1,IF(L744&lt;-Benchmark!$B$2,5,3))</f>
        <v>1</v>
      </c>
      <c r="N744" s="3" t="s">
        <v>31</v>
      </c>
    </row>
    <row r="745" spans="1:14" x14ac:dyDescent="0.35">
      <c r="A745" s="11" t="s">
        <v>7</v>
      </c>
      <c r="B745" s="11" t="s">
        <v>1032</v>
      </c>
      <c r="C745" s="11">
        <v>9</v>
      </c>
      <c r="D745" s="11">
        <v>1</v>
      </c>
      <c r="E745" s="11" t="s">
        <v>114</v>
      </c>
      <c r="F745" s="11" t="s">
        <v>633</v>
      </c>
      <c r="G745" s="12">
        <v>14.08</v>
      </c>
      <c r="H745" s="13">
        <v>96.384943181818173</v>
      </c>
      <c r="I745" s="11" t="s">
        <v>1033</v>
      </c>
      <c r="J745" s="11" t="s">
        <v>30</v>
      </c>
      <c r="K745" s="7">
        <f>INDEX(Benchmark!$H$5:$H$807,MATCH(I745,Benchmark!$A$5:$A$807,0))</f>
        <v>118.3729713237831</v>
      </c>
      <c r="L745" s="14">
        <f t="shared" si="11"/>
        <v>-0.18575210114327145</v>
      </c>
      <c r="M745" s="15">
        <f>IF(L745&gt;Benchmark!$B$2,1,IF(L745&lt;-Benchmark!$B$2,5,3))</f>
        <v>5</v>
      </c>
      <c r="N745" s="3" t="s">
        <v>31</v>
      </c>
    </row>
    <row r="746" spans="1:14" x14ac:dyDescent="0.35">
      <c r="A746" s="11" t="s">
        <v>7</v>
      </c>
      <c r="B746" s="11" t="s">
        <v>1034</v>
      </c>
      <c r="C746" s="11">
        <v>9</v>
      </c>
      <c r="D746" s="11">
        <v>3</v>
      </c>
      <c r="E746" s="11" t="s">
        <v>88</v>
      </c>
      <c r="F746" s="11" t="s">
        <v>633</v>
      </c>
      <c r="G746" s="12">
        <v>17.62</v>
      </c>
      <c r="H746" s="13">
        <v>109.13110102156639</v>
      </c>
      <c r="I746" s="11" t="s">
        <v>644</v>
      </c>
      <c r="J746" s="11" t="s">
        <v>30</v>
      </c>
      <c r="K746" s="7">
        <f>INDEX(Benchmark!$H$5:$H$807,MATCH(I746,Benchmark!$A$5:$A$807,0))</f>
        <v>108.726573100639</v>
      </c>
      <c r="L746" s="14">
        <f t="shared" si="11"/>
        <v>3.7205984644890222E-3</v>
      </c>
      <c r="M746" s="17">
        <f>IF(L746&gt;Benchmark!$B$2,1,IF(L746&lt;-Benchmark!$B$2,5,3))</f>
        <v>3</v>
      </c>
      <c r="N746" s="3" t="s">
        <v>31</v>
      </c>
    </row>
    <row r="747" spans="1:14" x14ac:dyDescent="0.35">
      <c r="A747" s="11" t="s">
        <v>7</v>
      </c>
      <c r="B747" s="11" t="s">
        <v>1035</v>
      </c>
      <c r="C747" s="11">
        <v>9</v>
      </c>
      <c r="D747" s="11">
        <v>6</v>
      </c>
      <c r="E747" s="11" t="s">
        <v>104</v>
      </c>
      <c r="F747" s="11" t="s">
        <v>633</v>
      </c>
      <c r="G747" s="12">
        <v>1.41</v>
      </c>
      <c r="H747" s="13">
        <v>90.361702127659584</v>
      </c>
      <c r="I747" s="11" t="s">
        <v>700</v>
      </c>
      <c r="J747" s="11" t="s">
        <v>30</v>
      </c>
      <c r="K747" s="7">
        <f>INDEX(Benchmark!$H$5:$H$807,MATCH(I747,Benchmark!$A$5:$A$807,0))</f>
        <v>114.9706913557601</v>
      </c>
      <c r="L747" s="14">
        <f t="shared" si="11"/>
        <v>-0.21404576190597624</v>
      </c>
      <c r="M747" s="15">
        <f>IF(L747&gt;Benchmark!$B$2,1,IF(L747&lt;-Benchmark!$B$2,5,3))</f>
        <v>5</v>
      </c>
      <c r="N747" s="3" t="s">
        <v>31</v>
      </c>
    </row>
    <row r="748" spans="1:14" x14ac:dyDescent="0.35">
      <c r="A748" s="11" t="s">
        <v>7</v>
      </c>
      <c r="B748" s="11" t="s">
        <v>1036</v>
      </c>
      <c r="C748" s="11">
        <v>9</v>
      </c>
      <c r="D748" s="11">
        <v>5</v>
      </c>
      <c r="E748" s="11" t="s">
        <v>104</v>
      </c>
      <c r="F748" s="11" t="s">
        <v>633</v>
      </c>
      <c r="G748" s="12">
        <v>10.37</v>
      </c>
      <c r="H748" s="13">
        <v>106.2796528447444</v>
      </c>
      <c r="I748" s="11" t="s">
        <v>700</v>
      </c>
      <c r="J748" s="11" t="s">
        <v>30</v>
      </c>
      <c r="K748" s="7">
        <f>INDEX(Benchmark!$H$5:$H$807,MATCH(I748,Benchmark!$A$5:$A$807,0))</f>
        <v>114.9706913557601</v>
      </c>
      <c r="L748" s="14">
        <f t="shared" si="11"/>
        <v>-7.5593513516610367E-2</v>
      </c>
      <c r="M748" s="15">
        <f>IF(L748&gt;Benchmark!$B$2,1,IF(L748&lt;-Benchmark!$B$2,5,3))</f>
        <v>5</v>
      </c>
      <c r="N748" s="3" t="s">
        <v>31</v>
      </c>
    </row>
    <row r="749" spans="1:14" x14ac:dyDescent="0.35">
      <c r="A749" s="11" t="s">
        <v>7</v>
      </c>
      <c r="B749" s="11" t="s">
        <v>1037</v>
      </c>
      <c r="C749" s="11">
        <v>9</v>
      </c>
      <c r="D749" s="11">
        <v>9</v>
      </c>
      <c r="E749" s="11" t="s">
        <v>198</v>
      </c>
      <c r="F749" s="11" t="s">
        <v>633</v>
      </c>
      <c r="G749" s="12">
        <v>6.44</v>
      </c>
      <c r="H749" s="13">
        <v>114.64906832298141</v>
      </c>
      <c r="I749" s="11" t="s">
        <v>634</v>
      </c>
      <c r="J749" s="11" t="s">
        <v>30</v>
      </c>
      <c r="K749" s="7">
        <f>INDEX(Benchmark!$H$5:$H$807,MATCH(I749,Benchmark!$A$5:$A$807,0))</f>
        <v>122.7119856887299</v>
      </c>
      <c r="L749" s="14">
        <f t="shared" si="11"/>
        <v>-6.570602961475025E-2</v>
      </c>
      <c r="M749" s="15">
        <f>IF(L749&gt;Benchmark!$B$2,1,IF(L749&lt;-Benchmark!$B$2,5,3))</f>
        <v>5</v>
      </c>
      <c r="N749" s="3" t="s">
        <v>31</v>
      </c>
    </row>
    <row r="750" spans="1:14" x14ac:dyDescent="0.35">
      <c r="A750" s="11" t="s">
        <v>7</v>
      </c>
      <c r="B750" s="11" t="s">
        <v>1038</v>
      </c>
      <c r="C750" s="11">
        <v>9</v>
      </c>
      <c r="D750" s="11">
        <v>1</v>
      </c>
      <c r="E750" s="11" t="s">
        <v>78</v>
      </c>
      <c r="F750" s="11" t="s">
        <v>633</v>
      </c>
      <c r="G750" s="12">
        <v>8.5</v>
      </c>
      <c r="H750" s="13">
        <v>142.53882352941179</v>
      </c>
      <c r="I750" s="11" t="s">
        <v>702</v>
      </c>
      <c r="J750" s="11" t="s">
        <v>614</v>
      </c>
      <c r="K750" s="7">
        <f>INDEX(Benchmark!$H$5:$H$807,MATCH(I750,Benchmark!$A$5:$A$807,0))</f>
        <v>120.3572922555116</v>
      </c>
      <c r="L750" s="14">
        <f t="shared" si="11"/>
        <v>0.18429736045249401</v>
      </c>
      <c r="M750" s="16">
        <f>IF(L750&gt;Benchmark!$B$2,1,IF(L750&lt;-Benchmark!$B$2,5,3))</f>
        <v>1</v>
      </c>
      <c r="N750" s="3" t="s">
        <v>31</v>
      </c>
    </row>
    <row r="751" spans="1:14" x14ac:dyDescent="0.35">
      <c r="A751" s="11" t="s">
        <v>7</v>
      </c>
      <c r="B751" s="11" t="s">
        <v>1039</v>
      </c>
      <c r="C751" s="11">
        <v>9</v>
      </c>
      <c r="D751" s="11">
        <v>4</v>
      </c>
      <c r="E751" s="11" t="s">
        <v>104</v>
      </c>
      <c r="F751" s="11" t="s">
        <v>364</v>
      </c>
      <c r="G751" s="12">
        <v>15.67</v>
      </c>
      <c r="H751" s="13">
        <v>96.537970644543719</v>
      </c>
      <c r="I751" s="11" t="s">
        <v>637</v>
      </c>
      <c r="J751" s="11" t="s">
        <v>30</v>
      </c>
      <c r="K751" s="7">
        <f>INDEX(Benchmark!$H$5:$H$807,MATCH(I751,Benchmark!$A$5:$A$807,0))</f>
        <v>114.22005012531331</v>
      </c>
      <c r="L751" s="14">
        <f t="shared" si="11"/>
        <v>-0.15480714166532228</v>
      </c>
      <c r="M751" s="15">
        <f>IF(L751&gt;Benchmark!$B$2,1,IF(L751&lt;-Benchmark!$B$2,5,3))</f>
        <v>5</v>
      </c>
      <c r="N751" s="3" t="s">
        <v>31</v>
      </c>
    </row>
    <row r="752" spans="1:14" x14ac:dyDescent="0.35">
      <c r="A752" s="11" t="s">
        <v>7</v>
      </c>
      <c r="B752" s="11" t="s">
        <v>1040</v>
      </c>
      <c r="C752" s="11">
        <v>9</v>
      </c>
      <c r="D752" s="11">
        <v>4</v>
      </c>
      <c r="E752" s="11" t="s">
        <v>104</v>
      </c>
      <c r="F752" s="11" t="s">
        <v>633</v>
      </c>
      <c r="G752" s="12">
        <v>10.76</v>
      </c>
      <c r="H752" s="13">
        <v>128.60687732342009</v>
      </c>
      <c r="I752" s="11" t="s">
        <v>700</v>
      </c>
      <c r="J752" s="11" t="s">
        <v>30</v>
      </c>
      <c r="K752" s="7">
        <f>INDEX(Benchmark!$H$5:$H$807,MATCH(I752,Benchmark!$A$5:$A$807,0))</f>
        <v>114.9706913557601</v>
      </c>
      <c r="L752" s="14">
        <f t="shared" si="11"/>
        <v>0.11860575775320692</v>
      </c>
      <c r="M752" s="16">
        <f>IF(L752&gt;Benchmark!$B$2,1,IF(L752&lt;-Benchmark!$B$2,5,3))</f>
        <v>1</v>
      </c>
      <c r="N752" s="3" t="s">
        <v>31</v>
      </c>
    </row>
    <row r="753" spans="1:14" x14ac:dyDescent="0.35">
      <c r="A753" s="11" t="s">
        <v>7</v>
      </c>
      <c r="B753" s="11" t="s">
        <v>1041</v>
      </c>
      <c r="C753" s="11">
        <v>9</v>
      </c>
      <c r="D753" s="11">
        <v>4</v>
      </c>
      <c r="E753" s="11" t="s">
        <v>27</v>
      </c>
      <c r="F753" s="11" t="s">
        <v>364</v>
      </c>
      <c r="G753" s="12">
        <v>3.48</v>
      </c>
      <c r="H753" s="13">
        <v>146.90229885057471</v>
      </c>
      <c r="I753" s="11" t="s">
        <v>773</v>
      </c>
      <c r="J753" s="11" t="s">
        <v>30</v>
      </c>
      <c r="K753" s="7">
        <f>INDEX(Benchmark!$H$5:$H$807,MATCH(I753,Benchmark!$A$5:$A$807,0))</f>
        <v>122.69387755102041</v>
      </c>
      <c r="L753" s="14">
        <f t="shared" si="11"/>
        <v>0.19730749229510325</v>
      </c>
      <c r="M753" s="16">
        <f>IF(L753&gt;Benchmark!$B$2,1,IF(L753&lt;-Benchmark!$B$2,5,3))</f>
        <v>1</v>
      </c>
      <c r="N753" s="3" t="s">
        <v>31</v>
      </c>
    </row>
    <row r="754" spans="1:14" x14ac:dyDescent="0.35">
      <c r="A754" s="11" t="s">
        <v>7</v>
      </c>
      <c r="B754" s="11" t="s">
        <v>1042</v>
      </c>
      <c r="C754" s="11">
        <v>9</v>
      </c>
      <c r="D754" s="11">
        <v>13</v>
      </c>
      <c r="E754" s="11" t="s">
        <v>1002</v>
      </c>
      <c r="F754" s="11" t="s">
        <v>35</v>
      </c>
      <c r="G754" s="12">
        <v>18.66</v>
      </c>
      <c r="H754" s="13">
        <v>126.5289389067524</v>
      </c>
      <c r="I754" s="11" t="s">
        <v>1003</v>
      </c>
      <c r="J754" s="11" t="s">
        <v>30</v>
      </c>
      <c r="K754" s="7">
        <f>INDEX(Benchmark!$H$5:$H$807,MATCH(I754,Benchmark!$A$5:$A$807,0))</f>
        <v>124.2224256136021</v>
      </c>
      <c r="L754" s="14">
        <f t="shared" si="11"/>
        <v>1.8567607915858764E-2</v>
      </c>
      <c r="M754" s="17">
        <f>IF(L754&gt;Benchmark!$B$2,1,IF(L754&lt;-Benchmark!$B$2,5,3))</f>
        <v>3</v>
      </c>
      <c r="N754" s="3" t="s">
        <v>31</v>
      </c>
    </row>
    <row r="755" spans="1:14" x14ac:dyDescent="0.35">
      <c r="A755" s="11" t="s">
        <v>7</v>
      </c>
      <c r="B755" s="11" t="s">
        <v>1043</v>
      </c>
      <c r="C755" s="11">
        <v>9</v>
      </c>
      <c r="D755" s="11">
        <v>4</v>
      </c>
      <c r="E755" s="11" t="s">
        <v>88</v>
      </c>
      <c r="F755" s="11" t="s">
        <v>633</v>
      </c>
      <c r="G755" s="12">
        <v>10.55</v>
      </c>
      <c r="H755" s="13">
        <v>117.33933649289099</v>
      </c>
      <c r="I755" s="11" t="s">
        <v>644</v>
      </c>
      <c r="J755" s="11" t="s">
        <v>30</v>
      </c>
      <c r="K755" s="7">
        <f>INDEX(Benchmark!$H$5:$H$807,MATCH(I755,Benchmark!$A$5:$A$807,0))</f>
        <v>108.726573100639</v>
      </c>
      <c r="L755" s="14">
        <f t="shared" si="11"/>
        <v>7.9214888749228551E-2</v>
      </c>
      <c r="M755" s="16">
        <f>IF(L755&gt;Benchmark!$B$2,1,IF(L755&lt;-Benchmark!$B$2,5,3))</f>
        <v>1</v>
      </c>
      <c r="N755" s="3" t="s">
        <v>31</v>
      </c>
    </row>
    <row r="756" spans="1:14" x14ac:dyDescent="0.35">
      <c r="A756" s="11" t="s">
        <v>7</v>
      </c>
      <c r="B756" s="11" t="s">
        <v>1044</v>
      </c>
      <c r="C756" s="11">
        <v>9</v>
      </c>
      <c r="D756" s="11">
        <v>4</v>
      </c>
      <c r="E756" s="11" t="s">
        <v>88</v>
      </c>
      <c r="F756" s="11" t="s">
        <v>28</v>
      </c>
      <c r="G756" s="12">
        <v>15.35</v>
      </c>
      <c r="H756" s="13">
        <v>107.7302931596091</v>
      </c>
      <c r="I756" s="11" t="s">
        <v>664</v>
      </c>
      <c r="J756" s="11" t="s">
        <v>30</v>
      </c>
      <c r="K756" s="7">
        <f>INDEX(Benchmark!$H$5:$H$807,MATCH(I756,Benchmark!$A$5:$A$807,0))</f>
        <v>123.09268030238</v>
      </c>
      <c r="L756" s="14">
        <f t="shared" si="11"/>
        <v>-0.12480341727089572</v>
      </c>
      <c r="M756" s="15">
        <f>IF(L756&gt;Benchmark!$B$2,1,IF(L756&lt;-Benchmark!$B$2,5,3))</f>
        <v>5</v>
      </c>
      <c r="N756" s="3" t="s">
        <v>31</v>
      </c>
    </row>
    <row r="757" spans="1:14" x14ac:dyDescent="0.35">
      <c r="A757" s="11" t="s">
        <v>7</v>
      </c>
      <c r="B757" s="11" t="s">
        <v>1045</v>
      </c>
      <c r="C757" s="11">
        <v>9</v>
      </c>
      <c r="D757" s="11">
        <v>6</v>
      </c>
      <c r="E757" s="11" t="s">
        <v>104</v>
      </c>
      <c r="F757" s="11" t="s">
        <v>39</v>
      </c>
      <c r="G757" s="12">
        <v>11.66</v>
      </c>
      <c r="H757" s="13">
        <v>96.702401372212691</v>
      </c>
      <c r="I757" s="11" t="s">
        <v>815</v>
      </c>
      <c r="J757" s="11" t="s">
        <v>30</v>
      </c>
      <c r="K757" s="7">
        <f>INDEX(Benchmark!$H$5:$H$807,MATCH(I757,Benchmark!$A$5:$A$807,0))</f>
        <v>118.28950695322381</v>
      </c>
      <c r="L757" s="14">
        <f t="shared" si="11"/>
        <v>-0.18249383345174885</v>
      </c>
      <c r="M757" s="15">
        <f>IF(L757&gt;Benchmark!$B$2,1,IF(L757&lt;-Benchmark!$B$2,5,3))</f>
        <v>5</v>
      </c>
      <c r="N757" s="3" t="s">
        <v>31</v>
      </c>
    </row>
    <row r="758" spans="1:14" x14ac:dyDescent="0.35">
      <c r="A758" s="11" t="s">
        <v>7</v>
      </c>
      <c r="B758" s="11" t="s">
        <v>1046</v>
      </c>
      <c r="C758" s="11">
        <v>9</v>
      </c>
      <c r="D758" s="11">
        <v>1</v>
      </c>
      <c r="E758" s="11" t="s">
        <v>78</v>
      </c>
      <c r="F758" s="11" t="s">
        <v>28</v>
      </c>
      <c r="G758" s="12">
        <v>8.5500000000000007</v>
      </c>
      <c r="H758" s="13">
        <v>145.89590643274849</v>
      </c>
      <c r="I758" s="11" t="s">
        <v>1047</v>
      </c>
      <c r="J758" s="11" t="s">
        <v>614</v>
      </c>
      <c r="K758" s="7">
        <f>INDEX(Benchmark!$H$5:$H$807,MATCH(I758,Benchmark!$A$5:$A$807,0))</f>
        <v>121.878762541806</v>
      </c>
      <c r="L758" s="14">
        <f t="shared" si="11"/>
        <v>0.19705766115490619</v>
      </c>
      <c r="M758" s="16">
        <f>IF(L758&gt;Benchmark!$B$2,1,IF(L758&lt;-Benchmark!$B$2,5,3))</f>
        <v>1</v>
      </c>
      <c r="N758" s="3" t="s">
        <v>31</v>
      </c>
    </row>
    <row r="759" spans="1:14" x14ac:dyDescent="0.35">
      <c r="A759" s="11" t="s">
        <v>7</v>
      </c>
      <c r="B759" s="11" t="s">
        <v>1048</v>
      </c>
      <c r="C759" s="11">
        <v>9</v>
      </c>
      <c r="D759" s="11">
        <v>2</v>
      </c>
      <c r="E759" s="11" t="s">
        <v>34</v>
      </c>
      <c r="F759" s="11" t="s">
        <v>35</v>
      </c>
      <c r="G759" s="12">
        <v>7.42</v>
      </c>
      <c r="H759" s="13">
        <v>132.5256064690027</v>
      </c>
      <c r="I759" s="11" t="s">
        <v>726</v>
      </c>
      <c r="J759" s="11" t="s">
        <v>30</v>
      </c>
      <c r="K759" s="7">
        <f>INDEX(Benchmark!$H$5:$H$807,MATCH(I759,Benchmark!$A$5:$A$807,0))</f>
        <v>152.2432150313152</v>
      </c>
      <c r="L759" s="14">
        <f t="shared" si="11"/>
        <v>-0.12951387395659475</v>
      </c>
      <c r="M759" s="15">
        <f>IF(L759&gt;Benchmark!$B$2,1,IF(L759&lt;-Benchmark!$B$2,5,3))</f>
        <v>5</v>
      </c>
      <c r="N759" s="3" t="s">
        <v>31</v>
      </c>
    </row>
    <row r="760" spans="1:14" x14ac:dyDescent="0.35">
      <c r="A760" s="11" t="s">
        <v>7</v>
      </c>
      <c r="B760" s="11" t="s">
        <v>1049</v>
      </c>
      <c r="C760" s="11">
        <v>9</v>
      </c>
      <c r="D760" s="11">
        <v>1</v>
      </c>
      <c r="E760" s="11" t="s">
        <v>48</v>
      </c>
      <c r="F760" s="11" t="s">
        <v>35</v>
      </c>
      <c r="G760" s="12">
        <v>1.69</v>
      </c>
      <c r="H760" s="13">
        <v>122.5384615384615</v>
      </c>
      <c r="I760" s="11" t="s">
        <v>963</v>
      </c>
      <c r="J760" s="11" t="s">
        <v>37</v>
      </c>
      <c r="K760" s="7">
        <f>INDEX(Benchmark!$H$5:$H$807,MATCH(I760,Benchmark!$A$5:$A$807,0))</f>
        <v>146.51635977190529</v>
      </c>
      <c r="L760" s="14">
        <f t="shared" si="11"/>
        <v>-0.16365338499244897</v>
      </c>
      <c r="M760" s="15">
        <f>IF(L760&gt;Benchmark!$B$2,1,IF(L760&lt;-Benchmark!$B$2,5,3))</f>
        <v>5</v>
      </c>
      <c r="N760" s="3" t="s">
        <v>31</v>
      </c>
    </row>
    <row r="761" spans="1:14" x14ac:dyDescent="0.35">
      <c r="A761" s="11" t="s">
        <v>7</v>
      </c>
      <c r="B761" s="11" t="s">
        <v>1050</v>
      </c>
      <c r="C761" s="11">
        <v>9</v>
      </c>
      <c r="D761" s="11">
        <v>19</v>
      </c>
      <c r="E761" s="11" t="s">
        <v>114</v>
      </c>
      <c r="F761" s="11" t="s">
        <v>35</v>
      </c>
      <c r="G761" s="12">
        <v>8.67</v>
      </c>
      <c r="H761" s="13">
        <v>101.71510957324109</v>
      </c>
      <c r="I761" s="11" t="s">
        <v>1051</v>
      </c>
      <c r="J761" s="11" t="s">
        <v>30</v>
      </c>
      <c r="K761" s="7">
        <f>INDEX(Benchmark!$H$5:$H$807,MATCH(I761,Benchmark!$A$5:$A$807,0))</f>
        <v>124.19047304803701</v>
      </c>
      <c r="L761" s="14">
        <f t="shared" si="11"/>
        <v>-0.18097494053430663</v>
      </c>
      <c r="M761" s="15">
        <f>IF(L761&gt;Benchmark!$B$2,1,IF(L761&lt;-Benchmark!$B$2,5,3))</f>
        <v>5</v>
      </c>
      <c r="N761" s="3" t="s">
        <v>31</v>
      </c>
    </row>
    <row r="762" spans="1:14" x14ac:dyDescent="0.35">
      <c r="A762" s="11" t="s">
        <v>7</v>
      </c>
      <c r="B762" s="11" t="s">
        <v>1052</v>
      </c>
      <c r="C762" s="11">
        <v>9</v>
      </c>
      <c r="D762" s="11">
        <v>14</v>
      </c>
      <c r="E762" s="11" t="s">
        <v>114</v>
      </c>
      <c r="F762" s="11" t="s">
        <v>28</v>
      </c>
      <c r="G762" s="12">
        <v>1.94</v>
      </c>
      <c r="H762" s="13">
        <v>83.865979381443296</v>
      </c>
      <c r="I762" s="11" t="s">
        <v>1053</v>
      </c>
      <c r="J762" s="11" t="s">
        <v>30</v>
      </c>
      <c r="K762" s="7">
        <f>INDEX(Benchmark!$H$5:$H$807,MATCH(I762,Benchmark!$A$5:$A$807,0))</f>
        <v>121.1575</v>
      </c>
      <c r="L762" s="14">
        <f t="shared" si="11"/>
        <v>-0.30779374465927989</v>
      </c>
      <c r="M762" s="15">
        <f>IF(L762&gt;Benchmark!$B$2,1,IF(L762&lt;-Benchmark!$B$2,5,3))</f>
        <v>5</v>
      </c>
      <c r="N762" s="3" t="s">
        <v>31</v>
      </c>
    </row>
    <row r="763" spans="1:14" x14ac:dyDescent="0.35">
      <c r="A763" s="11" t="s">
        <v>7</v>
      </c>
      <c r="B763" s="11" t="s">
        <v>1054</v>
      </c>
      <c r="C763" s="11">
        <v>9</v>
      </c>
      <c r="D763" s="11">
        <v>1</v>
      </c>
      <c r="E763" s="11" t="s">
        <v>34</v>
      </c>
      <c r="F763" s="11" t="s">
        <v>364</v>
      </c>
      <c r="G763" s="12">
        <v>7.69</v>
      </c>
      <c r="H763" s="13">
        <v>121.369310793238</v>
      </c>
      <c r="I763" s="11" t="s">
        <v>988</v>
      </c>
      <c r="J763" s="11" t="s">
        <v>37</v>
      </c>
      <c r="K763" s="7">
        <f>INDEX(Benchmark!$H$5:$H$807,MATCH(I763,Benchmark!$A$5:$A$807,0))</f>
        <v>149.89052085816101</v>
      </c>
      <c r="L763" s="14">
        <f t="shared" si="11"/>
        <v>-0.19028027857686991</v>
      </c>
      <c r="M763" s="15">
        <f>IF(L763&gt;Benchmark!$B$2,1,IF(L763&lt;-Benchmark!$B$2,5,3))</f>
        <v>5</v>
      </c>
      <c r="N763" s="3" t="s">
        <v>31</v>
      </c>
    </row>
    <row r="764" spans="1:14" x14ac:dyDescent="0.35">
      <c r="A764" s="11" t="s">
        <v>7</v>
      </c>
      <c r="B764" s="11" t="s">
        <v>1055</v>
      </c>
      <c r="C764" s="11">
        <v>9</v>
      </c>
      <c r="D764" s="11">
        <v>2</v>
      </c>
      <c r="E764" s="11" t="s">
        <v>34</v>
      </c>
      <c r="F764" s="11" t="s">
        <v>169</v>
      </c>
      <c r="G764" s="12">
        <v>7.82</v>
      </c>
      <c r="H764" s="13">
        <v>125.64578005115089</v>
      </c>
      <c r="I764" s="11" t="s">
        <v>988</v>
      </c>
      <c r="J764" s="11" t="s">
        <v>37</v>
      </c>
      <c r="K764" s="7">
        <f>INDEX(Benchmark!$H$5:$H$807,MATCH(I764,Benchmark!$A$5:$A$807,0))</f>
        <v>149.89052085816101</v>
      </c>
      <c r="L764" s="14">
        <f t="shared" si="11"/>
        <v>-0.16174966013996661</v>
      </c>
      <c r="M764" s="15">
        <f>IF(L764&gt;Benchmark!$B$2,1,IF(L764&lt;-Benchmark!$B$2,5,3))</f>
        <v>5</v>
      </c>
      <c r="N764" s="3" t="s">
        <v>31</v>
      </c>
    </row>
    <row r="765" spans="1:14" x14ac:dyDescent="0.35">
      <c r="A765" s="11" t="s">
        <v>7</v>
      </c>
      <c r="B765" s="11" t="s">
        <v>1056</v>
      </c>
      <c r="C765" s="11">
        <v>9</v>
      </c>
      <c r="D765" s="11">
        <v>2</v>
      </c>
      <c r="E765" s="11" t="s">
        <v>104</v>
      </c>
      <c r="F765" s="11" t="s">
        <v>169</v>
      </c>
      <c r="G765" s="12">
        <v>3.81</v>
      </c>
      <c r="H765" s="13">
        <v>121.97900262467191</v>
      </c>
      <c r="I765" s="11" t="s">
        <v>1057</v>
      </c>
      <c r="J765" s="11" t="s">
        <v>30</v>
      </c>
      <c r="K765" s="7">
        <f>INDEX(Benchmark!$H$5:$H$807,MATCH(I765,Benchmark!$A$5:$A$807,0))</f>
        <v>106.03816793893129</v>
      </c>
      <c r="L765" s="14">
        <f t="shared" si="11"/>
        <v>0.15033110242833625</v>
      </c>
      <c r="M765" s="16">
        <f>IF(L765&gt;Benchmark!$B$2,1,IF(L765&lt;-Benchmark!$B$2,5,3))</f>
        <v>1</v>
      </c>
      <c r="N765" s="3" t="s">
        <v>31</v>
      </c>
    </row>
    <row r="766" spans="1:14" x14ac:dyDescent="0.35">
      <c r="A766" s="11" t="s">
        <v>7</v>
      </c>
      <c r="B766" s="11" t="s">
        <v>1058</v>
      </c>
      <c r="C766" s="11">
        <v>9</v>
      </c>
      <c r="D766" s="11">
        <v>2</v>
      </c>
      <c r="E766" s="11" t="s">
        <v>34</v>
      </c>
      <c r="F766" s="11" t="s">
        <v>35</v>
      </c>
      <c r="G766" s="12">
        <v>9.58</v>
      </c>
      <c r="H766" s="13">
        <v>136.40083507306889</v>
      </c>
      <c r="I766" s="11" t="s">
        <v>726</v>
      </c>
      <c r="J766" s="11" t="s">
        <v>30</v>
      </c>
      <c r="K766" s="7">
        <f>INDEX(Benchmark!$H$5:$H$807,MATCH(I766,Benchmark!$A$5:$A$807,0))</f>
        <v>152.2432150313152</v>
      </c>
      <c r="L766" s="14">
        <f t="shared" si="11"/>
        <v>-0.10405967816028883</v>
      </c>
      <c r="M766" s="15">
        <f>IF(L766&gt;Benchmark!$B$2,1,IF(L766&lt;-Benchmark!$B$2,5,3))</f>
        <v>5</v>
      </c>
      <c r="N766" s="3" t="s">
        <v>31</v>
      </c>
    </row>
    <row r="767" spans="1:14" x14ac:dyDescent="0.35">
      <c r="A767" s="11" t="s">
        <v>7</v>
      </c>
      <c r="B767" s="11" t="s">
        <v>1059</v>
      </c>
      <c r="C767" s="11">
        <v>10</v>
      </c>
      <c r="D767" s="11">
        <v>5</v>
      </c>
      <c r="E767" s="11" t="s">
        <v>198</v>
      </c>
      <c r="F767" s="11" t="s">
        <v>169</v>
      </c>
      <c r="G767" s="12">
        <v>3.77</v>
      </c>
      <c r="H767" s="13">
        <v>90</v>
      </c>
      <c r="I767" s="11" t="s">
        <v>680</v>
      </c>
      <c r="J767" s="11" t="s">
        <v>30</v>
      </c>
      <c r="K767" s="7">
        <f>INDEX(Benchmark!$H$5:$H$807,MATCH(I767,Benchmark!$A$5:$A$807,0))</f>
        <v>116.7568295114656</v>
      </c>
      <c r="L767" s="14">
        <f t="shared" si="11"/>
        <v>-0.2291671469962111</v>
      </c>
      <c r="M767" s="15">
        <f>IF(L767&gt;Benchmark!$B$2,1,IF(L767&lt;-Benchmark!$B$2,5,3))</f>
        <v>5</v>
      </c>
      <c r="N767" s="3" t="s">
        <v>586</v>
      </c>
    </row>
    <row r="768" spans="1:14" x14ac:dyDescent="0.35">
      <c r="A768" s="11" t="s">
        <v>7</v>
      </c>
      <c r="B768" s="11" t="s">
        <v>1060</v>
      </c>
      <c r="C768" s="11">
        <v>10</v>
      </c>
      <c r="D768" s="11">
        <v>12</v>
      </c>
      <c r="E768" s="11" t="s">
        <v>198</v>
      </c>
      <c r="F768" s="11" t="s">
        <v>641</v>
      </c>
      <c r="G768" s="12">
        <v>5.26</v>
      </c>
      <c r="H768" s="13">
        <v>130.66</v>
      </c>
      <c r="I768" s="11" t="s">
        <v>841</v>
      </c>
      <c r="J768" s="11" t="s">
        <v>30</v>
      </c>
      <c r="K768" s="7">
        <f>INDEX(Benchmark!$H$5:$H$807,MATCH(I768,Benchmark!$A$5:$A$807,0))</f>
        <v>125.8558441558442</v>
      </c>
      <c r="L768" s="14">
        <f t="shared" si="11"/>
        <v>3.8171893219411723E-2</v>
      </c>
      <c r="M768" s="17">
        <f>IF(L768&gt;Benchmark!$B$2,1,IF(L768&lt;-Benchmark!$B$2,5,3))</f>
        <v>3</v>
      </c>
      <c r="N768" s="3" t="s">
        <v>586</v>
      </c>
    </row>
    <row r="769" spans="1:14" x14ac:dyDescent="0.35">
      <c r="A769" s="11" t="s">
        <v>7</v>
      </c>
      <c r="B769" s="11" t="s">
        <v>1061</v>
      </c>
      <c r="C769" s="11">
        <v>10</v>
      </c>
      <c r="D769" s="11">
        <v>4</v>
      </c>
      <c r="E769" s="11" t="s">
        <v>27</v>
      </c>
      <c r="F769" s="11" t="s">
        <v>39</v>
      </c>
      <c r="G769" s="12">
        <v>14.45</v>
      </c>
      <c r="H769" s="13">
        <v>108.16</v>
      </c>
      <c r="I769" s="11" t="s">
        <v>879</v>
      </c>
      <c r="J769" s="11" t="s">
        <v>30</v>
      </c>
      <c r="K769" s="7">
        <f>INDEX(Benchmark!$H$5:$H$807,MATCH(I769,Benchmark!$A$5:$A$807,0))</f>
        <v>131.3117261471231</v>
      </c>
      <c r="L769" s="14">
        <f t="shared" si="11"/>
        <v>-0.17631118580517058</v>
      </c>
      <c r="M769" s="15">
        <f>IF(L769&gt;Benchmark!$B$2,1,IF(L769&lt;-Benchmark!$B$2,5,3))</f>
        <v>5</v>
      </c>
      <c r="N769" s="3" t="s">
        <v>586</v>
      </c>
    </row>
    <row r="770" spans="1:14" x14ac:dyDescent="0.35">
      <c r="A770" s="11" t="s">
        <v>7</v>
      </c>
      <c r="B770" s="11" t="s">
        <v>1062</v>
      </c>
      <c r="C770" s="11">
        <v>10</v>
      </c>
      <c r="D770" s="11">
        <v>2</v>
      </c>
      <c r="E770" s="11" t="s">
        <v>27</v>
      </c>
      <c r="F770" s="11" t="s">
        <v>169</v>
      </c>
      <c r="G770" s="12">
        <v>13.37</v>
      </c>
      <c r="H770" s="13">
        <v>128.02000000000001</v>
      </c>
      <c r="I770" s="11" t="s">
        <v>837</v>
      </c>
      <c r="J770" s="11" t="s">
        <v>30</v>
      </c>
      <c r="K770" s="7">
        <f>INDEX(Benchmark!$H$5:$H$807,MATCH(I770,Benchmark!$A$5:$A$807,0))</f>
        <v>126.6153283767038</v>
      </c>
      <c r="L770" s="14">
        <f t="shared" si="11"/>
        <v>1.1094009242838654E-2</v>
      </c>
      <c r="M770" s="17">
        <f>IF(L770&gt;Benchmark!$B$2,1,IF(L770&lt;-Benchmark!$B$2,5,3))</f>
        <v>3</v>
      </c>
      <c r="N770" s="3" t="s">
        <v>586</v>
      </c>
    </row>
    <row r="771" spans="1:14" x14ac:dyDescent="0.35">
      <c r="A771" s="11" t="s">
        <v>7</v>
      </c>
      <c r="B771" s="11" t="s">
        <v>1063</v>
      </c>
      <c r="C771" s="11">
        <v>10</v>
      </c>
      <c r="D771" s="11">
        <v>7</v>
      </c>
      <c r="E771" s="11" t="s">
        <v>88</v>
      </c>
      <c r="F771" s="11" t="s">
        <v>35</v>
      </c>
      <c r="G771" s="12">
        <v>17.670000000000002</v>
      </c>
      <c r="H771" s="13">
        <v>92.53</v>
      </c>
      <c r="I771" s="11" t="s">
        <v>646</v>
      </c>
      <c r="J771" s="11" t="s">
        <v>30</v>
      </c>
      <c r="K771" s="7">
        <f>INDEX(Benchmark!$H$5:$H$807,MATCH(I771,Benchmark!$A$5:$A$807,0))</f>
        <v>133.1830855018587</v>
      </c>
      <c r="L771" s="14">
        <f t="shared" si="11"/>
        <v>-0.30524210599769697</v>
      </c>
      <c r="M771" s="15">
        <f>IF(L771&gt;Benchmark!$B$2,1,IF(L771&lt;-Benchmark!$B$2,5,3))</f>
        <v>5</v>
      </c>
      <c r="N771" s="3" t="s">
        <v>586</v>
      </c>
    </row>
    <row r="772" spans="1:14" x14ac:dyDescent="0.35">
      <c r="A772" s="11" t="s">
        <v>7</v>
      </c>
      <c r="B772" s="11" t="s">
        <v>1064</v>
      </c>
      <c r="C772" s="11">
        <v>10</v>
      </c>
      <c r="D772" s="11">
        <v>8</v>
      </c>
      <c r="E772" s="11" t="s">
        <v>198</v>
      </c>
      <c r="F772" s="11" t="s">
        <v>35</v>
      </c>
      <c r="G772" s="12">
        <v>17.11</v>
      </c>
      <c r="H772" s="13">
        <v>59.74</v>
      </c>
      <c r="I772" s="11" t="s">
        <v>922</v>
      </c>
      <c r="J772" s="11" t="s">
        <v>30</v>
      </c>
      <c r="K772" s="7">
        <f>INDEX(Benchmark!$H$5:$H$807,MATCH(I772,Benchmark!$A$5:$A$807,0))</f>
        <v>134.71142066534611</v>
      </c>
      <c r="L772" s="14">
        <f t="shared" si="11"/>
        <v>-0.55653351657237893</v>
      </c>
      <c r="M772" s="15">
        <f>IF(L772&gt;Benchmark!$B$2,1,IF(L772&lt;-Benchmark!$B$2,5,3))</f>
        <v>5</v>
      </c>
      <c r="N772" s="3" t="s">
        <v>586</v>
      </c>
    </row>
    <row r="773" spans="1:14" x14ac:dyDescent="0.35">
      <c r="A773" s="11" t="s">
        <v>7</v>
      </c>
      <c r="B773" s="11" t="s">
        <v>1065</v>
      </c>
      <c r="C773" s="11">
        <v>10</v>
      </c>
      <c r="D773" s="11">
        <v>14</v>
      </c>
      <c r="E773" s="11" t="s">
        <v>1005</v>
      </c>
      <c r="F773" s="11" t="s">
        <v>35</v>
      </c>
      <c r="G773" s="12">
        <v>17.14</v>
      </c>
      <c r="H773" s="13">
        <v>108.18</v>
      </c>
      <c r="I773" s="11" t="s">
        <v>1066</v>
      </c>
      <c r="J773" s="11" t="s">
        <v>30</v>
      </c>
      <c r="K773" s="7">
        <f>INDEX(Benchmark!$H$5:$H$807,MATCH(I773,Benchmark!$A$5:$A$807,0))</f>
        <v>123.4504776588506</v>
      </c>
      <c r="L773" s="14">
        <f t="shared" ref="L773:L836" si="12">H773/K773-1</f>
        <v>-0.12369719379336719</v>
      </c>
      <c r="M773" s="15">
        <f>IF(L773&gt;Benchmark!$B$2,1,IF(L773&lt;-Benchmark!$B$2,5,3))</f>
        <v>5</v>
      </c>
      <c r="N773" s="3" t="s">
        <v>586</v>
      </c>
    </row>
    <row r="774" spans="1:14" x14ac:dyDescent="0.35">
      <c r="A774" s="11" t="s">
        <v>7</v>
      </c>
      <c r="B774" s="11" t="s">
        <v>1067</v>
      </c>
      <c r="C774" s="11">
        <v>10</v>
      </c>
      <c r="D774" s="11">
        <v>7</v>
      </c>
      <c r="E774" s="11" t="s">
        <v>27</v>
      </c>
      <c r="F774" s="11" t="s">
        <v>35</v>
      </c>
      <c r="G774" s="12">
        <v>5.23</v>
      </c>
      <c r="H774" s="13">
        <v>89.46</v>
      </c>
      <c r="I774" s="11" t="s">
        <v>682</v>
      </c>
      <c r="J774" s="11" t="s">
        <v>30</v>
      </c>
      <c r="K774" s="7">
        <f>INDEX(Benchmark!$H$5:$H$807,MATCH(I774,Benchmark!$A$5:$A$807,0))</f>
        <v>145.44695259593681</v>
      </c>
      <c r="L774" s="14">
        <f t="shared" si="12"/>
        <v>-0.38493039281113728</v>
      </c>
      <c r="M774" s="15">
        <f>IF(L774&gt;Benchmark!$B$2,1,IF(L774&lt;-Benchmark!$B$2,5,3))</f>
        <v>5</v>
      </c>
      <c r="N774" s="3" t="s">
        <v>586</v>
      </c>
    </row>
    <row r="775" spans="1:14" x14ac:dyDescent="0.35">
      <c r="A775" s="11" t="s">
        <v>7</v>
      </c>
      <c r="B775" s="11" t="s">
        <v>1068</v>
      </c>
      <c r="C775" s="11">
        <v>10</v>
      </c>
      <c r="D775" s="11">
        <v>11</v>
      </c>
      <c r="E775" s="11" t="s">
        <v>1005</v>
      </c>
      <c r="F775" s="11" t="s">
        <v>730</v>
      </c>
      <c r="G775" s="12">
        <v>8.7799999999999994</v>
      </c>
      <c r="H775" s="13">
        <v>93.08</v>
      </c>
      <c r="I775" s="11" t="s">
        <v>1069</v>
      </c>
      <c r="J775" s="11" t="s">
        <v>30</v>
      </c>
      <c r="K775" s="7">
        <f>INDEX(Benchmark!$H$5:$H$807,MATCH(I775,Benchmark!$A$5:$A$807,0))</f>
        <v>129.38610478359911</v>
      </c>
      <c r="L775" s="14">
        <f t="shared" si="12"/>
        <v>-0.28060281159496847</v>
      </c>
      <c r="M775" s="15">
        <f>IF(L775&gt;Benchmark!$B$2,1,IF(L775&lt;-Benchmark!$B$2,5,3))</f>
        <v>5</v>
      </c>
      <c r="N775" s="3" t="s">
        <v>586</v>
      </c>
    </row>
    <row r="776" spans="1:14" x14ac:dyDescent="0.35">
      <c r="A776" s="11" t="s">
        <v>7</v>
      </c>
      <c r="B776" s="11" t="s">
        <v>1070</v>
      </c>
      <c r="C776" s="11">
        <v>10</v>
      </c>
      <c r="D776" s="11">
        <v>5</v>
      </c>
      <c r="E776" s="11" t="s">
        <v>198</v>
      </c>
      <c r="F776" s="11" t="s">
        <v>641</v>
      </c>
      <c r="G776" s="12">
        <v>8.82</v>
      </c>
      <c r="H776" s="13">
        <v>98.37</v>
      </c>
      <c r="I776" s="11" t="s">
        <v>841</v>
      </c>
      <c r="J776" s="11" t="s">
        <v>30</v>
      </c>
      <c r="K776" s="7">
        <f>INDEX(Benchmark!$H$5:$H$807,MATCH(I776,Benchmark!$A$5:$A$807,0))</f>
        <v>125.8558441558442</v>
      </c>
      <c r="L776" s="14">
        <f t="shared" si="12"/>
        <v>-0.21839148066743053</v>
      </c>
      <c r="M776" s="15">
        <f>IF(L776&gt;Benchmark!$B$2,1,IF(L776&lt;-Benchmark!$B$2,5,3))</f>
        <v>5</v>
      </c>
      <c r="N776" s="3" t="s">
        <v>586</v>
      </c>
    </row>
    <row r="777" spans="1:14" x14ac:dyDescent="0.35">
      <c r="A777" s="11" t="s">
        <v>7</v>
      </c>
      <c r="B777" s="11" t="s">
        <v>1071</v>
      </c>
      <c r="C777" s="11">
        <v>10</v>
      </c>
      <c r="D777" s="11">
        <v>17</v>
      </c>
      <c r="E777" s="11" t="s">
        <v>1002</v>
      </c>
      <c r="F777" s="11" t="s">
        <v>35</v>
      </c>
      <c r="G777" s="12">
        <v>3.3</v>
      </c>
      <c r="H777" s="13">
        <v>92.9</v>
      </c>
      <c r="I777" s="11" t="s">
        <v>1003</v>
      </c>
      <c r="J777" s="11" t="s">
        <v>30</v>
      </c>
      <c r="K777" s="7">
        <f>INDEX(Benchmark!$H$5:$H$807,MATCH(I777,Benchmark!$A$5:$A$807,0))</f>
        <v>124.2224256136021</v>
      </c>
      <c r="L777" s="14">
        <f t="shared" si="12"/>
        <v>-0.25214791499106226</v>
      </c>
      <c r="M777" s="15">
        <f>IF(L777&gt;Benchmark!$B$2,1,IF(L777&lt;-Benchmark!$B$2,5,3))</f>
        <v>5</v>
      </c>
      <c r="N777" s="3" t="s">
        <v>586</v>
      </c>
    </row>
    <row r="778" spans="1:14" x14ac:dyDescent="0.35">
      <c r="A778" s="11" t="s">
        <v>7</v>
      </c>
      <c r="B778" s="11" t="s">
        <v>1072</v>
      </c>
      <c r="C778" s="11">
        <v>10</v>
      </c>
      <c r="D778" s="11">
        <v>3</v>
      </c>
      <c r="E778" s="11" t="s">
        <v>27</v>
      </c>
      <c r="F778" s="11" t="s">
        <v>122</v>
      </c>
      <c r="G778" s="12">
        <v>9.68</v>
      </c>
      <c r="H778" s="13">
        <v>99.87</v>
      </c>
      <c r="I778" s="11" t="s">
        <v>764</v>
      </c>
      <c r="J778" s="11" t="s">
        <v>30</v>
      </c>
      <c r="K778" s="7">
        <f>INDEX(Benchmark!$H$5:$H$807,MATCH(I778,Benchmark!$A$5:$A$807,0))</f>
        <v>131.7632703360724</v>
      </c>
      <c r="L778" s="14">
        <f t="shared" si="12"/>
        <v>-0.24204977802027938</v>
      </c>
      <c r="M778" s="15">
        <f>IF(L778&gt;Benchmark!$B$2,1,IF(L778&lt;-Benchmark!$B$2,5,3))</f>
        <v>5</v>
      </c>
      <c r="N778" s="3" t="s">
        <v>586</v>
      </c>
    </row>
    <row r="779" spans="1:14" x14ac:dyDescent="0.35">
      <c r="A779" s="11" t="s">
        <v>7</v>
      </c>
      <c r="B779" s="11" t="s">
        <v>1073</v>
      </c>
      <c r="C779" s="11">
        <v>10</v>
      </c>
      <c r="D779" s="11">
        <v>14</v>
      </c>
      <c r="E779" s="11" t="s">
        <v>198</v>
      </c>
      <c r="F779" s="11" t="s">
        <v>633</v>
      </c>
      <c r="G779" s="12">
        <v>11.71</v>
      </c>
      <c r="H779" s="13">
        <v>122.08</v>
      </c>
      <c r="I779" s="11" t="s">
        <v>634</v>
      </c>
      <c r="J779" s="11" t="s">
        <v>30</v>
      </c>
      <c r="K779" s="7">
        <f>INDEX(Benchmark!$H$5:$H$807,MATCH(I779,Benchmark!$A$5:$A$807,0))</f>
        <v>122.7119856887299</v>
      </c>
      <c r="L779" s="14">
        <f t="shared" si="12"/>
        <v>-5.1501545279609706E-3</v>
      </c>
      <c r="M779" s="17">
        <f>IF(L779&gt;Benchmark!$B$2,1,IF(L779&lt;-Benchmark!$B$2,5,3))</f>
        <v>3</v>
      </c>
      <c r="N779" s="3" t="s">
        <v>586</v>
      </c>
    </row>
    <row r="780" spans="1:14" x14ac:dyDescent="0.35">
      <c r="A780" s="11" t="s">
        <v>7</v>
      </c>
      <c r="B780" s="11" t="s">
        <v>1074</v>
      </c>
      <c r="C780" s="11">
        <v>10</v>
      </c>
      <c r="D780" s="11">
        <v>6</v>
      </c>
      <c r="E780" s="11" t="s">
        <v>104</v>
      </c>
      <c r="F780" s="11" t="s">
        <v>364</v>
      </c>
      <c r="G780" s="12">
        <v>10.210000000000001</v>
      </c>
      <c r="H780" s="13">
        <v>90.26</v>
      </c>
      <c r="I780" s="11" t="s">
        <v>637</v>
      </c>
      <c r="J780" s="11" t="s">
        <v>30</v>
      </c>
      <c r="K780" s="7">
        <f>INDEX(Benchmark!$H$5:$H$807,MATCH(I780,Benchmark!$A$5:$A$807,0))</f>
        <v>114.22005012531331</v>
      </c>
      <c r="L780" s="14">
        <f t="shared" si="12"/>
        <v>-0.20977096489649771</v>
      </c>
      <c r="M780" s="15">
        <f>IF(L780&gt;Benchmark!$B$2,1,IF(L780&lt;-Benchmark!$B$2,5,3))</f>
        <v>5</v>
      </c>
      <c r="N780" s="3" t="s">
        <v>586</v>
      </c>
    </row>
    <row r="781" spans="1:14" x14ac:dyDescent="0.35">
      <c r="A781" s="11" t="s">
        <v>7</v>
      </c>
      <c r="B781" s="11" t="s">
        <v>1075</v>
      </c>
      <c r="C781" s="11">
        <v>10</v>
      </c>
      <c r="D781" s="11">
        <v>2</v>
      </c>
      <c r="E781" s="11" t="s">
        <v>27</v>
      </c>
      <c r="F781" s="11" t="s">
        <v>633</v>
      </c>
      <c r="G781" s="12">
        <v>3.56</v>
      </c>
      <c r="H781" s="13">
        <v>123.42</v>
      </c>
      <c r="I781" s="11" t="s">
        <v>658</v>
      </c>
      <c r="J781" s="11" t="s">
        <v>30</v>
      </c>
      <c r="K781" s="7">
        <f>INDEX(Benchmark!$H$5:$H$807,MATCH(I781,Benchmark!$A$5:$A$807,0))</f>
        <v>128.387190909645</v>
      </c>
      <c r="L781" s="14">
        <f t="shared" si="12"/>
        <v>-3.8689147059388196E-2</v>
      </c>
      <c r="M781" s="17">
        <f>IF(L781&gt;Benchmark!$B$2,1,IF(L781&lt;-Benchmark!$B$2,5,3))</f>
        <v>3</v>
      </c>
      <c r="N781" s="3" t="s">
        <v>586</v>
      </c>
    </row>
    <row r="782" spans="1:14" x14ac:dyDescent="0.35">
      <c r="A782" s="11" t="s">
        <v>7</v>
      </c>
      <c r="B782" s="11" t="s">
        <v>1076</v>
      </c>
      <c r="C782" s="11">
        <v>10</v>
      </c>
      <c r="D782" s="11">
        <v>3</v>
      </c>
      <c r="E782" s="11" t="s">
        <v>27</v>
      </c>
      <c r="F782" s="11" t="s">
        <v>633</v>
      </c>
      <c r="G782" s="12">
        <v>9.26</v>
      </c>
      <c r="H782" s="13">
        <v>158.96</v>
      </c>
      <c r="I782" s="11" t="s">
        <v>658</v>
      </c>
      <c r="J782" s="11" t="s">
        <v>30</v>
      </c>
      <c r="K782" s="7">
        <f>INDEX(Benchmark!$H$5:$H$807,MATCH(I782,Benchmark!$A$5:$A$807,0))</f>
        <v>128.387190909645</v>
      </c>
      <c r="L782" s="14">
        <f t="shared" si="12"/>
        <v>0.23812974545000531</v>
      </c>
      <c r="M782" s="16">
        <f>IF(L782&gt;Benchmark!$B$2,1,IF(L782&lt;-Benchmark!$B$2,5,3))</f>
        <v>1</v>
      </c>
      <c r="N782" s="3" t="s">
        <v>586</v>
      </c>
    </row>
    <row r="783" spans="1:14" x14ac:dyDescent="0.35">
      <c r="A783" s="11" t="s">
        <v>7</v>
      </c>
      <c r="B783" s="11" t="s">
        <v>1077</v>
      </c>
      <c r="C783" s="11">
        <v>10</v>
      </c>
      <c r="D783" s="11">
        <v>1</v>
      </c>
      <c r="E783" s="11" t="s">
        <v>1078</v>
      </c>
      <c r="F783" s="11" t="s">
        <v>364</v>
      </c>
      <c r="G783" s="12">
        <v>10.220000000000001</v>
      </c>
      <c r="H783" s="13">
        <v>123.96</v>
      </c>
      <c r="I783" s="11" t="s">
        <v>714</v>
      </c>
      <c r="J783" s="11" t="s">
        <v>614</v>
      </c>
      <c r="K783" s="7">
        <f>INDEX(Benchmark!$H$5:$H$807,MATCH(I783,Benchmark!$A$5:$A$807,0))</f>
        <v>123.3843295638126</v>
      </c>
      <c r="L783" s="14">
        <f t="shared" si="12"/>
        <v>4.6656689566859644E-3</v>
      </c>
      <c r="M783" s="17">
        <f>IF(L783&gt;Benchmark!$B$2,1,IF(L783&lt;-Benchmark!$B$2,5,3))</f>
        <v>3</v>
      </c>
      <c r="N783" s="3" t="s">
        <v>586</v>
      </c>
    </row>
    <row r="784" spans="1:14" x14ac:dyDescent="0.35">
      <c r="A784" s="11" t="s">
        <v>7</v>
      </c>
      <c r="B784" s="11" t="s">
        <v>1079</v>
      </c>
      <c r="C784" s="11">
        <v>10</v>
      </c>
      <c r="D784" s="11">
        <v>6</v>
      </c>
      <c r="E784" s="11" t="s">
        <v>88</v>
      </c>
      <c r="F784" s="11" t="s">
        <v>502</v>
      </c>
      <c r="G784" s="12">
        <v>3.09</v>
      </c>
      <c r="H784" s="13">
        <v>112.03</v>
      </c>
      <c r="I784" s="11" t="s">
        <v>804</v>
      </c>
      <c r="J784" s="11" t="s">
        <v>30</v>
      </c>
      <c r="K784" s="7">
        <f>INDEX(Benchmark!$H$5:$H$807,MATCH(I784,Benchmark!$A$5:$A$807,0))</f>
        <v>134.46728971962619</v>
      </c>
      <c r="L784" s="14">
        <f t="shared" si="12"/>
        <v>-0.16686057825966094</v>
      </c>
      <c r="M784" s="15">
        <f>IF(L784&gt;Benchmark!$B$2,1,IF(L784&lt;-Benchmark!$B$2,5,3))</f>
        <v>5</v>
      </c>
      <c r="N784" s="3" t="s">
        <v>586</v>
      </c>
    </row>
    <row r="785" spans="1:14" x14ac:dyDescent="0.35">
      <c r="A785" s="11" t="s">
        <v>7</v>
      </c>
      <c r="B785" s="11" t="s">
        <v>1080</v>
      </c>
      <c r="C785" s="11">
        <v>10</v>
      </c>
      <c r="D785" s="11">
        <v>10</v>
      </c>
      <c r="E785" s="11" t="s">
        <v>198</v>
      </c>
      <c r="F785" s="11" t="s">
        <v>502</v>
      </c>
      <c r="G785" s="12">
        <v>3.93</v>
      </c>
      <c r="H785" s="13">
        <v>103.39</v>
      </c>
      <c r="I785" s="11" t="s">
        <v>968</v>
      </c>
      <c r="J785" s="11" t="s">
        <v>30</v>
      </c>
      <c r="K785" s="7">
        <f>INDEX(Benchmark!$H$5:$H$807,MATCH(I785,Benchmark!$A$5:$A$807,0))</f>
        <v>128.99451869176229</v>
      </c>
      <c r="L785" s="14">
        <f t="shared" si="12"/>
        <v>-0.19849307514333492</v>
      </c>
      <c r="M785" s="15">
        <f>IF(L785&gt;Benchmark!$B$2,1,IF(L785&lt;-Benchmark!$B$2,5,3))</f>
        <v>5</v>
      </c>
      <c r="N785" s="3" t="s">
        <v>586</v>
      </c>
    </row>
    <row r="786" spans="1:14" x14ac:dyDescent="0.35">
      <c r="A786" s="11" t="s">
        <v>7</v>
      </c>
      <c r="B786" s="11" t="s">
        <v>1081</v>
      </c>
      <c r="C786" s="11">
        <v>10</v>
      </c>
      <c r="D786" s="11">
        <v>6</v>
      </c>
      <c r="E786" s="11" t="s">
        <v>27</v>
      </c>
      <c r="F786" s="11" t="s">
        <v>502</v>
      </c>
      <c r="G786" s="12">
        <v>2.35</v>
      </c>
      <c r="H786" s="13">
        <v>134.43</v>
      </c>
      <c r="I786" s="11" t="s">
        <v>775</v>
      </c>
      <c r="J786" s="11" t="s">
        <v>30</v>
      </c>
      <c r="K786" s="7">
        <f>INDEX(Benchmark!$H$5:$H$807,MATCH(I786,Benchmark!$A$5:$A$807,0))</f>
        <v>141.3474440894569</v>
      </c>
      <c r="L786" s="14">
        <f t="shared" si="12"/>
        <v>-4.8939293766634639E-2</v>
      </c>
      <c r="M786" s="17">
        <f>IF(L786&gt;Benchmark!$B$2,1,IF(L786&lt;-Benchmark!$B$2,5,3))</f>
        <v>3</v>
      </c>
      <c r="N786" s="3" t="s">
        <v>586</v>
      </c>
    </row>
    <row r="787" spans="1:14" x14ac:dyDescent="0.35">
      <c r="A787" s="11" t="s">
        <v>7</v>
      </c>
      <c r="B787" s="11" t="s">
        <v>1082</v>
      </c>
      <c r="C787" s="11">
        <v>10</v>
      </c>
      <c r="D787" s="11">
        <v>2</v>
      </c>
      <c r="E787" s="11" t="s">
        <v>1078</v>
      </c>
      <c r="F787" s="11" t="s">
        <v>502</v>
      </c>
      <c r="G787" s="12">
        <v>3.35</v>
      </c>
      <c r="H787" s="13">
        <v>135.31</v>
      </c>
      <c r="I787" s="11" t="s">
        <v>728</v>
      </c>
      <c r="J787" s="11" t="s">
        <v>614</v>
      </c>
      <c r="K787" s="7">
        <f>INDEX(Benchmark!$H$5:$H$807,MATCH(I787,Benchmark!$A$5:$A$807,0))</f>
        <v>128.85112302775141</v>
      </c>
      <c r="L787" s="14">
        <f t="shared" si="12"/>
        <v>5.0126664172399193E-2</v>
      </c>
      <c r="M787" s="16">
        <f>IF(L787&gt;Benchmark!$B$2,1,IF(L787&lt;-Benchmark!$B$2,5,3))</f>
        <v>1</v>
      </c>
      <c r="N787" s="3" t="s">
        <v>586</v>
      </c>
    </row>
    <row r="788" spans="1:14" x14ac:dyDescent="0.35">
      <c r="A788" s="11" t="s">
        <v>7</v>
      </c>
      <c r="B788" s="11" t="s">
        <v>1083</v>
      </c>
      <c r="C788" s="11">
        <v>10</v>
      </c>
      <c r="D788" s="11">
        <v>1</v>
      </c>
      <c r="E788" s="11" t="s">
        <v>1078</v>
      </c>
      <c r="F788" s="11" t="s">
        <v>633</v>
      </c>
      <c r="G788" s="12">
        <v>14.47</v>
      </c>
      <c r="H788" s="13">
        <v>128.12</v>
      </c>
      <c r="I788" s="11" t="s">
        <v>702</v>
      </c>
      <c r="J788" s="11" t="s">
        <v>614</v>
      </c>
      <c r="K788" s="7">
        <f>INDEX(Benchmark!$H$5:$H$807,MATCH(I788,Benchmark!$A$5:$A$807,0))</f>
        <v>120.3572922555116</v>
      </c>
      <c r="L788" s="14">
        <f t="shared" si="12"/>
        <v>6.4497194968532678E-2</v>
      </c>
      <c r="M788" s="16">
        <f>IF(L788&gt;Benchmark!$B$2,1,IF(L788&lt;-Benchmark!$B$2,5,3))</f>
        <v>1</v>
      </c>
      <c r="N788" s="3" t="s">
        <v>586</v>
      </c>
    </row>
    <row r="789" spans="1:14" x14ac:dyDescent="0.35">
      <c r="A789" s="11" t="s">
        <v>7</v>
      </c>
      <c r="B789" s="11" t="s">
        <v>1084</v>
      </c>
      <c r="C789" s="11">
        <v>10</v>
      </c>
      <c r="D789" s="11">
        <v>2</v>
      </c>
      <c r="E789" s="11" t="s">
        <v>806</v>
      </c>
      <c r="F789" s="11" t="s">
        <v>39</v>
      </c>
      <c r="G789" s="12">
        <v>18.489999999999998</v>
      </c>
      <c r="H789" s="13">
        <v>121.13</v>
      </c>
      <c r="I789" s="11" t="s">
        <v>1085</v>
      </c>
      <c r="J789" s="11" t="s">
        <v>37</v>
      </c>
      <c r="K789" s="7">
        <f>INDEX(Benchmark!$H$5:$H$807,MATCH(I789,Benchmark!$A$5:$A$807,0))</f>
        <v>125.90220820189271</v>
      </c>
      <c r="L789" s="14">
        <f t="shared" si="12"/>
        <v>-3.7904086592668418E-2</v>
      </c>
      <c r="M789" s="17">
        <f>IF(L789&gt;Benchmark!$B$2,1,IF(L789&lt;-Benchmark!$B$2,5,3))</f>
        <v>3</v>
      </c>
      <c r="N789" s="3" t="s">
        <v>586</v>
      </c>
    </row>
    <row r="790" spans="1:14" x14ac:dyDescent="0.35">
      <c r="A790" s="11" t="s">
        <v>7</v>
      </c>
      <c r="B790" s="11" t="s">
        <v>1086</v>
      </c>
      <c r="C790" s="11">
        <v>10</v>
      </c>
      <c r="D790" s="11">
        <v>6</v>
      </c>
      <c r="E790" s="11" t="s">
        <v>88</v>
      </c>
      <c r="F790" s="11" t="s">
        <v>633</v>
      </c>
      <c r="G790" s="12">
        <v>4</v>
      </c>
      <c r="H790" s="13">
        <v>128.35</v>
      </c>
      <c r="I790" s="11" t="s">
        <v>644</v>
      </c>
      <c r="J790" s="11" t="s">
        <v>30</v>
      </c>
      <c r="K790" s="7">
        <f>INDEX(Benchmark!$H$5:$H$807,MATCH(I790,Benchmark!$A$5:$A$807,0))</f>
        <v>108.726573100639</v>
      </c>
      <c r="L790" s="14">
        <f t="shared" si="12"/>
        <v>0.18048418468222338</v>
      </c>
      <c r="M790" s="16">
        <f>IF(L790&gt;Benchmark!$B$2,1,IF(L790&lt;-Benchmark!$B$2,5,3))</f>
        <v>1</v>
      </c>
      <c r="N790" s="3" t="s">
        <v>586</v>
      </c>
    </row>
    <row r="791" spans="1:14" x14ac:dyDescent="0.35">
      <c r="A791" s="11" t="s">
        <v>7</v>
      </c>
      <c r="B791" s="11" t="s">
        <v>1087</v>
      </c>
      <c r="C791" s="11">
        <v>10</v>
      </c>
      <c r="D791" s="11">
        <v>7</v>
      </c>
      <c r="E791" s="11" t="s">
        <v>88</v>
      </c>
      <c r="F791" s="11" t="s">
        <v>169</v>
      </c>
      <c r="G791" s="12">
        <v>1.8</v>
      </c>
      <c r="H791" s="13">
        <v>134.07</v>
      </c>
      <c r="I791" s="11" t="s">
        <v>678</v>
      </c>
      <c r="J791" s="11" t="s">
        <v>30</v>
      </c>
      <c r="K791" s="7">
        <f>INDEX(Benchmark!$H$5:$H$807,MATCH(I791,Benchmark!$A$5:$A$807,0))</f>
        <v>128.29704764400449</v>
      </c>
      <c r="L791" s="14">
        <f t="shared" si="12"/>
        <v>4.4996766971708846E-2</v>
      </c>
      <c r="M791" s="17">
        <f>IF(L791&gt;Benchmark!$B$2,1,IF(L791&lt;-Benchmark!$B$2,5,3))</f>
        <v>3</v>
      </c>
      <c r="N791" s="3" t="s">
        <v>586</v>
      </c>
    </row>
    <row r="792" spans="1:14" x14ac:dyDescent="0.35">
      <c r="A792" s="11" t="s">
        <v>7</v>
      </c>
      <c r="B792" s="11" t="s">
        <v>1088</v>
      </c>
      <c r="C792" s="11">
        <v>10</v>
      </c>
      <c r="D792" s="11">
        <v>3</v>
      </c>
      <c r="E792" s="11" t="s">
        <v>27</v>
      </c>
      <c r="F792" s="11" t="s">
        <v>35</v>
      </c>
      <c r="G792" s="12">
        <v>22.27</v>
      </c>
      <c r="H792" s="13">
        <v>173.78</v>
      </c>
      <c r="I792" s="11" t="s">
        <v>682</v>
      </c>
      <c r="J792" s="11" t="s">
        <v>30</v>
      </c>
      <c r="K792" s="7">
        <f>INDEX(Benchmark!$H$5:$H$807,MATCH(I792,Benchmark!$A$5:$A$807,0))</f>
        <v>145.44695259593681</v>
      </c>
      <c r="L792" s="14">
        <f t="shared" si="12"/>
        <v>0.19479986963202078</v>
      </c>
      <c r="M792" s="16">
        <f>IF(L792&gt;Benchmark!$B$2,1,IF(L792&lt;-Benchmark!$B$2,5,3))</f>
        <v>1</v>
      </c>
      <c r="N792" s="3" t="s">
        <v>586</v>
      </c>
    </row>
    <row r="793" spans="1:14" x14ac:dyDescent="0.35">
      <c r="A793" s="11" t="s">
        <v>7</v>
      </c>
      <c r="B793" s="11" t="s">
        <v>1089</v>
      </c>
      <c r="C793" s="11">
        <v>10</v>
      </c>
      <c r="D793" s="11">
        <v>3</v>
      </c>
      <c r="E793" s="11" t="s">
        <v>1090</v>
      </c>
      <c r="F793" s="11" t="s">
        <v>35</v>
      </c>
      <c r="G793" s="12">
        <v>12.1</v>
      </c>
      <c r="H793" s="13">
        <v>131.47999999999999</v>
      </c>
      <c r="I793" s="11" t="s">
        <v>1091</v>
      </c>
      <c r="J793" s="11" t="s">
        <v>37</v>
      </c>
      <c r="K793" s="7">
        <f>INDEX(Benchmark!$H$5:$H$807,MATCH(I793,Benchmark!$A$5:$A$807,0))</f>
        <v>138.91239417839671</v>
      </c>
      <c r="L793" s="14">
        <f t="shared" si="12"/>
        <v>-5.3504183138991523E-2</v>
      </c>
      <c r="M793" s="15">
        <f>IF(L793&gt;Benchmark!$B$2,1,IF(L793&lt;-Benchmark!$B$2,5,3))</f>
        <v>5</v>
      </c>
      <c r="N793" s="3" t="s">
        <v>586</v>
      </c>
    </row>
    <row r="794" spans="1:14" x14ac:dyDescent="0.35">
      <c r="A794" s="11" t="s">
        <v>7</v>
      </c>
      <c r="B794" s="11" t="s">
        <v>1092</v>
      </c>
      <c r="C794" s="11">
        <v>10</v>
      </c>
      <c r="D794" s="11">
        <v>1</v>
      </c>
      <c r="E794" s="11" t="s">
        <v>48</v>
      </c>
      <c r="F794" s="11" t="s">
        <v>633</v>
      </c>
      <c r="G794" s="12">
        <v>5.08</v>
      </c>
      <c r="H794" s="13">
        <v>137.94999999999999</v>
      </c>
      <c r="I794" s="11" t="s">
        <v>706</v>
      </c>
      <c r="J794" s="11" t="s">
        <v>30</v>
      </c>
      <c r="K794" s="7">
        <f>INDEX(Benchmark!$H$5:$H$807,MATCH(I794,Benchmark!$A$5:$A$807,0))</f>
        <v>146.84543051486679</v>
      </c>
      <c r="L794" s="14">
        <f t="shared" si="12"/>
        <v>-6.05768288715407E-2</v>
      </c>
      <c r="M794" s="15">
        <f>IF(L794&gt;Benchmark!$B$2,1,IF(L794&lt;-Benchmark!$B$2,5,3))</f>
        <v>5</v>
      </c>
      <c r="N794" s="3" t="s">
        <v>586</v>
      </c>
    </row>
    <row r="795" spans="1:14" x14ac:dyDescent="0.35">
      <c r="A795" s="11" t="s">
        <v>7</v>
      </c>
      <c r="B795" s="11" t="s">
        <v>1093</v>
      </c>
      <c r="C795" s="11">
        <v>10</v>
      </c>
      <c r="D795" s="11">
        <v>6</v>
      </c>
      <c r="E795" s="11" t="s">
        <v>104</v>
      </c>
      <c r="F795" s="11" t="s">
        <v>633</v>
      </c>
      <c r="G795" s="12">
        <v>16.07</v>
      </c>
      <c r="H795" s="13">
        <v>77.239999999999995</v>
      </c>
      <c r="I795" s="11" t="s">
        <v>700</v>
      </c>
      <c r="J795" s="11" t="s">
        <v>30</v>
      </c>
      <c r="K795" s="7">
        <f>INDEX(Benchmark!$H$5:$H$807,MATCH(I795,Benchmark!$A$5:$A$807,0))</f>
        <v>114.9706913557601</v>
      </c>
      <c r="L795" s="14">
        <f t="shared" si="12"/>
        <v>-0.32817660667106852</v>
      </c>
      <c r="M795" s="15">
        <f>IF(L795&gt;Benchmark!$B$2,1,IF(L795&lt;-Benchmark!$B$2,5,3))</f>
        <v>5</v>
      </c>
      <c r="N795" s="3" t="s">
        <v>586</v>
      </c>
    </row>
    <row r="796" spans="1:14" x14ac:dyDescent="0.35">
      <c r="A796" s="11" t="s">
        <v>7</v>
      </c>
      <c r="B796" s="11" t="s">
        <v>1094</v>
      </c>
      <c r="C796" s="11">
        <v>10</v>
      </c>
      <c r="D796" s="11">
        <v>6</v>
      </c>
      <c r="E796" s="11" t="s">
        <v>198</v>
      </c>
      <c r="F796" s="11" t="s">
        <v>169</v>
      </c>
      <c r="G796" s="12">
        <v>17.95</v>
      </c>
      <c r="H796" s="13">
        <v>96.81</v>
      </c>
      <c r="I796" s="11" t="s">
        <v>680</v>
      </c>
      <c r="J796" s="11" t="s">
        <v>30</v>
      </c>
      <c r="K796" s="7">
        <f>INDEX(Benchmark!$H$5:$H$807,MATCH(I796,Benchmark!$A$5:$A$807,0))</f>
        <v>116.7568295114656</v>
      </c>
      <c r="L796" s="14">
        <f t="shared" si="12"/>
        <v>-0.17084079445225775</v>
      </c>
      <c r="M796" s="15">
        <f>IF(L796&gt;Benchmark!$B$2,1,IF(L796&lt;-Benchmark!$B$2,5,3))</f>
        <v>5</v>
      </c>
      <c r="N796" s="3" t="s">
        <v>586</v>
      </c>
    </row>
    <row r="797" spans="1:14" x14ac:dyDescent="0.35">
      <c r="A797" s="11" t="s">
        <v>7</v>
      </c>
      <c r="B797" s="11" t="s">
        <v>1095</v>
      </c>
      <c r="C797" s="11">
        <v>10</v>
      </c>
      <c r="D797" s="11">
        <v>2</v>
      </c>
      <c r="E797" s="11" t="s">
        <v>27</v>
      </c>
      <c r="F797" s="11" t="s">
        <v>633</v>
      </c>
      <c r="G797" s="12">
        <v>7.49</v>
      </c>
      <c r="H797" s="13">
        <v>83.54</v>
      </c>
      <c r="I797" s="11" t="s">
        <v>658</v>
      </c>
      <c r="J797" s="11" t="s">
        <v>30</v>
      </c>
      <c r="K797" s="7">
        <f>INDEX(Benchmark!$H$5:$H$807,MATCH(I797,Benchmark!$A$5:$A$807,0))</f>
        <v>128.387190909645</v>
      </c>
      <c r="L797" s="14">
        <f t="shared" si="12"/>
        <v>-0.34931203488365969</v>
      </c>
      <c r="M797" s="15">
        <f>IF(L797&gt;Benchmark!$B$2,1,IF(L797&lt;-Benchmark!$B$2,5,3))</f>
        <v>5</v>
      </c>
      <c r="N797" s="3" t="s">
        <v>586</v>
      </c>
    </row>
    <row r="798" spans="1:14" x14ac:dyDescent="0.35">
      <c r="A798" s="11" t="s">
        <v>7</v>
      </c>
      <c r="B798" s="11" t="s">
        <v>1096</v>
      </c>
      <c r="C798" s="11">
        <v>10</v>
      </c>
      <c r="D798" s="11">
        <v>2</v>
      </c>
      <c r="E798" s="11" t="s">
        <v>27</v>
      </c>
      <c r="F798" s="11" t="s">
        <v>633</v>
      </c>
      <c r="G798" s="12">
        <v>9.36</v>
      </c>
      <c r="H798" s="13">
        <v>87.07</v>
      </c>
      <c r="I798" s="11" t="s">
        <v>658</v>
      </c>
      <c r="J798" s="11" t="s">
        <v>30</v>
      </c>
      <c r="K798" s="7">
        <f>INDEX(Benchmark!$H$5:$H$807,MATCH(I798,Benchmark!$A$5:$A$807,0))</f>
        <v>128.387190909645</v>
      </c>
      <c r="L798" s="14">
        <f t="shared" si="12"/>
        <v>-0.32181708016902399</v>
      </c>
      <c r="M798" s="15">
        <f>IF(L798&gt;Benchmark!$B$2,1,IF(L798&lt;-Benchmark!$B$2,5,3))</f>
        <v>5</v>
      </c>
      <c r="N798" s="3" t="s">
        <v>586</v>
      </c>
    </row>
    <row r="799" spans="1:14" x14ac:dyDescent="0.35">
      <c r="A799" s="11" t="s">
        <v>7</v>
      </c>
      <c r="B799" s="11" t="s">
        <v>1097</v>
      </c>
      <c r="C799" s="11">
        <v>10</v>
      </c>
      <c r="D799" s="11">
        <v>8</v>
      </c>
      <c r="E799" s="11" t="s">
        <v>198</v>
      </c>
      <c r="F799" s="11" t="s">
        <v>633</v>
      </c>
      <c r="G799" s="12">
        <v>4.41</v>
      </c>
      <c r="H799" s="13">
        <v>100.83</v>
      </c>
      <c r="I799" s="11" t="s">
        <v>634</v>
      </c>
      <c r="J799" s="11" t="s">
        <v>30</v>
      </c>
      <c r="K799" s="7">
        <f>INDEX(Benchmark!$H$5:$H$807,MATCH(I799,Benchmark!$A$5:$A$807,0))</f>
        <v>122.7119856887299</v>
      </c>
      <c r="L799" s="14">
        <f t="shared" si="12"/>
        <v>-0.17831987287888518</v>
      </c>
      <c r="M799" s="15">
        <f>IF(L799&gt;Benchmark!$B$2,1,IF(L799&lt;-Benchmark!$B$2,5,3))</f>
        <v>5</v>
      </c>
      <c r="N799" s="3" t="s">
        <v>586</v>
      </c>
    </row>
    <row r="800" spans="1:14" x14ac:dyDescent="0.35">
      <c r="A800" s="11" t="s">
        <v>7</v>
      </c>
      <c r="B800" s="11" t="s">
        <v>1098</v>
      </c>
      <c r="C800" s="11">
        <v>10</v>
      </c>
      <c r="D800" s="11">
        <v>5</v>
      </c>
      <c r="E800" s="11" t="s">
        <v>198</v>
      </c>
      <c r="F800" s="11" t="s">
        <v>633</v>
      </c>
      <c r="G800" s="12">
        <v>1.35</v>
      </c>
      <c r="H800" s="13">
        <v>85.98</v>
      </c>
      <c r="I800" s="11" t="s">
        <v>634</v>
      </c>
      <c r="J800" s="11" t="s">
        <v>30</v>
      </c>
      <c r="K800" s="7">
        <f>INDEX(Benchmark!$H$5:$H$807,MATCH(I800,Benchmark!$A$5:$A$807,0))</f>
        <v>122.7119856887299</v>
      </c>
      <c r="L800" s="14">
        <f t="shared" si="12"/>
        <v>-0.2993349466441193</v>
      </c>
      <c r="M800" s="15">
        <f>IF(L800&gt;Benchmark!$B$2,1,IF(L800&lt;-Benchmark!$B$2,5,3))</f>
        <v>5</v>
      </c>
      <c r="N800" s="3" t="s">
        <v>586</v>
      </c>
    </row>
    <row r="801" spans="1:14" x14ac:dyDescent="0.35">
      <c r="A801" s="11" t="s">
        <v>7</v>
      </c>
      <c r="B801" s="11" t="s">
        <v>1099</v>
      </c>
      <c r="C801" s="11">
        <v>10</v>
      </c>
      <c r="D801" s="11">
        <v>7</v>
      </c>
      <c r="E801" s="11" t="s">
        <v>104</v>
      </c>
      <c r="F801" s="11" t="s">
        <v>633</v>
      </c>
      <c r="G801" s="12">
        <v>5.89</v>
      </c>
      <c r="H801" s="13">
        <v>90.75</v>
      </c>
      <c r="I801" s="11" t="s">
        <v>700</v>
      </c>
      <c r="J801" s="11" t="s">
        <v>30</v>
      </c>
      <c r="K801" s="7">
        <f>INDEX(Benchmark!$H$5:$H$807,MATCH(I801,Benchmark!$A$5:$A$807,0))</f>
        <v>114.9706913557601</v>
      </c>
      <c r="L801" s="14">
        <f t="shared" si="12"/>
        <v>-0.21066839792075953</v>
      </c>
      <c r="M801" s="15">
        <f>IF(L801&gt;Benchmark!$B$2,1,IF(L801&lt;-Benchmark!$B$2,5,3))</f>
        <v>5</v>
      </c>
      <c r="N801" s="3" t="s">
        <v>586</v>
      </c>
    </row>
    <row r="802" spans="1:14" x14ac:dyDescent="0.35">
      <c r="A802" s="11" t="s">
        <v>7</v>
      </c>
      <c r="B802" s="11" t="s">
        <v>1100</v>
      </c>
      <c r="C802" s="11">
        <v>10</v>
      </c>
      <c r="D802" s="11">
        <v>11</v>
      </c>
      <c r="E802" s="11" t="s">
        <v>198</v>
      </c>
      <c r="F802" s="11" t="s">
        <v>364</v>
      </c>
      <c r="G802" s="12">
        <v>6.19</v>
      </c>
      <c r="H802" s="13">
        <v>90.72</v>
      </c>
      <c r="I802" s="11" t="s">
        <v>709</v>
      </c>
      <c r="J802" s="11" t="s">
        <v>30</v>
      </c>
      <c r="K802" s="7">
        <f>INDEX(Benchmark!$H$5:$H$807,MATCH(I802,Benchmark!$A$5:$A$807,0))</f>
        <v>125.33667409057161</v>
      </c>
      <c r="L802" s="14">
        <f t="shared" si="12"/>
        <v>-0.27618950591872793</v>
      </c>
      <c r="M802" s="15">
        <f>IF(L802&gt;Benchmark!$B$2,1,IF(L802&lt;-Benchmark!$B$2,5,3))</f>
        <v>5</v>
      </c>
      <c r="N802" s="3" t="s">
        <v>586</v>
      </c>
    </row>
    <row r="803" spans="1:14" x14ac:dyDescent="0.35">
      <c r="A803" s="11" t="s">
        <v>7</v>
      </c>
      <c r="B803" s="11" t="s">
        <v>1101</v>
      </c>
      <c r="C803" s="11">
        <v>10</v>
      </c>
      <c r="D803" s="11">
        <v>3</v>
      </c>
      <c r="E803" s="11" t="s">
        <v>604</v>
      </c>
      <c r="F803" s="11" t="s">
        <v>633</v>
      </c>
      <c r="G803" s="12">
        <v>1.82</v>
      </c>
      <c r="H803" s="13">
        <v>59.65</v>
      </c>
      <c r="I803" s="11" t="s">
        <v>1102</v>
      </c>
      <c r="J803" s="11" t="s">
        <v>30</v>
      </c>
      <c r="K803" s="7">
        <f>INDEX(Benchmark!$H$5:$H$807,MATCH(I803,Benchmark!$A$5:$A$807,0))</f>
        <v>117.89542515216939</v>
      </c>
      <c r="L803" s="14">
        <f t="shared" si="12"/>
        <v>-0.49404313252181886</v>
      </c>
      <c r="M803" s="15">
        <f>IF(L803&gt;Benchmark!$B$2,1,IF(L803&lt;-Benchmark!$B$2,5,3))</f>
        <v>5</v>
      </c>
      <c r="N803" s="3" t="s">
        <v>586</v>
      </c>
    </row>
    <row r="804" spans="1:14" x14ac:dyDescent="0.35">
      <c r="A804" s="11" t="s">
        <v>7</v>
      </c>
      <c r="B804" s="11" t="s">
        <v>1103</v>
      </c>
      <c r="C804" s="11">
        <v>10</v>
      </c>
      <c r="D804" s="11">
        <v>7</v>
      </c>
      <c r="E804" s="11" t="s">
        <v>88</v>
      </c>
      <c r="F804" s="11" t="s">
        <v>364</v>
      </c>
      <c r="G804" s="12">
        <v>20.83</v>
      </c>
      <c r="H804" s="13">
        <v>101.33</v>
      </c>
      <c r="I804" s="11" t="s">
        <v>685</v>
      </c>
      <c r="J804" s="11" t="s">
        <v>30</v>
      </c>
      <c r="K804" s="7">
        <f>INDEX(Benchmark!$H$5:$H$807,MATCH(I804,Benchmark!$A$5:$A$807,0))</f>
        <v>112.44941252144081</v>
      </c>
      <c r="L804" s="14">
        <f t="shared" si="12"/>
        <v>-9.8883687091923744E-2</v>
      </c>
      <c r="M804" s="15">
        <f>IF(L804&gt;Benchmark!$B$2,1,IF(L804&lt;-Benchmark!$B$2,5,3))</f>
        <v>5</v>
      </c>
      <c r="N804" s="3" t="s">
        <v>586</v>
      </c>
    </row>
    <row r="805" spans="1:14" x14ac:dyDescent="0.35">
      <c r="A805" s="11" t="s">
        <v>7</v>
      </c>
      <c r="B805" s="11" t="s">
        <v>1104</v>
      </c>
      <c r="C805" s="11">
        <v>10</v>
      </c>
      <c r="D805" s="11">
        <v>3</v>
      </c>
      <c r="E805" s="11" t="s">
        <v>27</v>
      </c>
      <c r="F805" s="11" t="s">
        <v>364</v>
      </c>
      <c r="G805" s="12">
        <v>4.1500000000000004</v>
      </c>
      <c r="H805" s="13">
        <v>127.88</v>
      </c>
      <c r="I805" s="11" t="s">
        <v>773</v>
      </c>
      <c r="J805" s="11" t="s">
        <v>30</v>
      </c>
      <c r="K805" s="7">
        <f>INDEX(Benchmark!$H$5:$H$807,MATCH(I805,Benchmark!$A$5:$A$807,0))</f>
        <v>122.69387755102041</v>
      </c>
      <c r="L805" s="14">
        <f t="shared" si="12"/>
        <v>4.2268795741849718E-2</v>
      </c>
      <c r="M805" s="17">
        <f>IF(L805&gt;Benchmark!$B$2,1,IF(L805&lt;-Benchmark!$B$2,5,3))</f>
        <v>3</v>
      </c>
      <c r="N805" s="3" t="s">
        <v>586</v>
      </c>
    </row>
    <row r="806" spans="1:14" x14ac:dyDescent="0.35">
      <c r="A806" s="11" t="s">
        <v>7</v>
      </c>
      <c r="B806" s="11" t="s">
        <v>1105</v>
      </c>
      <c r="C806" s="11">
        <v>10</v>
      </c>
      <c r="D806" s="11">
        <v>2</v>
      </c>
      <c r="E806" s="11" t="s">
        <v>27</v>
      </c>
      <c r="F806" s="11" t="s">
        <v>502</v>
      </c>
      <c r="G806" s="12">
        <v>6.32</v>
      </c>
      <c r="H806" s="13">
        <v>145.13999999999999</v>
      </c>
      <c r="I806" s="11" t="s">
        <v>775</v>
      </c>
      <c r="J806" s="11" t="s">
        <v>30</v>
      </c>
      <c r="K806" s="7">
        <f>INDEX(Benchmark!$H$5:$H$807,MATCH(I806,Benchmark!$A$5:$A$807,0))</f>
        <v>141.3474440894569</v>
      </c>
      <c r="L806" s="14">
        <f t="shared" si="12"/>
        <v>2.6831443150417522E-2</v>
      </c>
      <c r="M806" s="17">
        <f>IF(L806&gt;Benchmark!$B$2,1,IF(L806&lt;-Benchmark!$B$2,5,3))</f>
        <v>3</v>
      </c>
      <c r="N806" s="3" t="s">
        <v>586</v>
      </c>
    </row>
    <row r="807" spans="1:14" x14ac:dyDescent="0.35">
      <c r="A807" s="11" t="s">
        <v>7</v>
      </c>
      <c r="B807" s="11" t="s">
        <v>1106</v>
      </c>
      <c r="C807" s="11">
        <v>10</v>
      </c>
      <c r="D807" s="11">
        <v>3</v>
      </c>
      <c r="E807" s="11" t="s">
        <v>114</v>
      </c>
      <c r="F807" s="11" t="s">
        <v>633</v>
      </c>
      <c r="G807" s="12">
        <v>5.17</v>
      </c>
      <c r="H807" s="13">
        <v>123.69</v>
      </c>
      <c r="I807" s="11" t="s">
        <v>1033</v>
      </c>
      <c r="J807" s="11" t="s">
        <v>30</v>
      </c>
      <c r="K807" s="7">
        <f>INDEX(Benchmark!$H$5:$H$807,MATCH(I807,Benchmark!$A$5:$A$807,0))</f>
        <v>118.3729713237831</v>
      </c>
      <c r="L807" s="14">
        <f t="shared" si="12"/>
        <v>4.4917590702976851E-2</v>
      </c>
      <c r="M807" s="17">
        <f>IF(L807&gt;Benchmark!$B$2,1,IF(L807&lt;-Benchmark!$B$2,5,3))</f>
        <v>3</v>
      </c>
      <c r="N807" s="3" t="s">
        <v>586</v>
      </c>
    </row>
    <row r="808" spans="1:14" x14ac:dyDescent="0.35">
      <c r="A808" s="11" t="s">
        <v>7</v>
      </c>
      <c r="B808" s="11" t="s">
        <v>1107</v>
      </c>
      <c r="C808" s="11">
        <v>10</v>
      </c>
      <c r="D808" s="11">
        <v>1</v>
      </c>
      <c r="E808" s="11" t="s">
        <v>27</v>
      </c>
      <c r="F808" s="11" t="s">
        <v>827</v>
      </c>
      <c r="G808" s="12">
        <v>8.5399999999999991</v>
      </c>
      <c r="H808" s="13">
        <v>125.76</v>
      </c>
      <c r="I808" s="11" t="s">
        <v>734</v>
      </c>
      <c r="J808" s="11" t="s">
        <v>37</v>
      </c>
      <c r="K808" s="7">
        <f>INDEX(Benchmark!$H$5:$H$807,MATCH(I808,Benchmark!$A$5:$A$807,0))</f>
        <v>133.21602787456439</v>
      </c>
      <c r="L808" s="14">
        <f t="shared" si="12"/>
        <v>-5.5969450474720239E-2</v>
      </c>
      <c r="M808" s="15">
        <f>IF(L808&gt;Benchmark!$B$2,1,IF(L808&lt;-Benchmark!$B$2,5,3))</f>
        <v>5</v>
      </c>
      <c r="N808" s="3" t="s">
        <v>586</v>
      </c>
    </row>
    <row r="809" spans="1:14" x14ac:dyDescent="0.35">
      <c r="A809" s="11" t="s">
        <v>7</v>
      </c>
      <c r="B809" s="11" t="s">
        <v>1108</v>
      </c>
      <c r="C809" s="11">
        <v>10</v>
      </c>
      <c r="D809" s="11">
        <v>1</v>
      </c>
      <c r="E809" s="11" t="s">
        <v>1090</v>
      </c>
      <c r="F809" s="11" t="s">
        <v>35</v>
      </c>
      <c r="G809" s="12">
        <v>14.26</v>
      </c>
      <c r="H809" s="13">
        <v>109.95</v>
      </c>
      <c r="I809" s="11" t="s">
        <v>1091</v>
      </c>
      <c r="J809" s="11" t="s">
        <v>37</v>
      </c>
      <c r="K809" s="7">
        <f>INDEX(Benchmark!$H$5:$H$807,MATCH(I809,Benchmark!$A$5:$A$807,0))</f>
        <v>138.91239417839671</v>
      </c>
      <c r="L809" s="14">
        <f t="shared" si="12"/>
        <v>-0.20849395296723539</v>
      </c>
      <c r="M809" s="15">
        <f>IF(L809&gt;Benchmark!$B$2,1,IF(L809&lt;-Benchmark!$B$2,5,3))</f>
        <v>5</v>
      </c>
      <c r="N809" s="3" t="s">
        <v>586</v>
      </c>
    </row>
    <row r="810" spans="1:14" x14ac:dyDescent="0.35">
      <c r="A810" s="11" t="s">
        <v>7</v>
      </c>
      <c r="B810" s="11" t="s">
        <v>1109</v>
      </c>
      <c r="C810" s="11">
        <v>10</v>
      </c>
      <c r="D810" s="11">
        <v>2</v>
      </c>
      <c r="E810" s="11" t="s">
        <v>27</v>
      </c>
      <c r="F810" s="11" t="s">
        <v>28</v>
      </c>
      <c r="G810" s="12">
        <v>17.28</v>
      </c>
      <c r="H810" s="13">
        <v>118.99</v>
      </c>
      <c r="I810" s="11" t="s">
        <v>834</v>
      </c>
      <c r="J810" s="11" t="s">
        <v>30</v>
      </c>
      <c r="K810" s="7">
        <f>INDEX(Benchmark!$H$5:$H$807,MATCH(I810,Benchmark!$A$5:$A$807,0))</f>
        <v>132.84642857142859</v>
      </c>
      <c r="L810" s="14">
        <f t="shared" si="12"/>
        <v>-0.10430411054654964</v>
      </c>
      <c r="M810" s="15">
        <f>IF(L810&gt;Benchmark!$B$2,1,IF(L810&lt;-Benchmark!$B$2,5,3))</f>
        <v>5</v>
      </c>
      <c r="N810" s="3" t="s">
        <v>586</v>
      </c>
    </row>
    <row r="811" spans="1:14" x14ac:dyDescent="0.35">
      <c r="A811" s="11" t="s">
        <v>7</v>
      </c>
      <c r="B811" s="11" t="s">
        <v>1110</v>
      </c>
      <c r="C811" s="11">
        <v>10</v>
      </c>
      <c r="D811" s="11">
        <v>2</v>
      </c>
      <c r="E811" s="11" t="s">
        <v>27</v>
      </c>
      <c r="F811" s="11" t="s">
        <v>35</v>
      </c>
      <c r="G811" s="12">
        <v>21.72</v>
      </c>
      <c r="H811" s="13">
        <v>144.06</v>
      </c>
      <c r="I811" s="11" t="s">
        <v>682</v>
      </c>
      <c r="J811" s="11" t="s">
        <v>30</v>
      </c>
      <c r="K811" s="7">
        <f>INDEX(Benchmark!$H$5:$H$807,MATCH(I811,Benchmark!$A$5:$A$807,0))</f>
        <v>145.44695259593681</v>
      </c>
      <c r="L811" s="14">
        <f t="shared" si="12"/>
        <v>-9.5357968742725285E-3</v>
      </c>
      <c r="M811" s="17">
        <f>IF(L811&gt;Benchmark!$B$2,1,IF(L811&lt;-Benchmark!$B$2,5,3))</f>
        <v>3</v>
      </c>
      <c r="N811" s="3" t="s">
        <v>586</v>
      </c>
    </row>
  </sheetData>
  <autoFilter ref="A4:N8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0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28" customWidth="1"/>
    <col min="2" max="2" width="10" customWidth="1"/>
    <col min="3" max="3" width="24" customWidth="1"/>
    <col min="4" max="4" width="14" customWidth="1"/>
    <col min="5" max="5" width="12" customWidth="1"/>
    <col min="6" max="6" width="8" customWidth="1"/>
    <col min="7" max="7" width="10" customWidth="1"/>
    <col min="8" max="8" width="12" customWidth="1"/>
    <col min="9" max="10" width="8" customWidth="1"/>
    <col min="11" max="12" width="11" customWidth="1"/>
    <col min="13" max="13" width="10" customWidth="1"/>
  </cols>
  <sheetData>
    <row r="1" spans="1:13" ht="18" x14ac:dyDescent="0.4">
      <c r="A1" s="1" t="s">
        <v>1111</v>
      </c>
    </row>
    <row r="2" spans="1:13" x14ac:dyDescent="0.35">
      <c r="A2" s="18" t="s">
        <v>1112</v>
      </c>
      <c r="B2" s="19">
        <v>0.05</v>
      </c>
      <c r="C2" s="10" t="s">
        <v>1113</v>
      </c>
    </row>
    <row r="4" spans="1:13" ht="38" customHeight="1" x14ac:dyDescent="0.35">
      <c r="A4" s="2" t="s">
        <v>1114</v>
      </c>
      <c r="B4" s="2" t="s">
        <v>1</v>
      </c>
      <c r="C4" s="2" t="s">
        <v>1115</v>
      </c>
      <c r="D4" s="2" t="s">
        <v>18</v>
      </c>
      <c r="E4" s="2" t="s">
        <v>19</v>
      </c>
      <c r="F4" s="2" t="s">
        <v>3</v>
      </c>
      <c r="G4" s="2" t="s">
        <v>4</v>
      </c>
      <c r="H4" s="2" t="s">
        <v>1116</v>
      </c>
      <c r="I4" s="2" t="s">
        <v>1117</v>
      </c>
      <c r="J4" s="2" t="s">
        <v>1118</v>
      </c>
      <c r="K4" s="2" t="s">
        <v>1119</v>
      </c>
      <c r="L4" s="2" t="s">
        <v>1120</v>
      </c>
      <c r="M4" s="2" t="s">
        <v>1121</v>
      </c>
    </row>
    <row r="5" spans="1:13" x14ac:dyDescent="0.35">
      <c r="A5" s="11" t="s">
        <v>1122</v>
      </c>
      <c r="B5" s="11" t="s">
        <v>11</v>
      </c>
      <c r="C5" s="11" t="s">
        <v>1123</v>
      </c>
      <c r="D5" s="11" t="s">
        <v>1124</v>
      </c>
      <c r="E5" s="11" t="s">
        <v>1124</v>
      </c>
      <c r="F5" s="20">
        <v>6573</v>
      </c>
      <c r="G5" s="21">
        <v>56843.314635722752</v>
      </c>
      <c r="H5" s="13">
        <v>112.4802469135802</v>
      </c>
      <c r="I5" s="13">
        <v>94.077471059661619</v>
      </c>
      <c r="J5" s="13">
        <v>130.45654692931629</v>
      </c>
      <c r="K5" s="7">
        <f t="shared" ref="K5:K68" si="0">H5*(1+$B$2)</f>
        <v>118.10425925925922</v>
      </c>
      <c r="L5" s="7">
        <f t="shared" ref="L5:L68" si="1">H5*(1-$B$2)</f>
        <v>106.85623456790118</v>
      </c>
      <c r="M5" s="3" t="s">
        <v>1125</v>
      </c>
    </row>
    <row r="6" spans="1:13" x14ac:dyDescent="0.35">
      <c r="A6" s="11" t="s">
        <v>1126</v>
      </c>
      <c r="B6" s="11" t="s">
        <v>11</v>
      </c>
      <c r="C6" s="11" t="s">
        <v>37</v>
      </c>
      <c r="D6" s="11" t="s">
        <v>150</v>
      </c>
      <c r="E6" s="11" t="s">
        <v>1124</v>
      </c>
      <c r="F6" s="20">
        <v>173</v>
      </c>
      <c r="G6" s="21">
        <v>1247.07</v>
      </c>
      <c r="H6" s="13">
        <v>97.752212389380531</v>
      </c>
      <c r="I6" s="13">
        <v>80.821249102656139</v>
      </c>
      <c r="J6" s="13">
        <v>111.4412770809578</v>
      </c>
      <c r="K6" s="7">
        <f t="shared" si="0"/>
        <v>102.63982300884956</v>
      </c>
      <c r="L6" s="7">
        <f t="shared" si="1"/>
        <v>92.864601769911502</v>
      </c>
      <c r="M6" s="3" t="s">
        <v>1127</v>
      </c>
    </row>
    <row r="7" spans="1:13" x14ac:dyDescent="0.35">
      <c r="A7" s="11" t="s">
        <v>1128</v>
      </c>
      <c r="B7" s="11" t="s">
        <v>11</v>
      </c>
      <c r="C7" s="11" t="s">
        <v>37</v>
      </c>
      <c r="D7" s="11" t="s">
        <v>1129</v>
      </c>
      <c r="E7" s="11" t="s">
        <v>1124</v>
      </c>
      <c r="F7" s="20">
        <v>12</v>
      </c>
      <c r="G7" s="21">
        <v>38.499999999999993</v>
      </c>
      <c r="H7" s="13">
        <v>122.54609929078011</v>
      </c>
      <c r="I7" s="13">
        <v>111.7890969162996</v>
      </c>
      <c r="J7" s="13">
        <v>127.04531126871549</v>
      </c>
      <c r="K7" s="7">
        <f t="shared" si="0"/>
        <v>128.67340425531913</v>
      </c>
      <c r="L7" s="7">
        <f t="shared" si="1"/>
        <v>116.4187943262411</v>
      </c>
      <c r="M7" s="3" t="s">
        <v>1130</v>
      </c>
    </row>
    <row r="8" spans="1:13" x14ac:dyDescent="0.35">
      <c r="A8" s="11" t="s">
        <v>1131</v>
      </c>
      <c r="B8" s="11" t="s">
        <v>11</v>
      </c>
      <c r="C8" s="11" t="s">
        <v>37</v>
      </c>
      <c r="D8" s="11" t="s">
        <v>1002</v>
      </c>
      <c r="E8" s="11" t="s">
        <v>1124</v>
      </c>
      <c r="F8" s="20">
        <v>128</v>
      </c>
      <c r="G8" s="21">
        <v>1006.88</v>
      </c>
      <c r="H8" s="13">
        <v>112.0346917645243</v>
      </c>
      <c r="I8" s="13">
        <v>96.542227833894486</v>
      </c>
      <c r="J8" s="13">
        <v>126.58387519306901</v>
      </c>
      <c r="K8" s="7">
        <f t="shared" si="0"/>
        <v>117.63642635275052</v>
      </c>
      <c r="L8" s="7">
        <f t="shared" si="1"/>
        <v>106.43295717629807</v>
      </c>
      <c r="M8" s="3" t="s">
        <v>1125</v>
      </c>
    </row>
    <row r="9" spans="1:13" x14ac:dyDescent="0.35">
      <c r="A9" s="11" t="s">
        <v>1132</v>
      </c>
      <c r="B9" s="11" t="s">
        <v>11</v>
      </c>
      <c r="C9" s="11" t="s">
        <v>37</v>
      </c>
      <c r="D9" s="11" t="s">
        <v>198</v>
      </c>
      <c r="E9" s="11" t="s">
        <v>1124</v>
      </c>
      <c r="F9" s="20">
        <v>2193</v>
      </c>
      <c r="G9" s="21">
        <v>20367.256000000001</v>
      </c>
      <c r="H9" s="13">
        <v>108.556135770235</v>
      </c>
      <c r="I9" s="13">
        <v>88.503773584905659</v>
      </c>
      <c r="J9" s="13">
        <v>127.3755656108597</v>
      </c>
      <c r="K9" s="7">
        <f t="shared" si="0"/>
        <v>113.98394255874676</v>
      </c>
      <c r="L9" s="7">
        <f t="shared" si="1"/>
        <v>103.12832898172324</v>
      </c>
      <c r="M9" s="3" t="s">
        <v>1125</v>
      </c>
    </row>
    <row r="10" spans="1:13" x14ac:dyDescent="0.35">
      <c r="A10" s="11" t="s">
        <v>1133</v>
      </c>
      <c r="B10" s="11" t="s">
        <v>11</v>
      </c>
      <c r="C10" s="11" t="s">
        <v>37</v>
      </c>
      <c r="D10" s="11" t="s">
        <v>134</v>
      </c>
      <c r="E10" s="11" t="s">
        <v>1124</v>
      </c>
      <c r="F10" s="20">
        <v>53</v>
      </c>
      <c r="G10" s="21">
        <v>292.67</v>
      </c>
      <c r="H10" s="13">
        <v>113.2551781275891</v>
      </c>
      <c r="I10" s="13">
        <v>98.147413793103453</v>
      </c>
      <c r="J10" s="13">
        <v>123.4359281437126</v>
      </c>
      <c r="K10" s="7">
        <f t="shared" si="0"/>
        <v>118.91793703396857</v>
      </c>
      <c r="L10" s="7">
        <f t="shared" si="1"/>
        <v>107.59241922120964</v>
      </c>
      <c r="M10" s="3" t="s">
        <v>1134</v>
      </c>
    </row>
    <row r="11" spans="1:13" x14ac:dyDescent="0.35">
      <c r="A11" s="11" t="s">
        <v>1135</v>
      </c>
      <c r="B11" s="11" t="s">
        <v>11</v>
      </c>
      <c r="C11" s="11" t="s">
        <v>37</v>
      </c>
      <c r="D11" s="11" t="s">
        <v>1136</v>
      </c>
      <c r="E11" s="11" t="s">
        <v>1124</v>
      </c>
      <c r="F11" s="20">
        <v>15</v>
      </c>
      <c r="G11" s="21">
        <v>89.889999999999986</v>
      </c>
      <c r="H11" s="13">
        <v>119.6510468594217</v>
      </c>
      <c r="I11" s="13">
        <v>111.3919172714415</v>
      </c>
      <c r="J11" s="13">
        <v>129.72190453433089</v>
      </c>
      <c r="K11" s="7">
        <f t="shared" si="0"/>
        <v>125.63359920239279</v>
      </c>
      <c r="L11" s="7">
        <f t="shared" si="1"/>
        <v>113.66849451645061</v>
      </c>
      <c r="M11" s="3" t="s">
        <v>1137</v>
      </c>
    </row>
    <row r="12" spans="1:13" x14ac:dyDescent="0.35">
      <c r="A12" s="11" t="s">
        <v>1138</v>
      </c>
      <c r="B12" s="11" t="s">
        <v>11</v>
      </c>
      <c r="C12" s="11" t="s">
        <v>37</v>
      </c>
      <c r="D12" s="11" t="s">
        <v>1139</v>
      </c>
      <c r="E12" s="11" t="s">
        <v>1124</v>
      </c>
      <c r="F12" s="20">
        <v>12</v>
      </c>
      <c r="G12" s="21">
        <v>68.210000000000008</v>
      </c>
      <c r="H12" s="13">
        <v>102.9439176572392</v>
      </c>
      <c r="I12" s="13">
        <v>90.580665510727684</v>
      </c>
      <c r="J12" s="13">
        <v>111.51185658566961</v>
      </c>
      <c r="K12" s="7">
        <f t="shared" si="0"/>
        <v>108.09111354010116</v>
      </c>
      <c r="L12" s="7">
        <f t="shared" si="1"/>
        <v>97.796721774377232</v>
      </c>
      <c r="M12" s="3" t="s">
        <v>1140</v>
      </c>
    </row>
    <row r="13" spans="1:13" x14ac:dyDescent="0.35">
      <c r="A13" s="11" t="s">
        <v>1141</v>
      </c>
      <c r="B13" s="11" t="s">
        <v>11</v>
      </c>
      <c r="C13" s="11" t="s">
        <v>37</v>
      </c>
      <c r="D13" s="11" t="s">
        <v>1142</v>
      </c>
      <c r="E13" s="11" t="s">
        <v>1124</v>
      </c>
      <c r="F13" s="20">
        <v>7</v>
      </c>
      <c r="G13" s="21">
        <v>57.6</v>
      </c>
      <c r="H13" s="13">
        <v>90.764583333333334</v>
      </c>
      <c r="I13" s="13">
        <v>85.526562500000011</v>
      </c>
      <c r="J13" s="13">
        <v>94.699817439862542</v>
      </c>
      <c r="K13" s="7">
        <f t="shared" si="0"/>
        <v>95.302812500000002</v>
      </c>
      <c r="L13" s="7">
        <f t="shared" si="1"/>
        <v>86.226354166666667</v>
      </c>
      <c r="M13" s="3" t="s">
        <v>1143</v>
      </c>
    </row>
    <row r="14" spans="1:13" x14ac:dyDescent="0.35">
      <c r="A14" s="11" t="s">
        <v>1144</v>
      </c>
      <c r="B14" s="11" t="s">
        <v>11</v>
      </c>
      <c r="C14" s="11" t="s">
        <v>37</v>
      </c>
      <c r="D14" s="11" t="s">
        <v>806</v>
      </c>
      <c r="E14" s="11" t="s">
        <v>1124</v>
      </c>
      <c r="F14" s="20">
        <v>5</v>
      </c>
      <c r="G14" s="21">
        <v>9.5499999999999989</v>
      </c>
      <c r="H14" s="13">
        <v>118.020942408377</v>
      </c>
      <c r="I14" s="13">
        <v>114.2931937172775</v>
      </c>
      <c r="J14" s="13">
        <v>119.6649214659686</v>
      </c>
      <c r="K14" s="7">
        <f t="shared" si="0"/>
        <v>123.92198952879585</v>
      </c>
      <c r="L14" s="7">
        <f t="shared" si="1"/>
        <v>112.11989528795814</v>
      </c>
      <c r="M14" s="3" t="s">
        <v>1145</v>
      </c>
    </row>
    <row r="15" spans="1:13" x14ac:dyDescent="0.35">
      <c r="A15" s="11" t="s">
        <v>1146</v>
      </c>
      <c r="B15" s="11" t="s">
        <v>11</v>
      </c>
      <c r="C15" s="11" t="s">
        <v>37</v>
      </c>
      <c r="D15" s="11" t="s">
        <v>1147</v>
      </c>
      <c r="E15" s="11" t="s">
        <v>1124</v>
      </c>
      <c r="F15" s="20">
        <v>15</v>
      </c>
      <c r="G15" s="21">
        <v>63.55</v>
      </c>
      <c r="H15" s="13">
        <v>105.10613207547171</v>
      </c>
      <c r="I15" s="13">
        <v>99.9089977263409</v>
      </c>
      <c r="J15" s="13">
        <v>112.11362842259069</v>
      </c>
      <c r="K15" s="7">
        <f t="shared" si="0"/>
        <v>110.3614386792453</v>
      </c>
      <c r="L15" s="7">
        <f t="shared" si="1"/>
        <v>99.850825471698116</v>
      </c>
      <c r="M15" s="3" t="s">
        <v>1148</v>
      </c>
    </row>
    <row r="16" spans="1:13" x14ac:dyDescent="0.35">
      <c r="A16" s="11" t="s">
        <v>306</v>
      </c>
      <c r="B16" s="11" t="s">
        <v>11</v>
      </c>
      <c r="C16" s="11" t="s">
        <v>37</v>
      </c>
      <c r="D16" s="11" t="s">
        <v>305</v>
      </c>
      <c r="E16" s="11" t="s">
        <v>1124</v>
      </c>
      <c r="F16" s="20">
        <v>16</v>
      </c>
      <c r="G16" s="21">
        <v>79.56</v>
      </c>
      <c r="H16" s="13">
        <v>108.9637989234559</v>
      </c>
      <c r="I16" s="13">
        <v>97.805433108188168</v>
      </c>
      <c r="J16" s="13">
        <v>121.43584821649431</v>
      </c>
      <c r="K16" s="7">
        <f t="shared" si="0"/>
        <v>114.4119888696287</v>
      </c>
      <c r="L16" s="7">
        <f t="shared" si="1"/>
        <v>103.51560897728309</v>
      </c>
      <c r="M16" s="3" t="s">
        <v>1149</v>
      </c>
    </row>
    <row r="17" spans="1:13" x14ac:dyDescent="0.35">
      <c r="A17" s="11" t="s">
        <v>144</v>
      </c>
      <c r="B17" s="11" t="s">
        <v>11</v>
      </c>
      <c r="C17" s="11" t="s">
        <v>37</v>
      </c>
      <c r="D17" s="11" t="s">
        <v>27</v>
      </c>
      <c r="E17" s="11" t="s">
        <v>1124</v>
      </c>
      <c r="F17" s="20">
        <v>751</v>
      </c>
      <c r="G17" s="21">
        <v>6952.91</v>
      </c>
      <c r="H17" s="13">
        <v>131.49167927382749</v>
      </c>
      <c r="I17" s="13">
        <v>114.3641724137931</v>
      </c>
      <c r="J17" s="13">
        <v>145.94978091712619</v>
      </c>
      <c r="K17" s="7">
        <f t="shared" si="0"/>
        <v>138.06626323751885</v>
      </c>
      <c r="L17" s="7">
        <f t="shared" si="1"/>
        <v>124.91709531013611</v>
      </c>
      <c r="M17" s="3" t="s">
        <v>1134</v>
      </c>
    </row>
    <row r="18" spans="1:13" x14ac:dyDescent="0.35">
      <c r="A18" s="11" t="s">
        <v>1150</v>
      </c>
      <c r="B18" s="11" t="s">
        <v>11</v>
      </c>
      <c r="C18" s="11" t="s">
        <v>37</v>
      </c>
      <c r="D18" s="11" t="s">
        <v>1151</v>
      </c>
      <c r="E18" s="11" t="s">
        <v>1124</v>
      </c>
      <c r="F18" s="20">
        <v>17</v>
      </c>
      <c r="G18" s="21">
        <v>79.67</v>
      </c>
      <c r="H18" s="13">
        <v>96.956395348837205</v>
      </c>
      <c r="I18" s="13">
        <v>81.406824146981634</v>
      </c>
      <c r="J18" s="13">
        <v>123.6582608695652</v>
      </c>
      <c r="K18" s="7">
        <f t="shared" si="0"/>
        <v>101.80421511627907</v>
      </c>
      <c r="L18" s="7">
        <f t="shared" si="1"/>
        <v>92.108575581395343</v>
      </c>
      <c r="M18" s="3" t="s">
        <v>1152</v>
      </c>
    </row>
    <row r="19" spans="1:13" x14ac:dyDescent="0.35">
      <c r="A19" s="11" t="s">
        <v>36</v>
      </c>
      <c r="B19" s="11" t="s">
        <v>11</v>
      </c>
      <c r="C19" s="11" t="s">
        <v>37</v>
      </c>
      <c r="D19" s="11" t="s">
        <v>34</v>
      </c>
      <c r="E19" s="11" t="s">
        <v>1124</v>
      </c>
      <c r="F19" s="20">
        <v>203</v>
      </c>
      <c r="G19" s="21">
        <v>1587.71</v>
      </c>
      <c r="H19" s="13">
        <v>135.18231292517009</v>
      </c>
      <c r="I19" s="13">
        <v>123.5670765206017</v>
      </c>
      <c r="J19" s="13">
        <v>148.4741871116349</v>
      </c>
      <c r="K19" s="7">
        <f t="shared" si="0"/>
        <v>141.94142857142862</v>
      </c>
      <c r="L19" s="7">
        <f t="shared" si="1"/>
        <v>128.42319727891157</v>
      </c>
      <c r="M19" s="3" t="s">
        <v>1134</v>
      </c>
    </row>
    <row r="20" spans="1:13" x14ac:dyDescent="0.35">
      <c r="A20" s="11" t="s">
        <v>82</v>
      </c>
      <c r="B20" s="11" t="s">
        <v>11</v>
      </c>
      <c r="C20" s="11" t="s">
        <v>37</v>
      </c>
      <c r="D20" s="11" t="s">
        <v>53</v>
      </c>
      <c r="E20" s="11" t="s">
        <v>1124</v>
      </c>
      <c r="F20" s="20">
        <v>61</v>
      </c>
      <c r="G20" s="21">
        <v>365.27</v>
      </c>
      <c r="H20" s="13">
        <v>117.13587487781039</v>
      </c>
      <c r="I20" s="13">
        <v>104.17050691244241</v>
      </c>
      <c r="J20" s="13">
        <v>130.5913978494624</v>
      </c>
      <c r="K20" s="7">
        <f t="shared" si="0"/>
        <v>122.99266862170091</v>
      </c>
      <c r="L20" s="7">
        <f t="shared" si="1"/>
        <v>111.27908113391987</v>
      </c>
      <c r="M20" s="3" t="s">
        <v>1148</v>
      </c>
    </row>
    <row r="21" spans="1:13" x14ac:dyDescent="0.35">
      <c r="A21" s="11" t="s">
        <v>1153</v>
      </c>
      <c r="B21" s="11" t="s">
        <v>11</v>
      </c>
      <c r="C21" s="11" t="s">
        <v>37</v>
      </c>
      <c r="D21" s="11" t="s">
        <v>666</v>
      </c>
      <c r="E21" s="11" t="s">
        <v>1124</v>
      </c>
      <c r="F21" s="20">
        <v>10</v>
      </c>
      <c r="G21" s="21">
        <v>15.45</v>
      </c>
      <c r="H21" s="13">
        <v>82.150882825040128</v>
      </c>
      <c r="I21" s="13">
        <v>74.030898876404493</v>
      </c>
      <c r="J21" s="13">
        <v>96.108848314606746</v>
      </c>
      <c r="K21" s="7">
        <f t="shared" si="0"/>
        <v>86.258426966292134</v>
      </c>
      <c r="L21" s="7">
        <f t="shared" si="1"/>
        <v>78.043338683788122</v>
      </c>
      <c r="M21" s="3" t="s">
        <v>1134</v>
      </c>
    </row>
    <row r="22" spans="1:13" x14ac:dyDescent="0.35">
      <c r="A22" s="11" t="s">
        <v>74</v>
      </c>
      <c r="B22" s="11" t="s">
        <v>11</v>
      </c>
      <c r="C22" s="11" t="s">
        <v>37</v>
      </c>
      <c r="D22" s="11" t="s">
        <v>48</v>
      </c>
      <c r="E22" s="11" t="s">
        <v>1124</v>
      </c>
      <c r="F22" s="20">
        <v>145</v>
      </c>
      <c r="G22" s="21">
        <v>1293.08</v>
      </c>
      <c r="H22" s="13">
        <v>131.10214067278289</v>
      </c>
      <c r="I22" s="13">
        <v>120.54701834862389</v>
      </c>
      <c r="J22" s="13">
        <v>140.97933884297521</v>
      </c>
      <c r="K22" s="7">
        <f t="shared" si="0"/>
        <v>137.65724770642205</v>
      </c>
      <c r="L22" s="7">
        <f t="shared" si="1"/>
        <v>124.54703363914375</v>
      </c>
      <c r="M22" s="3" t="s">
        <v>1149</v>
      </c>
    </row>
    <row r="23" spans="1:13" x14ac:dyDescent="0.35">
      <c r="A23" s="11" t="s">
        <v>204</v>
      </c>
      <c r="B23" s="11" t="s">
        <v>11</v>
      </c>
      <c r="C23" s="11" t="s">
        <v>37</v>
      </c>
      <c r="D23" s="11" t="s">
        <v>104</v>
      </c>
      <c r="E23" s="11" t="s">
        <v>1124</v>
      </c>
      <c r="F23" s="20">
        <v>364</v>
      </c>
      <c r="G23" s="21">
        <v>2627.32</v>
      </c>
      <c r="H23" s="13">
        <v>103.0479080166081</v>
      </c>
      <c r="I23" s="13">
        <v>84.681518645326292</v>
      </c>
      <c r="J23" s="13">
        <v>117.3448951236024</v>
      </c>
      <c r="K23" s="7">
        <f t="shared" si="0"/>
        <v>108.20030341743852</v>
      </c>
      <c r="L23" s="7">
        <f t="shared" si="1"/>
        <v>97.89551261577769</v>
      </c>
      <c r="M23" s="3" t="s">
        <v>1130</v>
      </c>
    </row>
    <row r="24" spans="1:13" x14ac:dyDescent="0.35">
      <c r="A24" s="11" t="s">
        <v>157</v>
      </c>
      <c r="B24" s="11" t="s">
        <v>11</v>
      </c>
      <c r="C24" s="11" t="s">
        <v>37</v>
      </c>
      <c r="D24" s="11" t="s">
        <v>156</v>
      </c>
      <c r="E24" s="11" t="s">
        <v>1124</v>
      </c>
      <c r="F24" s="20">
        <v>158</v>
      </c>
      <c r="G24" s="21">
        <v>1554.6</v>
      </c>
      <c r="H24" s="13">
        <v>105.46257661480431</v>
      </c>
      <c r="I24" s="13">
        <v>86.828304303278699</v>
      </c>
      <c r="J24" s="13">
        <v>120.6359179197995</v>
      </c>
      <c r="K24" s="7">
        <f t="shared" si="0"/>
        <v>110.73570544554453</v>
      </c>
      <c r="L24" s="7">
        <f t="shared" si="1"/>
        <v>100.18944778406409</v>
      </c>
      <c r="M24" s="3" t="s">
        <v>1134</v>
      </c>
    </row>
    <row r="25" spans="1:13" x14ac:dyDescent="0.35">
      <c r="A25" s="11" t="s">
        <v>622</v>
      </c>
      <c r="B25" s="11" t="s">
        <v>11</v>
      </c>
      <c r="C25" s="11" t="s">
        <v>37</v>
      </c>
      <c r="D25" s="11" t="s">
        <v>601</v>
      </c>
      <c r="E25" s="11" t="s">
        <v>1124</v>
      </c>
      <c r="F25" s="20">
        <v>22</v>
      </c>
      <c r="G25" s="21">
        <v>132.94</v>
      </c>
      <c r="H25" s="13">
        <v>115.0199387517528</v>
      </c>
      <c r="I25" s="13">
        <v>101.93884820898479</v>
      </c>
      <c r="J25" s="13">
        <v>120.0281315509864</v>
      </c>
      <c r="K25" s="7">
        <f t="shared" si="0"/>
        <v>120.77093568934045</v>
      </c>
      <c r="L25" s="7">
        <f t="shared" si="1"/>
        <v>109.26894181416516</v>
      </c>
      <c r="M25" s="3" t="s">
        <v>1154</v>
      </c>
    </row>
    <row r="26" spans="1:13" x14ac:dyDescent="0.35">
      <c r="A26" s="11" t="s">
        <v>1155</v>
      </c>
      <c r="B26" s="11" t="s">
        <v>11</v>
      </c>
      <c r="C26" s="11" t="s">
        <v>37</v>
      </c>
      <c r="D26" s="11" t="s">
        <v>1156</v>
      </c>
      <c r="E26" s="11" t="s">
        <v>1124</v>
      </c>
      <c r="F26" s="20">
        <v>1</v>
      </c>
      <c r="G26" s="21">
        <v>1.33</v>
      </c>
      <c r="H26" s="13">
        <v>142.01503759398491</v>
      </c>
      <c r="I26" s="13">
        <v>142.01503759398491</v>
      </c>
      <c r="J26" s="13">
        <v>142.01503759398491</v>
      </c>
      <c r="K26" s="7">
        <f t="shared" si="0"/>
        <v>149.11578947368417</v>
      </c>
      <c r="L26" s="7">
        <f t="shared" si="1"/>
        <v>134.91428571428565</v>
      </c>
      <c r="M26" s="3" t="s">
        <v>1157</v>
      </c>
    </row>
    <row r="27" spans="1:13" x14ac:dyDescent="0.35">
      <c r="A27" s="11" t="s">
        <v>629</v>
      </c>
      <c r="B27" s="11" t="s">
        <v>11</v>
      </c>
      <c r="C27" s="11" t="s">
        <v>37</v>
      </c>
      <c r="D27" s="11" t="s">
        <v>604</v>
      </c>
      <c r="E27" s="11" t="s">
        <v>1124</v>
      </c>
      <c r="F27" s="20">
        <v>65</v>
      </c>
      <c r="G27" s="21">
        <v>482.05</v>
      </c>
      <c r="H27" s="13">
        <v>118.194564546016</v>
      </c>
      <c r="I27" s="13">
        <v>109.46871992300289</v>
      </c>
      <c r="J27" s="13">
        <v>127.3884892086331</v>
      </c>
      <c r="K27" s="7">
        <f t="shared" si="0"/>
        <v>124.1042927733168</v>
      </c>
      <c r="L27" s="7">
        <f t="shared" si="1"/>
        <v>112.28483631871519</v>
      </c>
      <c r="M27" s="3" t="s">
        <v>1158</v>
      </c>
    </row>
    <row r="28" spans="1:13" x14ac:dyDescent="0.35">
      <c r="A28" s="11" t="s">
        <v>1159</v>
      </c>
      <c r="B28" s="11" t="s">
        <v>11</v>
      </c>
      <c r="C28" s="11" t="s">
        <v>37</v>
      </c>
      <c r="D28" s="11" t="s">
        <v>1078</v>
      </c>
      <c r="E28" s="11" t="s">
        <v>1124</v>
      </c>
      <c r="F28" s="20">
        <v>1</v>
      </c>
      <c r="G28" s="21">
        <v>4.74</v>
      </c>
      <c r="H28" s="13">
        <v>129.7426160337553</v>
      </c>
      <c r="I28" s="13">
        <v>129.7426160337553</v>
      </c>
      <c r="J28" s="13">
        <v>129.7426160337553</v>
      </c>
      <c r="K28" s="7">
        <f t="shared" si="0"/>
        <v>136.22974683544308</v>
      </c>
      <c r="L28" s="7">
        <f t="shared" si="1"/>
        <v>123.25548523206753</v>
      </c>
      <c r="M28" s="3" t="s">
        <v>1157</v>
      </c>
    </row>
    <row r="29" spans="1:13" x14ac:dyDescent="0.35">
      <c r="A29" s="11" t="s">
        <v>1160</v>
      </c>
      <c r="B29" s="11" t="s">
        <v>11</v>
      </c>
      <c r="C29" s="11" t="s">
        <v>37</v>
      </c>
      <c r="D29" s="11" t="s">
        <v>1161</v>
      </c>
      <c r="E29" s="11" t="s">
        <v>1124</v>
      </c>
      <c r="F29" s="20">
        <v>1</v>
      </c>
      <c r="G29" s="21">
        <v>1</v>
      </c>
      <c r="H29" s="13">
        <v>81.7</v>
      </c>
      <c r="I29" s="13">
        <v>81.7</v>
      </c>
      <c r="J29" s="13">
        <v>81.7</v>
      </c>
      <c r="K29" s="7">
        <f t="shared" si="0"/>
        <v>85.785000000000011</v>
      </c>
      <c r="L29" s="7">
        <f t="shared" si="1"/>
        <v>77.614999999999995</v>
      </c>
      <c r="M29" s="3" t="s">
        <v>1157</v>
      </c>
    </row>
    <row r="30" spans="1:13" x14ac:dyDescent="0.35">
      <c r="A30" s="11" t="s">
        <v>1162</v>
      </c>
      <c r="B30" s="11" t="s">
        <v>11</v>
      </c>
      <c r="C30" s="11" t="s">
        <v>37</v>
      </c>
      <c r="D30" s="11" t="s">
        <v>1163</v>
      </c>
      <c r="E30" s="11" t="s">
        <v>1124</v>
      </c>
      <c r="F30" s="20">
        <v>3</v>
      </c>
      <c r="G30" s="21">
        <v>4.92</v>
      </c>
      <c r="H30" s="13">
        <v>128.25</v>
      </c>
      <c r="I30" s="13">
        <v>108.53048780487811</v>
      </c>
      <c r="J30" s="13">
        <v>131.16768292682929</v>
      </c>
      <c r="K30" s="7">
        <f t="shared" si="0"/>
        <v>134.66249999999999</v>
      </c>
      <c r="L30" s="7">
        <f t="shared" si="1"/>
        <v>121.83749999999999</v>
      </c>
      <c r="M30" s="3" t="s">
        <v>1158</v>
      </c>
    </row>
    <row r="31" spans="1:13" x14ac:dyDescent="0.35">
      <c r="A31" s="11" t="s">
        <v>1164</v>
      </c>
      <c r="B31" s="11" t="s">
        <v>11</v>
      </c>
      <c r="C31" s="11" t="s">
        <v>37</v>
      </c>
      <c r="D31" s="11" t="s">
        <v>1165</v>
      </c>
      <c r="E31" s="11" t="s">
        <v>1124</v>
      </c>
      <c r="F31" s="20">
        <v>5</v>
      </c>
      <c r="G31" s="21">
        <v>33.69</v>
      </c>
      <c r="H31" s="13">
        <v>113.8743068391867</v>
      </c>
      <c r="I31" s="13">
        <v>113.5</v>
      </c>
      <c r="J31" s="13">
        <v>131.90434782608699</v>
      </c>
      <c r="K31" s="7">
        <f t="shared" si="0"/>
        <v>119.56802218114605</v>
      </c>
      <c r="L31" s="7">
        <f t="shared" si="1"/>
        <v>108.18059149722735</v>
      </c>
      <c r="M31" s="3" t="s">
        <v>1158</v>
      </c>
    </row>
    <row r="32" spans="1:13" x14ac:dyDescent="0.35">
      <c r="A32" s="11" t="s">
        <v>1166</v>
      </c>
      <c r="B32" s="11" t="s">
        <v>11</v>
      </c>
      <c r="C32" s="11" t="s">
        <v>37</v>
      </c>
      <c r="D32" s="11" t="s">
        <v>1167</v>
      </c>
      <c r="E32" s="11" t="s">
        <v>1124</v>
      </c>
      <c r="F32" s="20">
        <v>1</v>
      </c>
      <c r="G32" s="21">
        <v>5.69</v>
      </c>
      <c r="H32" s="13">
        <v>128.1528998242531</v>
      </c>
      <c r="I32" s="13">
        <v>128.1528998242531</v>
      </c>
      <c r="J32" s="13">
        <v>128.1528998242531</v>
      </c>
      <c r="K32" s="7">
        <f t="shared" si="0"/>
        <v>134.56054481546576</v>
      </c>
      <c r="L32" s="7">
        <f t="shared" si="1"/>
        <v>121.74525483304043</v>
      </c>
      <c r="M32" s="3" t="s">
        <v>1157</v>
      </c>
    </row>
    <row r="33" spans="1:13" x14ac:dyDescent="0.35">
      <c r="A33" s="11" t="s">
        <v>1168</v>
      </c>
      <c r="B33" s="11" t="s">
        <v>11</v>
      </c>
      <c r="C33" s="11" t="s">
        <v>37</v>
      </c>
      <c r="D33" s="11" t="s">
        <v>1169</v>
      </c>
      <c r="E33" s="11" t="s">
        <v>1124</v>
      </c>
      <c r="F33" s="20">
        <v>3</v>
      </c>
      <c r="G33" s="21">
        <v>11.05</v>
      </c>
      <c r="H33" s="13">
        <v>94.678670360110814</v>
      </c>
      <c r="I33" s="13">
        <v>91</v>
      </c>
      <c r="J33" s="13">
        <v>97.794948757078913</v>
      </c>
      <c r="K33" s="7">
        <f t="shared" si="0"/>
        <v>99.412603878116357</v>
      </c>
      <c r="L33" s="7">
        <f t="shared" si="1"/>
        <v>89.944736842105272</v>
      </c>
      <c r="M33" s="3" t="s">
        <v>1158</v>
      </c>
    </row>
    <row r="34" spans="1:13" x14ac:dyDescent="0.35">
      <c r="A34" s="11" t="s">
        <v>1170</v>
      </c>
      <c r="B34" s="11" t="s">
        <v>11</v>
      </c>
      <c r="C34" s="11" t="s">
        <v>37</v>
      </c>
      <c r="D34" s="11" t="s">
        <v>1171</v>
      </c>
      <c r="E34" s="11" t="s">
        <v>1124</v>
      </c>
      <c r="F34" s="20">
        <v>1</v>
      </c>
      <c r="G34" s="21">
        <v>0.8</v>
      </c>
      <c r="H34" s="13">
        <v>90.262499999999989</v>
      </c>
      <c r="I34" s="13">
        <v>90.262499999999989</v>
      </c>
      <c r="J34" s="13">
        <v>90.262499999999989</v>
      </c>
      <c r="K34" s="7">
        <f t="shared" si="0"/>
        <v>94.775624999999991</v>
      </c>
      <c r="L34" s="7">
        <f t="shared" si="1"/>
        <v>85.749374999999986</v>
      </c>
      <c r="M34" s="3" t="s">
        <v>1157</v>
      </c>
    </row>
    <row r="35" spans="1:13" x14ac:dyDescent="0.35">
      <c r="A35" s="11" t="s">
        <v>1172</v>
      </c>
      <c r="B35" s="11" t="s">
        <v>11</v>
      </c>
      <c r="C35" s="11" t="s">
        <v>37</v>
      </c>
      <c r="D35" s="11" t="s">
        <v>1173</v>
      </c>
      <c r="E35" s="11" t="s">
        <v>1124</v>
      </c>
      <c r="F35" s="20">
        <v>1</v>
      </c>
      <c r="G35" s="21">
        <v>1.06</v>
      </c>
      <c r="H35" s="13">
        <v>119.8679245283019</v>
      </c>
      <c r="I35" s="13">
        <v>119.8679245283019</v>
      </c>
      <c r="J35" s="13">
        <v>119.8679245283019</v>
      </c>
      <c r="K35" s="7">
        <f t="shared" si="0"/>
        <v>125.861320754717</v>
      </c>
      <c r="L35" s="7">
        <f t="shared" si="1"/>
        <v>113.8745283018868</v>
      </c>
      <c r="M35" s="3" t="s">
        <v>1157</v>
      </c>
    </row>
    <row r="36" spans="1:13" x14ac:dyDescent="0.35">
      <c r="A36" s="11" t="s">
        <v>1174</v>
      </c>
      <c r="B36" s="11" t="s">
        <v>11</v>
      </c>
      <c r="C36" s="11" t="s">
        <v>37</v>
      </c>
      <c r="D36" s="11" t="s">
        <v>1175</v>
      </c>
      <c r="E36" s="11" t="s">
        <v>1124</v>
      </c>
      <c r="F36" s="20">
        <v>1</v>
      </c>
      <c r="G36" s="21">
        <v>3.01</v>
      </c>
      <c r="H36" s="13">
        <v>118.4883720930233</v>
      </c>
      <c r="I36" s="13">
        <v>118.4883720930233</v>
      </c>
      <c r="J36" s="13">
        <v>118.4883720930233</v>
      </c>
      <c r="K36" s="7">
        <f t="shared" si="0"/>
        <v>124.41279069767447</v>
      </c>
      <c r="L36" s="7">
        <f t="shared" si="1"/>
        <v>112.56395348837214</v>
      </c>
      <c r="M36" s="3" t="s">
        <v>1157</v>
      </c>
    </row>
    <row r="37" spans="1:13" x14ac:dyDescent="0.35">
      <c r="A37" s="11" t="s">
        <v>1176</v>
      </c>
      <c r="B37" s="11" t="s">
        <v>11</v>
      </c>
      <c r="C37" s="11" t="s">
        <v>37</v>
      </c>
      <c r="D37" s="11" t="s">
        <v>612</v>
      </c>
      <c r="E37" s="11" t="s">
        <v>1124</v>
      </c>
      <c r="F37" s="20">
        <v>3</v>
      </c>
      <c r="G37" s="21">
        <v>13.52</v>
      </c>
      <c r="H37" s="13">
        <v>82.975324675324671</v>
      </c>
      <c r="I37" s="13">
        <v>80.0455285221108</v>
      </c>
      <c r="J37" s="13">
        <v>83.849731303179581</v>
      </c>
      <c r="K37" s="7">
        <f t="shared" si="0"/>
        <v>87.12409090909091</v>
      </c>
      <c r="L37" s="7">
        <f t="shared" si="1"/>
        <v>78.826558441558433</v>
      </c>
      <c r="M37" s="3" t="s">
        <v>1157</v>
      </c>
    </row>
    <row r="38" spans="1:13" x14ac:dyDescent="0.35">
      <c r="A38" s="11" t="s">
        <v>1177</v>
      </c>
      <c r="B38" s="11" t="s">
        <v>11</v>
      </c>
      <c r="C38" s="11" t="s">
        <v>37</v>
      </c>
      <c r="D38" s="11" t="s">
        <v>1178</v>
      </c>
      <c r="E38" s="11" t="s">
        <v>1124</v>
      </c>
      <c r="F38" s="20">
        <v>61</v>
      </c>
      <c r="G38" s="21">
        <v>670.69000000000028</v>
      </c>
      <c r="H38" s="13">
        <v>118.4724919093851</v>
      </c>
      <c r="I38" s="13">
        <v>105.7732919254658</v>
      </c>
      <c r="J38" s="13">
        <v>126.4341342170671</v>
      </c>
      <c r="K38" s="7">
        <f t="shared" si="0"/>
        <v>124.39611650485436</v>
      </c>
      <c r="L38" s="7">
        <f t="shared" si="1"/>
        <v>112.54886731391584</v>
      </c>
      <c r="M38" s="3" t="s">
        <v>1140</v>
      </c>
    </row>
    <row r="39" spans="1:13" x14ac:dyDescent="0.35">
      <c r="A39" s="11" t="s">
        <v>1179</v>
      </c>
      <c r="B39" s="11" t="s">
        <v>11</v>
      </c>
      <c r="C39" s="11" t="s">
        <v>37</v>
      </c>
      <c r="D39" s="11" t="s">
        <v>114</v>
      </c>
      <c r="E39" s="11" t="s">
        <v>1124</v>
      </c>
      <c r="F39" s="20">
        <v>533</v>
      </c>
      <c r="G39" s="21">
        <v>4265.3599999999997</v>
      </c>
      <c r="H39" s="13">
        <v>108.3941093969144</v>
      </c>
      <c r="I39" s="13">
        <v>94.486524822695031</v>
      </c>
      <c r="J39" s="13">
        <v>124.1973684210526</v>
      </c>
      <c r="K39" s="7">
        <f t="shared" si="0"/>
        <v>113.81381486676013</v>
      </c>
      <c r="L39" s="7">
        <f t="shared" si="1"/>
        <v>102.97440392706868</v>
      </c>
      <c r="M39" s="3" t="s">
        <v>1125</v>
      </c>
    </row>
    <row r="40" spans="1:13" x14ac:dyDescent="0.35">
      <c r="A40" s="11" t="s">
        <v>1180</v>
      </c>
      <c r="B40" s="11" t="s">
        <v>11</v>
      </c>
      <c r="C40" s="11" t="s">
        <v>37</v>
      </c>
      <c r="D40" s="11" t="s">
        <v>1181</v>
      </c>
      <c r="E40" s="11" t="s">
        <v>1124</v>
      </c>
      <c r="F40" s="20">
        <v>2</v>
      </c>
      <c r="G40" s="21">
        <v>11.37</v>
      </c>
      <c r="H40" s="13">
        <v>102.0959416863672</v>
      </c>
      <c r="I40" s="13">
        <v>99.594267139479896</v>
      </c>
      <c r="J40" s="13">
        <v>104.5976162332545</v>
      </c>
      <c r="K40" s="7">
        <f t="shared" si="0"/>
        <v>107.20073877068556</v>
      </c>
      <c r="L40" s="7">
        <f t="shared" si="1"/>
        <v>96.991144602048834</v>
      </c>
      <c r="M40" s="3" t="s">
        <v>1182</v>
      </c>
    </row>
    <row r="41" spans="1:13" x14ac:dyDescent="0.35">
      <c r="A41" s="11" t="s">
        <v>1183</v>
      </c>
      <c r="B41" s="11" t="s">
        <v>11</v>
      </c>
      <c r="C41" s="11" t="s">
        <v>37</v>
      </c>
      <c r="D41" s="11" t="s">
        <v>1184</v>
      </c>
      <c r="E41" s="11" t="s">
        <v>1124</v>
      </c>
      <c r="F41" s="20">
        <v>2</v>
      </c>
      <c r="G41" s="21">
        <v>20.56</v>
      </c>
      <c r="H41" s="13">
        <v>108.86624513618681</v>
      </c>
      <c r="I41" s="13">
        <v>107.58292801556421</v>
      </c>
      <c r="J41" s="13">
        <v>110.1495622568093</v>
      </c>
      <c r="K41" s="7">
        <f t="shared" si="0"/>
        <v>114.30955739299615</v>
      </c>
      <c r="L41" s="7">
        <f t="shared" si="1"/>
        <v>103.42293287937746</v>
      </c>
      <c r="M41" s="3" t="s">
        <v>1185</v>
      </c>
    </row>
    <row r="42" spans="1:13" x14ac:dyDescent="0.35">
      <c r="A42" s="11" t="s">
        <v>1186</v>
      </c>
      <c r="B42" s="11" t="s">
        <v>11</v>
      </c>
      <c r="C42" s="11" t="s">
        <v>37</v>
      </c>
      <c r="D42" s="11" t="s">
        <v>972</v>
      </c>
      <c r="E42" s="11" t="s">
        <v>1124</v>
      </c>
      <c r="F42" s="20">
        <v>11</v>
      </c>
      <c r="G42" s="21">
        <v>40.36</v>
      </c>
      <c r="H42" s="13">
        <v>107.56</v>
      </c>
      <c r="I42" s="13">
        <v>103.19405405405401</v>
      </c>
      <c r="J42" s="13">
        <v>116.5856486486486</v>
      </c>
      <c r="K42" s="7">
        <f t="shared" si="0"/>
        <v>112.938</v>
      </c>
      <c r="L42" s="7">
        <f t="shared" si="1"/>
        <v>102.182</v>
      </c>
      <c r="M42" s="3" t="s">
        <v>1182</v>
      </c>
    </row>
    <row r="43" spans="1:13" x14ac:dyDescent="0.35">
      <c r="A43" s="11" t="s">
        <v>1187</v>
      </c>
      <c r="B43" s="11" t="s">
        <v>11</v>
      </c>
      <c r="C43" s="11" t="s">
        <v>37</v>
      </c>
      <c r="D43" s="11" t="s">
        <v>1188</v>
      </c>
      <c r="E43" s="11" t="s">
        <v>1124</v>
      </c>
      <c r="F43" s="20">
        <v>3</v>
      </c>
      <c r="G43" s="21">
        <v>11.85</v>
      </c>
      <c r="H43" s="13">
        <v>109.0436681222707</v>
      </c>
      <c r="I43" s="13">
        <v>108.61860825468371</v>
      </c>
      <c r="J43" s="13">
        <v>113.0742752907918</v>
      </c>
      <c r="K43" s="7">
        <f t="shared" si="0"/>
        <v>114.49585152838424</v>
      </c>
      <c r="L43" s="7">
        <f t="shared" si="1"/>
        <v>103.59148471615717</v>
      </c>
      <c r="M43" s="3" t="s">
        <v>1189</v>
      </c>
    </row>
    <row r="44" spans="1:13" x14ac:dyDescent="0.35">
      <c r="A44" s="11" t="s">
        <v>1190</v>
      </c>
      <c r="B44" s="11" t="s">
        <v>11</v>
      </c>
      <c r="C44" s="11" t="s">
        <v>37</v>
      </c>
      <c r="D44" s="11" t="s">
        <v>1005</v>
      </c>
      <c r="E44" s="11" t="s">
        <v>1124</v>
      </c>
      <c r="F44" s="20">
        <v>104</v>
      </c>
      <c r="G44" s="21">
        <v>831.48863572274536</v>
      </c>
      <c r="H44" s="13">
        <v>112.9314306546997</v>
      </c>
      <c r="I44" s="13">
        <v>99.677894957983185</v>
      </c>
      <c r="J44" s="13">
        <v>130.20660248575379</v>
      </c>
      <c r="K44" s="7">
        <f t="shared" si="0"/>
        <v>118.57800218743469</v>
      </c>
      <c r="L44" s="7">
        <f t="shared" si="1"/>
        <v>107.2848591219647</v>
      </c>
      <c r="M44" s="3" t="s">
        <v>1125</v>
      </c>
    </row>
    <row r="45" spans="1:13" x14ac:dyDescent="0.35">
      <c r="A45" s="11" t="s">
        <v>1191</v>
      </c>
      <c r="B45" s="11" t="s">
        <v>11</v>
      </c>
      <c r="C45" s="11" t="s">
        <v>37</v>
      </c>
      <c r="D45" s="11" t="s">
        <v>1192</v>
      </c>
      <c r="E45" s="11" t="s">
        <v>1124</v>
      </c>
      <c r="F45" s="20">
        <v>43</v>
      </c>
      <c r="G45" s="21">
        <v>264.2</v>
      </c>
      <c r="H45" s="13">
        <v>101.1757789535567</v>
      </c>
      <c r="I45" s="13">
        <v>85.565811160819393</v>
      </c>
      <c r="J45" s="13">
        <v>125.6513505331494</v>
      </c>
      <c r="K45" s="7">
        <f t="shared" si="0"/>
        <v>106.23456790123454</v>
      </c>
      <c r="L45" s="7">
        <f t="shared" si="1"/>
        <v>96.116990005878861</v>
      </c>
      <c r="M45" s="3" t="s">
        <v>1193</v>
      </c>
    </row>
    <row r="46" spans="1:13" x14ac:dyDescent="0.35">
      <c r="A46" s="11" t="s">
        <v>1194</v>
      </c>
      <c r="B46" s="11" t="s">
        <v>11</v>
      </c>
      <c r="C46" s="11" t="s">
        <v>37</v>
      </c>
      <c r="D46" s="11" t="s">
        <v>489</v>
      </c>
      <c r="E46" s="11" t="s">
        <v>1124</v>
      </c>
      <c r="F46" s="20">
        <v>575</v>
      </c>
      <c r="G46" s="21">
        <v>5690.16</v>
      </c>
      <c r="H46" s="13">
        <v>113.197247706422</v>
      </c>
      <c r="I46" s="13">
        <v>98.66361626322265</v>
      </c>
      <c r="J46" s="13">
        <v>127.3057455679039</v>
      </c>
      <c r="K46" s="7">
        <f t="shared" si="0"/>
        <v>118.85711009174311</v>
      </c>
      <c r="L46" s="7">
        <f t="shared" si="1"/>
        <v>107.5373853211009</v>
      </c>
      <c r="M46" s="3" t="s">
        <v>1125</v>
      </c>
    </row>
    <row r="47" spans="1:13" x14ac:dyDescent="0.35">
      <c r="A47" s="11" t="s">
        <v>1195</v>
      </c>
      <c r="B47" s="11" t="s">
        <v>11</v>
      </c>
      <c r="C47" s="11" t="s">
        <v>37</v>
      </c>
      <c r="D47" s="11" t="s">
        <v>146</v>
      </c>
      <c r="E47" s="11" t="s">
        <v>1124</v>
      </c>
      <c r="F47" s="20">
        <v>122</v>
      </c>
      <c r="G47" s="21">
        <v>793.49</v>
      </c>
      <c r="H47" s="13">
        <v>117.2706472977916</v>
      </c>
      <c r="I47" s="13">
        <v>92.932426568758345</v>
      </c>
      <c r="J47" s="13">
        <v>132.4151055967564</v>
      </c>
      <c r="K47" s="7">
        <f t="shared" si="0"/>
        <v>123.13417966268118</v>
      </c>
      <c r="L47" s="7">
        <f t="shared" si="1"/>
        <v>111.40711493290202</v>
      </c>
      <c r="M47" s="3" t="s">
        <v>1125</v>
      </c>
    </row>
    <row r="48" spans="1:13" x14ac:dyDescent="0.35">
      <c r="A48" s="11" t="s">
        <v>1196</v>
      </c>
      <c r="B48" s="11" t="s">
        <v>11</v>
      </c>
      <c r="C48" s="11" t="s">
        <v>37</v>
      </c>
      <c r="D48" s="11" t="s">
        <v>1197</v>
      </c>
      <c r="E48" s="11" t="s">
        <v>1124</v>
      </c>
      <c r="F48" s="20">
        <v>4</v>
      </c>
      <c r="G48" s="21">
        <v>13.88</v>
      </c>
      <c r="H48" s="13">
        <v>117.60230547550429</v>
      </c>
      <c r="I48" s="13">
        <v>109.078530259366</v>
      </c>
      <c r="J48" s="13">
        <v>125.6404899135447</v>
      </c>
      <c r="K48" s="7">
        <f t="shared" si="0"/>
        <v>123.48242074927951</v>
      </c>
      <c r="L48" s="7">
        <f t="shared" si="1"/>
        <v>111.72219020172908</v>
      </c>
      <c r="M48" s="3" t="s">
        <v>1198</v>
      </c>
    </row>
    <row r="49" spans="1:13" x14ac:dyDescent="0.35">
      <c r="A49" s="11" t="s">
        <v>1199</v>
      </c>
      <c r="B49" s="11" t="s">
        <v>11</v>
      </c>
      <c r="C49" s="11" t="s">
        <v>37</v>
      </c>
      <c r="D49" s="11" t="s">
        <v>1200</v>
      </c>
      <c r="E49" s="11" t="s">
        <v>1124</v>
      </c>
      <c r="F49" s="20">
        <v>3</v>
      </c>
      <c r="G49" s="21">
        <v>32.200000000000003</v>
      </c>
      <c r="H49" s="13">
        <v>105.6659090909091</v>
      </c>
      <c r="I49" s="13">
        <v>98.805568653338355</v>
      </c>
      <c r="J49" s="13">
        <v>112.1924259110933</v>
      </c>
      <c r="K49" s="7">
        <f t="shared" si="0"/>
        <v>110.94920454545455</v>
      </c>
      <c r="L49" s="7">
        <f t="shared" si="1"/>
        <v>100.38261363636364</v>
      </c>
      <c r="M49" s="3" t="s">
        <v>1189</v>
      </c>
    </row>
    <row r="50" spans="1:13" x14ac:dyDescent="0.35">
      <c r="A50" s="11" t="s">
        <v>1201</v>
      </c>
      <c r="B50" s="11" t="s">
        <v>11</v>
      </c>
      <c r="C50" s="11" t="s">
        <v>37</v>
      </c>
      <c r="D50" s="11" t="s">
        <v>1202</v>
      </c>
      <c r="E50" s="11" t="s">
        <v>1124</v>
      </c>
      <c r="F50" s="20">
        <v>1</v>
      </c>
      <c r="G50" s="21">
        <v>3.21</v>
      </c>
      <c r="H50" s="13">
        <v>92.436137071651103</v>
      </c>
      <c r="I50" s="13">
        <v>92.436137071651103</v>
      </c>
      <c r="J50" s="13">
        <v>92.436137071651103</v>
      </c>
      <c r="K50" s="7">
        <f t="shared" si="0"/>
        <v>97.057943925233658</v>
      </c>
      <c r="L50" s="7">
        <f t="shared" si="1"/>
        <v>87.814330218068548</v>
      </c>
      <c r="M50" s="3" t="s">
        <v>1189</v>
      </c>
    </row>
    <row r="51" spans="1:13" x14ac:dyDescent="0.35">
      <c r="A51" s="11" t="s">
        <v>1203</v>
      </c>
      <c r="B51" s="11" t="s">
        <v>11</v>
      </c>
      <c r="C51" s="11" t="s">
        <v>37</v>
      </c>
      <c r="D51" s="11" t="s">
        <v>1204</v>
      </c>
      <c r="E51" s="11" t="s">
        <v>1124</v>
      </c>
      <c r="F51" s="20">
        <v>3</v>
      </c>
      <c r="G51" s="21">
        <v>8.2200000000000006</v>
      </c>
      <c r="H51" s="13">
        <v>69.072992700729912</v>
      </c>
      <c r="I51" s="13">
        <v>60.0419708029197</v>
      </c>
      <c r="J51" s="13">
        <v>85.872262773722611</v>
      </c>
      <c r="K51" s="7">
        <f t="shared" si="0"/>
        <v>72.526642335766411</v>
      </c>
      <c r="L51" s="7">
        <f t="shared" si="1"/>
        <v>65.619343065693414</v>
      </c>
      <c r="M51" s="3" t="s">
        <v>1158</v>
      </c>
    </row>
    <row r="52" spans="1:13" x14ac:dyDescent="0.35">
      <c r="A52" s="11" t="s">
        <v>80</v>
      </c>
      <c r="B52" s="11" t="s">
        <v>11</v>
      </c>
      <c r="C52" s="11" t="s">
        <v>37</v>
      </c>
      <c r="D52" s="11" t="s">
        <v>78</v>
      </c>
      <c r="E52" s="11" t="s">
        <v>1124</v>
      </c>
      <c r="F52" s="20">
        <v>25</v>
      </c>
      <c r="G52" s="21">
        <v>142.79</v>
      </c>
      <c r="H52" s="13">
        <v>110.9357798165138</v>
      </c>
      <c r="I52" s="13">
        <v>85.026595744680861</v>
      </c>
      <c r="J52" s="13">
        <v>124.6465696465696</v>
      </c>
      <c r="K52" s="7">
        <f t="shared" si="0"/>
        <v>116.48256880733949</v>
      </c>
      <c r="L52" s="7">
        <f t="shared" si="1"/>
        <v>105.38899082568811</v>
      </c>
      <c r="M52" s="3" t="s">
        <v>1148</v>
      </c>
    </row>
    <row r="53" spans="1:13" x14ac:dyDescent="0.35">
      <c r="A53" s="11" t="s">
        <v>1205</v>
      </c>
      <c r="B53" s="11" t="s">
        <v>11</v>
      </c>
      <c r="C53" s="11" t="s">
        <v>37</v>
      </c>
      <c r="D53" s="11" t="s">
        <v>237</v>
      </c>
      <c r="E53" s="11" t="s">
        <v>1124</v>
      </c>
      <c r="F53" s="20">
        <v>152</v>
      </c>
      <c r="G53" s="21">
        <v>860.77</v>
      </c>
      <c r="H53" s="13">
        <v>94.994610064578254</v>
      </c>
      <c r="I53" s="13">
        <v>75.943114746983781</v>
      </c>
      <c r="J53" s="13">
        <v>113.78281863979851</v>
      </c>
      <c r="K53" s="7">
        <f t="shared" si="0"/>
        <v>99.744340567807171</v>
      </c>
      <c r="L53" s="7">
        <f t="shared" si="1"/>
        <v>90.244879561349336</v>
      </c>
      <c r="M53" s="3" t="s">
        <v>1125</v>
      </c>
    </row>
    <row r="54" spans="1:13" x14ac:dyDescent="0.35">
      <c r="A54" s="11" t="s">
        <v>218</v>
      </c>
      <c r="B54" s="11" t="s">
        <v>11</v>
      </c>
      <c r="C54" s="11" t="s">
        <v>37</v>
      </c>
      <c r="D54" s="11" t="s">
        <v>88</v>
      </c>
      <c r="E54" s="11" t="s">
        <v>1124</v>
      </c>
      <c r="F54" s="20">
        <v>483</v>
      </c>
      <c r="G54" s="21">
        <v>4690.17</v>
      </c>
      <c r="H54" s="13">
        <v>110.4166666666667</v>
      </c>
      <c r="I54" s="13">
        <v>92.305324199442794</v>
      </c>
      <c r="J54" s="13">
        <v>129.6650856915106</v>
      </c>
      <c r="K54" s="7">
        <f t="shared" si="0"/>
        <v>115.93750000000004</v>
      </c>
      <c r="L54" s="7">
        <f t="shared" si="1"/>
        <v>104.89583333333336</v>
      </c>
      <c r="M54" s="3" t="s">
        <v>1125</v>
      </c>
    </row>
    <row r="55" spans="1:13" x14ac:dyDescent="0.35">
      <c r="A55" s="11" t="s">
        <v>1206</v>
      </c>
      <c r="B55" s="11" t="s">
        <v>11</v>
      </c>
      <c r="C55" s="11" t="s">
        <v>30</v>
      </c>
      <c r="D55" s="11" t="s">
        <v>150</v>
      </c>
      <c r="E55" s="11" t="s">
        <v>84</v>
      </c>
      <c r="F55" s="20">
        <v>33</v>
      </c>
      <c r="G55" s="21">
        <v>328.06</v>
      </c>
      <c r="H55" s="13">
        <v>100.6312326869806</v>
      </c>
      <c r="I55" s="13">
        <v>92.306250000000006</v>
      </c>
      <c r="J55" s="13">
        <v>116.9166666666667</v>
      </c>
      <c r="K55" s="7">
        <f t="shared" si="0"/>
        <v>105.66279432132963</v>
      </c>
      <c r="L55" s="7">
        <f t="shared" si="1"/>
        <v>95.599671052631564</v>
      </c>
      <c r="M55" s="3" t="s">
        <v>1207</v>
      </c>
    </row>
    <row r="56" spans="1:13" x14ac:dyDescent="0.35">
      <c r="A56" s="11" t="s">
        <v>151</v>
      </c>
      <c r="B56" s="11" t="s">
        <v>11</v>
      </c>
      <c r="C56" s="11" t="s">
        <v>30</v>
      </c>
      <c r="D56" s="11" t="s">
        <v>150</v>
      </c>
      <c r="E56" s="11" t="s">
        <v>43</v>
      </c>
      <c r="F56" s="20">
        <v>49</v>
      </c>
      <c r="G56" s="21">
        <v>440.28</v>
      </c>
      <c r="H56" s="13">
        <v>94.177993527508093</v>
      </c>
      <c r="I56" s="13">
        <v>81.344580043072511</v>
      </c>
      <c r="J56" s="13">
        <v>109.33171521035599</v>
      </c>
      <c r="K56" s="7">
        <f t="shared" si="0"/>
        <v>98.886893203883503</v>
      </c>
      <c r="L56" s="7">
        <f t="shared" si="1"/>
        <v>89.469093851132683</v>
      </c>
      <c r="M56" s="3" t="s">
        <v>1208</v>
      </c>
    </row>
    <row r="57" spans="1:13" x14ac:dyDescent="0.35">
      <c r="A57" s="11" t="s">
        <v>1209</v>
      </c>
      <c r="B57" s="11" t="s">
        <v>11</v>
      </c>
      <c r="C57" s="11" t="s">
        <v>30</v>
      </c>
      <c r="D57" s="11" t="s">
        <v>150</v>
      </c>
      <c r="E57" s="11" t="s">
        <v>89</v>
      </c>
      <c r="F57" s="20">
        <v>5</v>
      </c>
      <c r="G57" s="21">
        <v>46.349999999999987</v>
      </c>
      <c r="H57" s="13">
        <v>113.7971952535059</v>
      </c>
      <c r="I57" s="13">
        <v>110.3710895361381</v>
      </c>
      <c r="J57" s="13">
        <v>120.1790722761597</v>
      </c>
      <c r="K57" s="7">
        <f t="shared" si="0"/>
        <v>119.4870550161812</v>
      </c>
      <c r="L57" s="7">
        <f t="shared" si="1"/>
        <v>108.10733549083061</v>
      </c>
      <c r="M57" s="3" t="s">
        <v>1145</v>
      </c>
    </row>
    <row r="58" spans="1:13" x14ac:dyDescent="0.35">
      <c r="A58" s="11" t="s">
        <v>1210</v>
      </c>
      <c r="B58" s="11" t="s">
        <v>11</v>
      </c>
      <c r="C58" s="11" t="s">
        <v>30</v>
      </c>
      <c r="D58" s="11" t="s">
        <v>150</v>
      </c>
      <c r="E58" s="11" t="s">
        <v>147</v>
      </c>
      <c r="F58" s="20">
        <v>8</v>
      </c>
      <c r="G58" s="21">
        <v>22.25</v>
      </c>
      <c r="H58" s="13">
        <v>75.351195620858547</v>
      </c>
      <c r="I58" s="13">
        <v>69.794375000000002</v>
      </c>
      <c r="J58" s="13">
        <v>83.051249999999996</v>
      </c>
      <c r="K58" s="7">
        <f t="shared" si="0"/>
        <v>79.118755401901481</v>
      </c>
      <c r="L58" s="7">
        <f t="shared" si="1"/>
        <v>71.583635839815614</v>
      </c>
      <c r="M58" s="3" t="s">
        <v>1211</v>
      </c>
    </row>
    <row r="59" spans="1:13" x14ac:dyDescent="0.35">
      <c r="A59" s="11" t="s">
        <v>1212</v>
      </c>
      <c r="B59" s="11" t="s">
        <v>11</v>
      </c>
      <c r="C59" s="11" t="s">
        <v>30</v>
      </c>
      <c r="D59" s="11" t="s">
        <v>150</v>
      </c>
      <c r="E59" s="11" t="s">
        <v>99</v>
      </c>
      <c r="F59" s="20">
        <v>19</v>
      </c>
      <c r="G59" s="21">
        <v>36.76</v>
      </c>
      <c r="H59" s="13">
        <v>84.690196078431384</v>
      </c>
      <c r="I59" s="13">
        <v>70.801359283286985</v>
      </c>
      <c r="J59" s="13">
        <v>99.643137254901973</v>
      </c>
      <c r="K59" s="7">
        <f t="shared" si="0"/>
        <v>88.924705882352953</v>
      </c>
      <c r="L59" s="7">
        <f t="shared" si="1"/>
        <v>80.455686274509816</v>
      </c>
      <c r="M59" s="3" t="s">
        <v>1208</v>
      </c>
    </row>
    <row r="60" spans="1:13" x14ac:dyDescent="0.35">
      <c r="A60" s="11" t="s">
        <v>1213</v>
      </c>
      <c r="B60" s="11" t="s">
        <v>11</v>
      </c>
      <c r="C60" s="11" t="s">
        <v>30</v>
      </c>
      <c r="D60" s="11" t="s">
        <v>150</v>
      </c>
      <c r="E60" s="11" t="s">
        <v>230</v>
      </c>
      <c r="F60" s="20">
        <v>5</v>
      </c>
      <c r="G60" s="21">
        <v>30.45</v>
      </c>
      <c r="H60" s="13">
        <v>77.81609195402298</v>
      </c>
      <c r="I60" s="13">
        <v>61.221674876847288</v>
      </c>
      <c r="J60" s="13">
        <v>94.2807881773399</v>
      </c>
      <c r="K60" s="7">
        <f t="shared" si="0"/>
        <v>81.706896551724128</v>
      </c>
      <c r="L60" s="7">
        <f t="shared" si="1"/>
        <v>73.925287356321832</v>
      </c>
      <c r="M60" s="3" t="s">
        <v>1211</v>
      </c>
    </row>
    <row r="61" spans="1:13" x14ac:dyDescent="0.35">
      <c r="A61" s="11" t="s">
        <v>1214</v>
      </c>
      <c r="B61" s="11" t="s">
        <v>11</v>
      </c>
      <c r="C61" s="11" t="s">
        <v>30</v>
      </c>
      <c r="D61" s="11" t="s">
        <v>150</v>
      </c>
      <c r="E61" s="11" t="s">
        <v>524</v>
      </c>
      <c r="F61" s="20">
        <v>4</v>
      </c>
      <c r="G61" s="21">
        <v>13.56</v>
      </c>
      <c r="H61" s="13">
        <v>106.30678466076699</v>
      </c>
      <c r="I61" s="13">
        <v>97.407079646017706</v>
      </c>
      <c r="J61" s="13">
        <v>115.2131268436578</v>
      </c>
      <c r="K61" s="7">
        <f t="shared" si="0"/>
        <v>111.62212389380535</v>
      </c>
      <c r="L61" s="7">
        <f t="shared" si="1"/>
        <v>100.99144542772864</v>
      </c>
      <c r="M61" s="3" t="s">
        <v>1215</v>
      </c>
    </row>
    <row r="62" spans="1:13" x14ac:dyDescent="0.35">
      <c r="A62" s="11" t="s">
        <v>1216</v>
      </c>
      <c r="B62" s="11" t="s">
        <v>11</v>
      </c>
      <c r="C62" s="11" t="s">
        <v>30</v>
      </c>
      <c r="D62" s="11" t="s">
        <v>150</v>
      </c>
      <c r="E62" s="11" t="s">
        <v>338</v>
      </c>
      <c r="F62" s="20">
        <v>16</v>
      </c>
      <c r="G62" s="21">
        <v>117.64</v>
      </c>
      <c r="H62" s="13">
        <v>104.3619852345777</v>
      </c>
      <c r="I62" s="13">
        <v>95.309115396691624</v>
      </c>
      <c r="J62" s="13">
        <v>111.422384811451</v>
      </c>
      <c r="K62" s="7">
        <f t="shared" si="0"/>
        <v>109.5800844963066</v>
      </c>
      <c r="L62" s="7">
        <f t="shared" si="1"/>
        <v>99.143885972848807</v>
      </c>
      <c r="M62" s="3" t="s">
        <v>1207</v>
      </c>
    </row>
    <row r="63" spans="1:13" x14ac:dyDescent="0.35">
      <c r="A63" s="11" t="s">
        <v>1217</v>
      </c>
      <c r="B63" s="11" t="s">
        <v>11</v>
      </c>
      <c r="C63" s="11" t="s">
        <v>30</v>
      </c>
      <c r="D63" s="11" t="s">
        <v>150</v>
      </c>
      <c r="E63" s="11" t="s">
        <v>28</v>
      </c>
      <c r="F63" s="20">
        <v>6</v>
      </c>
      <c r="G63" s="21">
        <v>12.48</v>
      </c>
      <c r="H63" s="13">
        <v>114.8629807692308</v>
      </c>
      <c r="I63" s="13">
        <v>102.6213942307692</v>
      </c>
      <c r="J63" s="13">
        <v>122.4819711538462</v>
      </c>
      <c r="K63" s="7">
        <f t="shared" si="0"/>
        <v>120.60612980769234</v>
      </c>
      <c r="L63" s="7">
        <f t="shared" si="1"/>
        <v>109.11983173076926</v>
      </c>
      <c r="M63" s="3" t="s">
        <v>1143</v>
      </c>
    </row>
    <row r="64" spans="1:13" x14ac:dyDescent="0.35">
      <c r="A64" s="11" t="s">
        <v>1218</v>
      </c>
      <c r="B64" s="11" t="s">
        <v>11</v>
      </c>
      <c r="C64" s="11" t="s">
        <v>30</v>
      </c>
      <c r="D64" s="11" t="s">
        <v>150</v>
      </c>
      <c r="E64" s="11" t="s">
        <v>131</v>
      </c>
      <c r="F64" s="20">
        <v>28</v>
      </c>
      <c r="G64" s="21">
        <v>199.24</v>
      </c>
      <c r="H64" s="13">
        <v>87.059422977956942</v>
      </c>
      <c r="I64" s="13">
        <v>67.4133633771728</v>
      </c>
      <c r="J64" s="13">
        <v>106.0605824582159</v>
      </c>
      <c r="K64" s="7">
        <f t="shared" si="0"/>
        <v>91.412394126854792</v>
      </c>
      <c r="L64" s="7">
        <f t="shared" si="1"/>
        <v>82.706451829059091</v>
      </c>
      <c r="M64" s="3" t="s">
        <v>1127</v>
      </c>
    </row>
    <row r="65" spans="1:13" x14ac:dyDescent="0.35">
      <c r="A65" s="11" t="s">
        <v>1219</v>
      </c>
      <c r="B65" s="11" t="s">
        <v>11</v>
      </c>
      <c r="C65" s="11" t="s">
        <v>30</v>
      </c>
      <c r="D65" s="11" t="s">
        <v>1129</v>
      </c>
      <c r="E65" s="11" t="s">
        <v>39</v>
      </c>
      <c r="F65" s="20">
        <v>6</v>
      </c>
      <c r="G65" s="21">
        <v>8.4599999999999991</v>
      </c>
      <c r="H65" s="13">
        <v>124.75177304964539</v>
      </c>
      <c r="I65" s="13">
        <v>122.4432624113475</v>
      </c>
      <c r="J65" s="13">
        <v>128.52836879432621</v>
      </c>
      <c r="K65" s="7">
        <f t="shared" si="0"/>
        <v>130.98936170212767</v>
      </c>
      <c r="L65" s="7">
        <f t="shared" si="1"/>
        <v>118.51418439716312</v>
      </c>
      <c r="M65" s="3" t="s">
        <v>1130</v>
      </c>
    </row>
    <row r="66" spans="1:13" x14ac:dyDescent="0.35">
      <c r="A66" s="11" t="s">
        <v>1220</v>
      </c>
      <c r="B66" s="11" t="s">
        <v>11</v>
      </c>
      <c r="C66" s="11" t="s">
        <v>30</v>
      </c>
      <c r="D66" s="11" t="s">
        <v>1129</v>
      </c>
      <c r="E66" s="11" t="s">
        <v>43</v>
      </c>
      <c r="F66" s="20">
        <v>4</v>
      </c>
      <c r="G66" s="21">
        <v>18.16</v>
      </c>
      <c r="H66" s="13">
        <v>96.707048458149785</v>
      </c>
      <c r="I66" s="13">
        <v>90.680066079295159</v>
      </c>
      <c r="J66" s="13">
        <v>104.2968061674009</v>
      </c>
      <c r="K66" s="7">
        <f t="shared" si="0"/>
        <v>101.54240088105728</v>
      </c>
      <c r="L66" s="7">
        <f t="shared" si="1"/>
        <v>91.871696035242294</v>
      </c>
      <c r="M66" s="3" t="s">
        <v>1221</v>
      </c>
    </row>
    <row r="67" spans="1:13" x14ac:dyDescent="0.35">
      <c r="A67" s="11" t="s">
        <v>1222</v>
      </c>
      <c r="B67" s="11" t="s">
        <v>11</v>
      </c>
      <c r="C67" s="11" t="s">
        <v>30</v>
      </c>
      <c r="D67" s="11" t="s">
        <v>1129</v>
      </c>
      <c r="E67" s="11" t="s">
        <v>131</v>
      </c>
      <c r="F67" s="20">
        <v>2</v>
      </c>
      <c r="G67" s="21">
        <v>11.88</v>
      </c>
      <c r="H67" s="13">
        <v>126.1624579124579</v>
      </c>
      <c r="I67" s="13">
        <v>125.2807239057239</v>
      </c>
      <c r="J67" s="13">
        <v>127.0441919191919</v>
      </c>
      <c r="K67" s="7">
        <f t="shared" si="0"/>
        <v>132.4705808080808</v>
      </c>
      <c r="L67" s="7">
        <f t="shared" si="1"/>
        <v>119.85433501683499</v>
      </c>
      <c r="M67" s="3" t="s">
        <v>1223</v>
      </c>
    </row>
    <row r="68" spans="1:13" x14ac:dyDescent="0.35">
      <c r="A68" s="11" t="s">
        <v>1224</v>
      </c>
      <c r="B68" s="11" t="s">
        <v>11</v>
      </c>
      <c r="C68" s="11" t="s">
        <v>30</v>
      </c>
      <c r="D68" s="11" t="s">
        <v>1002</v>
      </c>
      <c r="E68" s="11" t="s">
        <v>101</v>
      </c>
      <c r="F68" s="20">
        <v>9</v>
      </c>
      <c r="G68" s="21">
        <v>127.06</v>
      </c>
      <c r="H68" s="13">
        <v>96.397867564534224</v>
      </c>
      <c r="I68" s="13">
        <v>87.387931034482762</v>
      </c>
      <c r="J68" s="13">
        <v>111.4057239057239</v>
      </c>
      <c r="K68" s="7">
        <f t="shared" si="0"/>
        <v>101.21776094276093</v>
      </c>
      <c r="L68" s="7">
        <f t="shared" si="1"/>
        <v>91.577974186307515</v>
      </c>
      <c r="M68" s="3" t="s">
        <v>1182</v>
      </c>
    </row>
    <row r="69" spans="1:13" x14ac:dyDescent="0.35">
      <c r="A69" s="11" t="s">
        <v>1225</v>
      </c>
      <c r="B69" s="11" t="s">
        <v>11</v>
      </c>
      <c r="C69" s="11" t="s">
        <v>30</v>
      </c>
      <c r="D69" s="11" t="s">
        <v>1002</v>
      </c>
      <c r="E69" s="11" t="s">
        <v>393</v>
      </c>
      <c r="F69" s="20">
        <v>3</v>
      </c>
      <c r="G69" s="21">
        <v>34.650000000000013</v>
      </c>
      <c r="H69" s="13">
        <v>92.208658008658006</v>
      </c>
      <c r="I69" s="13">
        <v>88.038961038961034</v>
      </c>
      <c r="J69" s="13">
        <v>98.839393939393943</v>
      </c>
      <c r="K69" s="7">
        <f t="shared" ref="K69:K132" si="2">H69*(1+$B$2)</f>
        <v>96.819090909090903</v>
      </c>
      <c r="L69" s="7">
        <f t="shared" ref="L69:L132" si="3">H69*(1-$B$2)</f>
        <v>87.598225108225108</v>
      </c>
      <c r="M69" s="3" t="s">
        <v>1226</v>
      </c>
    </row>
    <row r="70" spans="1:13" x14ac:dyDescent="0.35">
      <c r="A70" s="11" t="s">
        <v>1227</v>
      </c>
      <c r="B70" s="11" t="s">
        <v>11</v>
      </c>
      <c r="C70" s="11" t="s">
        <v>30</v>
      </c>
      <c r="D70" s="11" t="s">
        <v>1002</v>
      </c>
      <c r="E70" s="11" t="s">
        <v>62</v>
      </c>
      <c r="F70" s="20">
        <v>10</v>
      </c>
      <c r="G70" s="21">
        <v>30.73</v>
      </c>
      <c r="H70" s="13">
        <v>131.79867986798681</v>
      </c>
      <c r="I70" s="13">
        <v>120.4818481848185</v>
      </c>
      <c r="J70" s="13">
        <v>139.26897689768981</v>
      </c>
      <c r="K70" s="7">
        <f t="shared" si="2"/>
        <v>138.38861386138615</v>
      </c>
      <c r="L70" s="7">
        <f t="shared" si="3"/>
        <v>125.20874587458746</v>
      </c>
      <c r="M70" s="3" t="s">
        <v>1125</v>
      </c>
    </row>
    <row r="71" spans="1:13" x14ac:dyDescent="0.35">
      <c r="A71" s="11" t="s">
        <v>1228</v>
      </c>
      <c r="B71" s="11" t="s">
        <v>11</v>
      </c>
      <c r="C71" s="11" t="s">
        <v>30</v>
      </c>
      <c r="D71" s="11" t="s">
        <v>1002</v>
      </c>
      <c r="E71" s="11" t="s">
        <v>39</v>
      </c>
      <c r="F71" s="20">
        <v>15</v>
      </c>
      <c r="G71" s="21">
        <v>89.830000000000027</v>
      </c>
      <c r="H71" s="13">
        <v>126.1149425287356</v>
      </c>
      <c r="I71" s="13">
        <v>110.41949429880469</v>
      </c>
      <c r="J71" s="13">
        <v>134.63304093567251</v>
      </c>
      <c r="K71" s="7">
        <f t="shared" si="2"/>
        <v>132.4206896551724</v>
      </c>
      <c r="L71" s="7">
        <f t="shared" si="3"/>
        <v>119.80919540229881</v>
      </c>
      <c r="M71" s="3" t="s">
        <v>1182</v>
      </c>
    </row>
    <row r="72" spans="1:13" x14ac:dyDescent="0.35">
      <c r="A72" s="11" t="s">
        <v>1229</v>
      </c>
      <c r="B72" s="11" t="s">
        <v>11</v>
      </c>
      <c r="C72" s="11" t="s">
        <v>30</v>
      </c>
      <c r="D72" s="11" t="s">
        <v>1002</v>
      </c>
      <c r="E72" s="11" t="s">
        <v>43</v>
      </c>
      <c r="F72" s="20">
        <v>18</v>
      </c>
      <c r="G72" s="21">
        <v>139.57</v>
      </c>
      <c r="H72" s="13">
        <v>104.73705722070849</v>
      </c>
      <c r="I72" s="13">
        <v>98.750038357717557</v>
      </c>
      <c r="J72" s="13">
        <v>113.6773716910845</v>
      </c>
      <c r="K72" s="7">
        <f t="shared" si="2"/>
        <v>109.97391008174392</v>
      </c>
      <c r="L72" s="7">
        <f t="shared" si="3"/>
        <v>99.500204359673063</v>
      </c>
      <c r="M72" s="3" t="s">
        <v>1193</v>
      </c>
    </row>
    <row r="73" spans="1:13" x14ac:dyDescent="0.35">
      <c r="A73" s="11" t="s">
        <v>1230</v>
      </c>
      <c r="B73" s="11" t="s">
        <v>11</v>
      </c>
      <c r="C73" s="11" t="s">
        <v>30</v>
      </c>
      <c r="D73" s="11" t="s">
        <v>1002</v>
      </c>
      <c r="E73" s="11" t="s">
        <v>332</v>
      </c>
      <c r="F73" s="20">
        <v>4</v>
      </c>
      <c r="G73" s="21">
        <v>21.32</v>
      </c>
      <c r="H73" s="13">
        <v>87.244840525328328</v>
      </c>
      <c r="I73" s="13">
        <v>78.600844277673545</v>
      </c>
      <c r="J73" s="13">
        <v>94.04831144465291</v>
      </c>
      <c r="K73" s="7">
        <f t="shared" si="2"/>
        <v>91.607082551594743</v>
      </c>
      <c r="L73" s="7">
        <f t="shared" si="3"/>
        <v>82.882598499061913</v>
      </c>
      <c r="M73" s="3" t="s">
        <v>1231</v>
      </c>
    </row>
    <row r="74" spans="1:13" x14ac:dyDescent="0.35">
      <c r="A74" s="11" t="s">
        <v>1232</v>
      </c>
      <c r="B74" s="11" t="s">
        <v>11</v>
      </c>
      <c r="C74" s="11" t="s">
        <v>30</v>
      </c>
      <c r="D74" s="11" t="s">
        <v>1002</v>
      </c>
      <c r="E74" s="11" t="s">
        <v>196</v>
      </c>
      <c r="F74" s="20">
        <v>3</v>
      </c>
      <c r="G74" s="21">
        <v>28.5</v>
      </c>
      <c r="H74" s="13">
        <v>116.9788421052632</v>
      </c>
      <c r="I74" s="13">
        <v>109.2738947368421</v>
      </c>
      <c r="J74" s="13">
        <v>123.28610526315791</v>
      </c>
      <c r="K74" s="7">
        <f t="shared" si="2"/>
        <v>122.82778421052636</v>
      </c>
      <c r="L74" s="7">
        <f t="shared" si="3"/>
        <v>111.12990000000003</v>
      </c>
      <c r="M74" s="3" t="s">
        <v>1226</v>
      </c>
    </row>
    <row r="75" spans="1:13" x14ac:dyDescent="0.35">
      <c r="A75" s="11" t="s">
        <v>1233</v>
      </c>
      <c r="B75" s="11" t="s">
        <v>11</v>
      </c>
      <c r="C75" s="11" t="s">
        <v>30</v>
      </c>
      <c r="D75" s="11" t="s">
        <v>1002</v>
      </c>
      <c r="E75" s="11" t="s">
        <v>35</v>
      </c>
      <c r="F75" s="20">
        <v>9</v>
      </c>
      <c r="G75" s="21">
        <v>113.58</v>
      </c>
      <c r="H75" s="13">
        <v>126.311410459588</v>
      </c>
      <c r="I75" s="13">
        <v>121.1204437400951</v>
      </c>
      <c r="J75" s="13">
        <v>136.5206022187005</v>
      </c>
      <c r="K75" s="7">
        <f t="shared" si="2"/>
        <v>132.6269809825674</v>
      </c>
      <c r="L75" s="7">
        <f t="shared" si="3"/>
        <v>119.9958399366086</v>
      </c>
      <c r="M75" s="3" t="s">
        <v>1152</v>
      </c>
    </row>
    <row r="76" spans="1:13" x14ac:dyDescent="0.35">
      <c r="A76" s="11" t="s">
        <v>1234</v>
      </c>
      <c r="B76" s="11" t="s">
        <v>11</v>
      </c>
      <c r="C76" s="11" t="s">
        <v>30</v>
      </c>
      <c r="D76" s="11" t="s">
        <v>1002</v>
      </c>
      <c r="E76" s="11" t="s">
        <v>328</v>
      </c>
      <c r="F76" s="20">
        <v>1</v>
      </c>
      <c r="G76" s="21">
        <v>4.6900000000000004</v>
      </c>
      <c r="H76" s="13">
        <v>86.684434968017058</v>
      </c>
      <c r="I76" s="13">
        <v>86.684434968017058</v>
      </c>
      <c r="J76" s="13">
        <v>86.684434968017058</v>
      </c>
      <c r="K76" s="7">
        <f t="shared" si="2"/>
        <v>91.018656716417908</v>
      </c>
      <c r="L76" s="7">
        <f t="shared" si="3"/>
        <v>82.350213219616208</v>
      </c>
      <c r="M76" s="3" t="s">
        <v>1189</v>
      </c>
    </row>
    <row r="77" spans="1:13" x14ac:dyDescent="0.35">
      <c r="A77" s="11" t="s">
        <v>1235</v>
      </c>
      <c r="B77" s="11" t="s">
        <v>11</v>
      </c>
      <c r="C77" s="11" t="s">
        <v>30</v>
      </c>
      <c r="D77" s="11" t="s">
        <v>1002</v>
      </c>
      <c r="E77" s="11" t="s">
        <v>73</v>
      </c>
      <c r="F77" s="20">
        <v>9</v>
      </c>
      <c r="G77" s="21">
        <v>40.950000000000003</v>
      </c>
      <c r="H77" s="13">
        <v>127.5494505494506</v>
      </c>
      <c r="I77" s="13">
        <v>112.5692307692308</v>
      </c>
      <c r="J77" s="13">
        <v>133.03516483516481</v>
      </c>
      <c r="K77" s="7">
        <f t="shared" si="2"/>
        <v>133.92692307692315</v>
      </c>
      <c r="L77" s="7">
        <f t="shared" si="3"/>
        <v>121.17197802197806</v>
      </c>
      <c r="M77" s="3" t="s">
        <v>1125</v>
      </c>
    </row>
    <row r="78" spans="1:13" x14ac:dyDescent="0.35">
      <c r="A78" s="11" t="s">
        <v>1236</v>
      </c>
      <c r="B78" s="11" t="s">
        <v>11</v>
      </c>
      <c r="C78" s="11" t="s">
        <v>30</v>
      </c>
      <c r="D78" s="11" t="s">
        <v>1002</v>
      </c>
      <c r="E78" s="11" t="s">
        <v>147</v>
      </c>
      <c r="F78" s="20">
        <v>8</v>
      </c>
      <c r="G78" s="21">
        <v>70.960000000000008</v>
      </c>
      <c r="H78" s="13">
        <v>107.7326388888889</v>
      </c>
      <c r="I78" s="13">
        <v>98.859660574412516</v>
      </c>
      <c r="J78" s="13">
        <v>112.1725134951718</v>
      </c>
      <c r="K78" s="7">
        <f t="shared" si="2"/>
        <v>113.11927083333335</v>
      </c>
      <c r="L78" s="7">
        <f t="shared" si="3"/>
        <v>102.34600694444445</v>
      </c>
      <c r="M78" s="3" t="s">
        <v>1231</v>
      </c>
    </row>
    <row r="79" spans="1:13" x14ac:dyDescent="0.35">
      <c r="A79" s="11" t="s">
        <v>1237</v>
      </c>
      <c r="B79" s="11" t="s">
        <v>11</v>
      </c>
      <c r="C79" s="11" t="s">
        <v>30</v>
      </c>
      <c r="D79" s="11" t="s">
        <v>1002</v>
      </c>
      <c r="E79" s="11" t="s">
        <v>182</v>
      </c>
      <c r="F79" s="20">
        <v>8</v>
      </c>
      <c r="G79" s="21">
        <v>48.12</v>
      </c>
      <c r="H79" s="13">
        <v>114.1265432098765</v>
      </c>
      <c r="I79" s="13">
        <v>106.65018518518519</v>
      </c>
      <c r="J79" s="13">
        <v>121.20276217228469</v>
      </c>
      <c r="K79" s="7">
        <f t="shared" si="2"/>
        <v>119.83287037037033</v>
      </c>
      <c r="L79" s="7">
        <f t="shared" si="3"/>
        <v>108.42021604938267</v>
      </c>
      <c r="M79" s="3" t="s">
        <v>1193</v>
      </c>
    </row>
    <row r="80" spans="1:13" x14ac:dyDescent="0.35">
      <c r="A80" s="11" t="s">
        <v>1238</v>
      </c>
      <c r="B80" s="11" t="s">
        <v>11</v>
      </c>
      <c r="C80" s="11" t="s">
        <v>30</v>
      </c>
      <c r="D80" s="11" t="s">
        <v>1002</v>
      </c>
      <c r="E80" s="11" t="s">
        <v>435</v>
      </c>
      <c r="F80" s="20">
        <v>2</v>
      </c>
      <c r="G80" s="21">
        <v>2.66</v>
      </c>
      <c r="H80" s="13">
        <v>104.5639097744361</v>
      </c>
      <c r="I80" s="13">
        <v>99.203007518796994</v>
      </c>
      <c r="J80" s="13">
        <v>109.9248120300752</v>
      </c>
      <c r="K80" s="7">
        <f t="shared" si="2"/>
        <v>109.79210526315791</v>
      </c>
      <c r="L80" s="7">
        <f t="shared" si="3"/>
        <v>99.335714285714289</v>
      </c>
      <c r="M80" s="3" t="s">
        <v>1185</v>
      </c>
    </row>
    <row r="81" spans="1:13" x14ac:dyDescent="0.35">
      <c r="A81" s="11" t="s">
        <v>1239</v>
      </c>
      <c r="B81" s="11" t="s">
        <v>11</v>
      </c>
      <c r="C81" s="11" t="s">
        <v>30</v>
      </c>
      <c r="D81" s="11" t="s">
        <v>1002</v>
      </c>
      <c r="E81" s="11" t="s">
        <v>414</v>
      </c>
      <c r="F81" s="20">
        <v>6</v>
      </c>
      <c r="G81" s="21">
        <v>85.080000000000013</v>
      </c>
      <c r="H81" s="13">
        <v>113.6413963328632</v>
      </c>
      <c r="I81" s="13">
        <v>109.8993300423131</v>
      </c>
      <c r="J81" s="13">
        <v>120.9557475317348</v>
      </c>
      <c r="K81" s="7">
        <f t="shared" si="2"/>
        <v>119.32346614950636</v>
      </c>
      <c r="L81" s="7">
        <f t="shared" si="3"/>
        <v>107.95932651622003</v>
      </c>
      <c r="M81" s="3" t="s">
        <v>1240</v>
      </c>
    </row>
    <row r="82" spans="1:13" x14ac:dyDescent="0.35">
      <c r="A82" s="11" t="s">
        <v>1241</v>
      </c>
      <c r="B82" s="11" t="s">
        <v>11</v>
      </c>
      <c r="C82" s="11" t="s">
        <v>30</v>
      </c>
      <c r="D82" s="11" t="s">
        <v>1002</v>
      </c>
      <c r="E82" s="11" t="s">
        <v>59</v>
      </c>
      <c r="F82" s="20">
        <v>4</v>
      </c>
      <c r="G82" s="21">
        <v>75.959999999999994</v>
      </c>
      <c r="H82" s="13">
        <v>130.27435492364401</v>
      </c>
      <c r="I82" s="13">
        <v>123.745392311743</v>
      </c>
      <c r="J82" s="13">
        <v>131.623486045287</v>
      </c>
      <c r="K82" s="7">
        <f t="shared" si="2"/>
        <v>136.78807266982622</v>
      </c>
      <c r="L82" s="7">
        <f t="shared" si="3"/>
        <v>123.7606371774618</v>
      </c>
      <c r="M82" s="3" t="s">
        <v>1231</v>
      </c>
    </row>
    <row r="83" spans="1:13" x14ac:dyDescent="0.35">
      <c r="A83" s="11" t="s">
        <v>1242</v>
      </c>
      <c r="B83" s="11" t="s">
        <v>11</v>
      </c>
      <c r="C83" s="11" t="s">
        <v>30</v>
      </c>
      <c r="D83" s="11" t="s">
        <v>1002</v>
      </c>
      <c r="E83" s="11" t="s">
        <v>338</v>
      </c>
      <c r="F83" s="20">
        <v>2</v>
      </c>
      <c r="G83" s="21">
        <v>12.29</v>
      </c>
      <c r="H83" s="13">
        <v>73.074550981525491</v>
      </c>
      <c r="I83" s="13">
        <v>72.501043606704769</v>
      </c>
      <c r="J83" s="13">
        <v>73.648058356346212</v>
      </c>
      <c r="K83" s="7">
        <f t="shared" si="2"/>
        <v>76.72827853060177</v>
      </c>
      <c r="L83" s="7">
        <f t="shared" si="3"/>
        <v>69.420823432449211</v>
      </c>
      <c r="M83" s="3" t="s">
        <v>1189</v>
      </c>
    </row>
    <row r="84" spans="1:13" x14ac:dyDescent="0.35">
      <c r="A84" s="11" t="s">
        <v>1243</v>
      </c>
      <c r="B84" s="11" t="s">
        <v>11</v>
      </c>
      <c r="C84" s="11" t="s">
        <v>30</v>
      </c>
      <c r="D84" s="11" t="s">
        <v>1002</v>
      </c>
      <c r="E84" s="11" t="s">
        <v>633</v>
      </c>
      <c r="F84" s="20">
        <v>1</v>
      </c>
      <c r="G84" s="21">
        <v>4.75</v>
      </c>
      <c r="H84" s="13">
        <v>88.926526315789474</v>
      </c>
      <c r="I84" s="13">
        <v>88.926526315789474</v>
      </c>
      <c r="J84" s="13">
        <v>88.926526315789474</v>
      </c>
      <c r="K84" s="7">
        <f t="shared" si="2"/>
        <v>93.372852631578951</v>
      </c>
      <c r="L84" s="7">
        <f t="shared" si="3"/>
        <v>84.480199999999996</v>
      </c>
      <c r="M84" s="3" t="s">
        <v>1189</v>
      </c>
    </row>
    <row r="85" spans="1:13" x14ac:dyDescent="0.35">
      <c r="A85" s="11" t="s">
        <v>1244</v>
      </c>
      <c r="B85" s="11" t="s">
        <v>11</v>
      </c>
      <c r="C85" s="11" t="s">
        <v>30</v>
      </c>
      <c r="D85" s="11" t="s">
        <v>1002</v>
      </c>
      <c r="E85" s="11" t="s">
        <v>131</v>
      </c>
      <c r="F85" s="20">
        <v>16</v>
      </c>
      <c r="G85" s="21">
        <v>76.180000000000007</v>
      </c>
      <c r="H85" s="13">
        <v>95.894227504244483</v>
      </c>
      <c r="I85" s="13">
        <v>84.463335896026763</v>
      </c>
      <c r="J85" s="13">
        <v>121.7690201411349</v>
      </c>
      <c r="K85" s="7">
        <f t="shared" si="2"/>
        <v>100.68893887945671</v>
      </c>
      <c r="L85" s="7">
        <f t="shared" si="3"/>
        <v>91.099516129032253</v>
      </c>
      <c r="M85" s="3" t="s">
        <v>1182</v>
      </c>
    </row>
    <row r="86" spans="1:13" x14ac:dyDescent="0.35">
      <c r="A86" s="11" t="s">
        <v>1245</v>
      </c>
      <c r="B86" s="11" t="s">
        <v>11</v>
      </c>
      <c r="C86" s="11" t="s">
        <v>30</v>
      </c>
      <c r="D86" s="11" t="s">
        <v>198</v>
      </c>
      <c r="E86" s="11" t="s">
        <v>360</v>
      </c>
      <c r="F86" s="20">
        <v>18</v>
      </c>
      <c r="G86" s="21">
        <v>147.66</v>
      </c>
      <c r="H86" s="13">
        <v>93.133193472944924</v>
      </c>
      <c r="I86" s="13">
        <v>83.202609104282445</v>
      </c>
      <c r="J86" s="13">
        <v>120.6616879438364</v>
      </c>
      <c r="K86" s="7">
        <f t="shared" si="2"/>
        <v>97.789853146592179</v>
      </c>
      <c r="L86" s="7">
        <f t="shared" si="3"/>
        <v>88.47653379929767</v>
      </c>
      <c r="M86" s="3" t="s">
        <v>1193</v>
      </c>
    </row>
    <row r="87" spans="1:13" x14ac:dyDescent="0.35">
      <c r="A87" s="11" t="s">
        <v>474</v>
      </c>
      <c r="B87" s="11" t="s">
        <v>11</v>
      </c>
      <c r="C87" s="11" t="s">
        <v>30</v>
      </c>
      <c r="D87" s="11" t="s">
        <v>198</v>
      </c>
      <c r="E87" s="11" t="s">
        <v>364</v>
      </c>
      <c r="F87" s="20">
        <v>43</v>
      </c>
      <c r="G87" s="21">
        <v>294.04000000000002</v>
      </c>
      <c r="H87" s="13">
        <v>87.310559006211165</v>
      </c>
      <c r="I87" s="13">
        <v>67.491744730679159</v>
      </c>
      <c r="J87" s="13">
        <v>108.7673445422419</v>
      </c>
      <c r="K87" s="7">
        <f t="shared" si="2"/>
        <v>91.676086956521729</v>
      </c>
      <c r="L87" s="7">
        <f t="shared" si="3"/>
        <v>82.9450310559006</v>
      </c>
      <c r="M87" s="3" t="s">
        <v>1125</v>
      </c>
    </row>
    <row r="88" spans="1:13" x14ac:dyDescent="0.35">
      <c r="A88" s="11" t="s">
        <v>1246</v>
      </c>
      <c r="B88" s="11" t="s">
        <v>11</v>
      </c>
      <c r="C88" s="11" t="s">
        <v>30</v>
      </c>
      <c r="D88" s="11" t="s">
        <v>198</v>
      </c>
      <c r="E88" s="11" t="s">
        <v>101</v>
      </c>
      <c r="F88" s="20">
        <v>65</v>
      </c>
      <c r="G88" s="21">
        <v>368.64</v>
      </c>
      <c r="H88" s="13">
        <v>97.917737789203073</v>
      </c>
      <c r="I88" s="13">
        <v>86.555269922879177</v>
      </c>
      <c r="J88" s="13">
        <v>113.1008939974457</v>
      </c>
      <c r="K88" s="7">
        <f t="shared" si="2"/>
        <v>102.81362467866323</v>
      </c>
      <c r="L88" s="7">
        <f t="shared" si="3"/>
        <v>93.021850899742915</v>
      </c>
      <c r="M88" s="3" t="s">
        <v>1125</v>
      </c>
    </row>
    <row r="89" spans="1:13" x14ac:dyDescent="0.35">
      <c r="A89" s="11" t="s">
        <v>394</v>
      </c>
      <c r="B89" s="11" t="s">
        <v>11</v>
      </c>
      <c r="C89" s="11" t="s">
        <v>30</v>
      </c>
      <c r="D89" s="11" t="s">
        <v>198</v>
      </c>
      <c r="E89" s="11" t="s">
        <v>393</v>
      </c>
      <c r="F89" s="20">
        <v>44</v>
      </c>
      <c r="G89" s="21">
        <v>299.88999999999987</v>
      </c>
      <c r="H89" s="13">
        <v>83.798922800718131</v>
      </c>
      <c r="I89" s="13">
        <v>67.587519936204146</v>
      </c>
      <c r="J89" s="13">
        <v>107.3996460114536</v>
      </c>
      <c r="K89" s="7">
        <f t="shared" si="2"/>
        <v>87.988868940754045</v>
      </c>
      <c r="L89" s="7">
        <f t="shared" si="3"/>
        <v>79.608976660682217</v>
      </c>
      <c r="M89" s="3" t="s">
        <v>1125</v>
      </c>
    </row>
    <row r="90" spans="1:13" x14ac:dyDescent="0.35">
      <c r="A90" s="11" t="s">
        <v>1247</v>
      </c>
      <c r="B90" s="11" t="s">
        <v>11</v>
      </c>
      <c r="C90" s="11" t="s">
        <v>30</v>
      </c>
      <c r="D90" s="11" t="s">
        <v>198</v>
      </c>
      <c r="E90" s="11" t="s">
        <v>62</v>
      </c>
      <c r="F90" s="20">
        <v>148</v>
      </c>
      <c r="G90" s="21">
        <v>1497.71</v>
      </c>
      <c r="H90" s="13">
        <v>119.3332558596307</v>
      </c>
      <c r="I90" s="13">
        <v>106.8091864302292</v>
      </c>
      <c r="J90" s="13">
        <v>142.0879051111842</v>
      </c>
      <c r="K90" s="7">
        <f t="shared" si="2"/>
        <v>125.29991865261223</v>
      </c>
      <c r="L90" s="7">
        <f t="shared" si="3"/>
        <v>113.36659306664916</v>
      </c>
      <c r="M90" s="3" t="s">
        <v>1125</v>
      </c>
    </row>
    <row r="91" spans="1:13" x14ac:dyDescent="0.35">
      <c r="A91" s="11" t="s">
        <v>1248</v>
      </c>
      <c r="B91" s="11" t="s">
        <v>11</v>
      </c>
      <c r="C91" s="11" t="s">
        <v>30</v>
      </c>
      <c r="D91" s="11" t="s">
        <v>198</v>
      </c>
      <c r="E91" s="11" t="s">
        <v>39</v>
      </c>
      <c r="F91" s="20">
        <v>330</v>
      </c>
      <c r="G91" s="21">
        <v>3320.1</v>
      </c>
      <c r="H91" s="13">
        <v>121.83917947949639</v>
      </c>
      <c r="I91" s="13">
        <v>108.0501579531125</v>
      </c>
      <c r="J91" s="13">
        <v>139.3615249495804</v>
      </c>
      <c r="K91" s="7">
        <f t="shared" si="2"/>
        <v>127.93113845347122</v>
      </c>
      <c r="L91" s="7">
        <f t="shared" si="3"/>
        <v>115.74722050552157</v>
      </c>
      <c r="M91" s="3" t="s">
        <v>1125</v>
      </c>
    </row>
    <row r="92" spans="1:13" x14ac:dyDescent="0.35">
      <c r="A92" s="11" t="s">
        <v>1249</v>
      </c>
      <c r="B92" s="11" t="s">
        <v>11</v>
      </c>
      <c r="C92" s="11" t="s">
        <v>30</v>
      </c>
      <c r="D92" s="11" t="s">
        <v>198</v>
      </c>
      <c r="E92" s="11" t="s">
        <v>84</v>
      </c>
      <c r="F92" s="20">
        <v>235</v>
      </c>
      <c r="G92" s="21">
        <v>2649.55</v>
      </c>
      <c r="H92" s="13">
        <v>106.7225548902196</v>
      </c>
      <c r="I92" s="13">
        <v>89.78322865311452</v>
      </c>
      <c r="J92" s="13">
        <v>127.1776320837955</v>
      </c>
      <c r="K92" s="7">
        <f t="shared" si="2"/>
        <v>112.05868263473059</v>
      </c>
      <c r="L92" s="7">
        <f t="shared" si="3"/>
        <v>101.38642714570861</v>
      </c>
      <c r="M92" s="3" t="s">
        <v>1125</v>
      </c>
    </row>
    <row r="93" spans="1:13" x14ac:dyDescent="0.35">
      <c r="A93" s="11" t="s">
        <v>199</v>
      </c>
      <c r="B93" s="11" t="s">
        <v>11</v>
      </c>
      <c r="C93" s="11" t="s">
        <v>30</v>
      </c>
      <c r="D93" s="11" t="s">
        <v>198</v>
      </c>
      <c r="E93" s="11" t="s">
        <v>43</v>
      </c>
      <c r="F93" s="20">
        <v>225</v>
      </c>
      <c r="G93" s="21">
        <v>2565.94</v>
      </c>
      <c r="H93" s="13">
        <v>100.40672268907559</v>
      </c>
      <c r="I93" s="13">
        <v>88.753488372093031</v>
      </c>
      <c r="J93" s="13">
        <v>116.5346420323326</v>
      </c>
      <c r="K93" s="7">
        <f t="shared" si="2"/>
        <v>105.42705882352938</v>
      </c>
      <c r="L93" s="7">
        <f t="shared" si="3"/>
        <v>95.386386554621808</v>
      </c>
      <c r="M93" s="3" t="s">
        <v>1125</v>
      </c>
    </row>
    <row r="94" spans="1:13" x14ac:dyDescent="0.35">
      <c r="A94" s="11" t="s">
        <v>1250</v>
      </c>
      <c r="B94" s="11" t="s">
        <v>11</v>
      </c>
      <c r="C94" s="11" t="s">
        <v>30</v>
      </c>
      <c r="D94" s="11" t="s">
        <v>198</v>
      </c>
      <c r="E94" s="11" t="s">
        <v>332</v>
      </c>
      <c r="F94" s="20">
        <v>16</v>
      </c>
      <c r="G94" s="21">
        <v>174.02</v>
      </c>
      <c r="H94" s="13">
        <v>101.2347977733935</v>
      </c>
      <c r="I94" s="13">
        <v>91.199599847560975</v>
      </c>
      <c r="J94" s="13">
        <v>119.4622193736142</v>
      </c>
      <c r="K94" s="7">
        <f t="shared" si="2"/>
        <v>106.29653766206317</v>
      </c>
      <c r="L94" s="7">
        <f t="shared" si="3"/>
        <v>96.173057884723818</v>
      </c>
      <c r="M94" s="3" t="s">
        <v>1152</v>
      </c>
    </row>
    <row r="95" spans="1:13" x14ac:dyDescent="0.35">
      <c r="A95" s="11" t="s">
        <v>262</v>
      </c>
      <c r="B95" s="11" t="s">
        <v>11</v>
      </c>
      <c r="C95" s="11" t="s">
        <v>30</v>
      </c>
      <c r="D95" s="11" t="s">
        <v>198</v>
      </c>
      <c r="E95" s="11" t="s">
        <v>196</v>
      </c>
      <c r="F95" s="20">
        <v>49</v>
      </c>
      <c r="G95" s="21">
        <v>323.58999999999997</v>
      </c>
      <c r="H95" s="13">
        <v>91.824427480916029</v>
      </c>
      <c r="I95" s="13">
        <v>72.155480984340059</v>
      </c>
      <c r="J95" s="13">
        <v>105.0926573426573</v>
      </c>
      <c r="K95" s="7">
        <f t="shared" si="2"/>
        <v>96.41564885496183</v>
      </c>
      <c r="L95" s="7">
        <f t="shared" si="3"/>
        <v>87.233206106870227</v>
      </c>
      <c r="M95" s="3" t="s">
        <v>1125</v>
      </c>
    </row>
    <row r="96" spans="1:13" x14ac:dyDescent="0.35">
      <c r="A96" s="11" t="s">
        <v>1251</v>
      </c>
      <c r="B96" s="11" t="s">
        <v>11</v>
      </c>
      <c r="C96" s="11" t="s">
        <v>30</v>
      </c>
      <c r="D96" s="11" t="s">
        <v>198</v>
      </c>
      <c r="E96" s="11" t="s">
        <v>502</v>
      </c>
      <c r="F96" s="20">
        <v>11</v>
      </c>
      <c r="G96" s="21">
        <v>160.4</v>
      </c>
      <c r="H96" s="13">
        <v>135.57277982133471</v>
      </c>
      <c r="I96" s="13">
        <v>120.4062007356805</v>
      </c>
      <c r="J96" s="13">
        <v>141.5247165319731</v>
      </c>
      <c r="K96" s="7">
        <f t="shared" si="2"/>
        <v>142.35141881240145</v>
      </c>
      <c r="L96" s="7">
        <f t="shared" si="3"/>
        <v>128.79414083026796</v>
      </c>
      <c r="M96" s="3" t="s">
        <v>1182</v>
      </c>
    </row>
    <row r="97" spans="1:13" x14ac:dyDescent="0.35">
      <c r="A97" s="11" t="s">
        <v>1252</v>
      </c>
      <c r="B97" s="11" t="s">
        <v>11</v>
      </c>
      <c r="C97" s="11" t="s">
        <v>30</v>
      </c>
      <c r="D97" s="11" t="s">
        <v>198</v>
      </c>
      <c r="E97" s="11" t="s">
        <v>499</v>
      </c>
      <c r="F97" s="20">
        <v>12</v>
      </c>
      <c r="G97" s="21">
        <v>78.599999999999994</v>
      </c>
      <c r="H97" s="13">
        <v>134.7020408163265</v>
      </c>
      <c r="I97" s="13">
        <v>118.6118784530387</v>
      </c>
      <c r="J97" s="13">
        <v>146.42493892584659</v>
      </c>
      <c r="K97" s="7">
        <f t="shared" si="2"/>
        <v>141.43714285714285</v>
      </c>
      <c r="L97" s="7">
        <f t="shared" si="3"/>
        <v>127.96693877551017</v>
      </c>
      <c r="M97" s="3" t="s">
        <v>1182</v>
      </c>
    </row>
    <row r="98" spans="1:13" x14ac:dyDescent="0.35">
      <c r="A98" s="11" t="s">
        <v>1253</v>
      </c>
      <c r="B98" s="11" t="s">
        <v>11</v>
      </c>
      <c r="C98" s="11" t="s">
        <v>30</v>
      </c>
      <c r="D98" s="11" t="s">
        <v>198</v>
      </c>
      <c r="E98" s="11" t="s">
        <v>143</v>
      </c>
      <c r="F98" s="20">
        <v>6</v>
      </c>
      <c r="G98" s="21">
        <v>47.02</v>
      </c>
      <c r="H98" s="13">
        <v>128.74523506988561</v>
      </c>
      <c r="I98" s="13">
        <v>119.0192775695005</v>
      </c>
      <c r="J98" s="13">
        <v>134.4243964421855</v>
      </c>
      <c r="K98" s="7">
        <f t="shared" si="2"/>
        <v>135.18249682337989</v>
      </c>
      <c r="L98" s="7">
        <f t="shared" si="3"/>
        <v>122.30797331639133</v>
      </c>
      <c r="M98" s="3" t="s">
        <v>1182</v>
      </c>
    </row>
    <row r="99" spans="1:13" x14ac:dyDescent="0.35">
      <c r="A99" s="11" t="s">
        <v>1254</v>
      </c>
      <c r="B99" s="11" t="s">
        <v>11</v>
      </c>
      <c r="C99" s="11" t="s">
        <v>30</v>
      </c>
      <c r="D99" s="11" t="s">
        <v>198</v>
      </c>
      <c r="E99" s="11" t="s">
        <v>35</v>
      </c>
      <c r="F99" s="20">
        <v>21</v>
      </c>
      <c r="G99" s="21">
        <v>267.27999999999997</v>
      </c>
      <c r="H99" s="13">
        <v>130.6068759342302</v>
      </c>
      <c r="I99" s="13">
        <v>112.9305896805897</v>
      </c>
      <c r="J99" s="13">
        <v>143.38287153652391</v>
      </c>
      <c r="K99" s="7">
        <f t="shared" si="2"/>
        <v>137.13721973094172</v>
      </c>
      <c r="L99" s="7">
        <f t="shared" si="3"/>
        <v>124.07653213751868</v>
      </c>
      <c r="M99" s="3" t="s">
        <v>1125</v>
      </c>
    </row>
    <row r="100" spans="1:13" x14ac:dyDescent="0.35">
      <c r="A100" s="11" t="s">
        <v>1255</v>
      </c>
      <c r="B100" s="11" t="s">
        <v>11</v>
      </c>
      <c r="C100" s="11" t="s">
        <v>30</v>
      </c>
      <c r="D100" s="11" t="s">
        <v>198</v>
      </c>
      <c r="E100" s="11" t="s">
        <v>1256</v>
      </c>
      <c r="F100" s="20">
        <v>6</v>
      </c>
      <c r="G100" s="21">
        <v>18.600000000000001</v>
      </c>
      <c r="H100" s="13">
        <v>102.458064516129</v>
      </c>
      <c r="I100" s="13">
        <v>77.58064516129032</v>
      </c>
      <c r="J100" s="13">
        <v>121.65967741935479</v>
      </c>
      <c r="K100" s="7">
        <f t="shared" si="2"/>
        <v>107.58096774193545</v>
      </c>
      <c r="L100" s="7">
        <f t="shared" si="3"/>
        <v>97.335161290322546</v>
      </c>
      <c r="M100" s="3" t="s">
        <v>1257</v>
      </c>
    </row>
    <row r="101" spans="1:13" x14ac:dyDescent="0.35">
      <c r="A101" s="11" t="s">
        <v>1258</v>
      </c>
      <c r="B101" s="11" t="s">
        <v>11</v>
      </c>
      <c r="C101" s="11" t="s">
        <v>30</v>
      </c>
      <c r="D101" s="11" t="s">
        <v>198</v>
      </c>
      <c r="E101" s="11" t="s">
        <v>328</v>
      </c>
      <c r="F101" s="20">
        <v>16</v>
      </c>
      <c r="G101" s="21">
        <v>120.91</v>
      </c>
      <c r="H101" s="13">
        <v>79.841245272595927</v>
      </c>
      <c r="I101" s="13">
        <v>68.365137043189378</v>
      </c>
      <c r="J101" s="13">
        <v>101.92073245945861</v>
      </c>
      <c r="K101" s="7">
        <f t="shared" si="2"/>
        <v>83.833307536225732</v>
      </c>
      <c r="L101" s="7">
        <f t="shared" si="3"/>
        <v>75.849183008966122</v>
      </c>
      <c r="M101" s="3" t="s">
        <v>1152</v>
      </c>
    </row>
    <row r="102" spans="1:13" x14ac:dyDescent="0.35">
      <c r="A102" s="11" t="s">
        <v>1259</v>
      </c>
      <c r="B102" s="11" t="s">
        <v>11</v>
      </c>
      <c r="C102" s="11" t="s">
        <v>30</v>
      </c>
      <c r="D102" s="11" t="s">
        <v>198</v>
      </c>
      <c r="E102" s="11" t="s">
        <v>89</v>
      </c>
      <c r="F102" s="20">
        <v>5</v>
      </c>
      <c r="G102" s="21">
        <v>45</v>
      </c>
      <c r="H102" s="13">
        <v>128.86555555555549</v>
      </c>
      <c r="I102" s="13">
        <v>118.4744444444444</v>
      </c>
      <c r="J102" s="13">
        <v>156.98444444444439</v>
      </c>
      <c r="K102" s="7">
        <f t="shared" si="2"/>
        <v>135.30883333333327</v>
      </c>
      <c r="L102" s="7">
        <f t="shared" si="3"/>
        <v>122.42227777777771</v>
      </c>
      <c r="M102" s="3" t="s">
        <v>1140</v>
      </c>
    </row>
    <row r="103" spans="1:13" x14ac:dyDescent="0.35">
      <c r="A103" s="11" t="s">
        <v>1260</v>
      </c>
      <c r="B103" s="11" t="s">
        <v>11</v>
      </c>
      <c r="C103" s="11" t="s">
        <v>30</v>
      </c>
      <c r="D103" s="11" t="s">
        <v>198</v>
      </c>
      <c r="E103" s="11" t="s">
        <v>73</v>
      </c>
      <c r="F103" s="20">
        <v>42</v>
      </c>
      <c r="G103" s="21">
        <v>240.08</v>
      </c>
      <c r="H103" s="13">
        <v>107.0835375922135</v>
      </c>
      <c r="I103" s="13">
        <v>90.820137636933168</v>
      </c>
      <c r="J103" s="13">
        <v>123.43170642732559</v>
      </c>
      <c r="K103" s="7">
        <f t="shared" si="2"/>
        <v>112.43771447182418</v>
      </c>
      <c r="L103" s="7">
        <f t="shared" si="3"/>
        <v>101.72936071260283</v>
      </c>
      <c r="M103" s="3" t="s">
        <v>1152</v>
      </c>
    </row>
    <row r="104" spans="1:13" x14ac:dyDescent="0.35">
      <c r="A104" s="11" t="s">
        <v>1261</v>
      </c>
      <c r="B104" s="11" t="s">
        <v>11</v>
      </c>
      <c r="C104" s="11" t="s">
        <v>30</v>
      </c>
      <c r="D104" s="11" t="s">
        <v>198</v>
      </c>
      <c r="E104" s="11" t="s">
        <v>147</v>
      </c>
      <c r="F104" s="20">
        <v>60</v>
      </c>
      <c r="G104" s="21">
        <v>505.6099999999999</v>
      </c>
      <c r="H104" s="13">
        <v>105.0601411720335</v>
      </c>
      <c r="I104" s="13">
        <v>88.025532580526814</v>
      </c>
      <c r="J104" s="13">
        <v>125.550459244821</v>
      </c>
      <c r="K104" s="7">
        <f t="shared" si="2"/>
        <v>110.31314823063518</v>
      </c>
      <c r="L104" s="7">
        <f t="shared" si="3"/>
        <v>99.807134113431815</v>
      </c>
      <c r="M104" s="3" t="s">
        <v>1125</v>
      </c>
    </row>
    <row r="105" spans="1:13" x14ac:dyDescent="0.35">
      <c r="A105" s="11" t="s">
        <v>1262</v>
      </c>
      <c r="B105" s="11" t="s">
        <v>11</v>
      </c>
      <c r="C105" s="11" t="s">
        <v>30</v>
      </c>
      <c r="D105" s="11" t="s">
        <v>198</v>
      </c>
      <c r="E105" s="11" t="s">
        <v>203</v>
      </c>
      <c r="F105" s="20">
        <v>6</v>
      </c>
      <c r="G105" s="21">
        <v>41.28</v>
      </c>
      <c r="H105" s="13">
        <v>111.72020348837211</v>
      </c>
      <c r="I105" s="13">
        <v>107.0886627906977</v>
      </c>
      <c r="J105" s="13">
        <v>127.9186409883721</v>
      </c>
      <c r="K105" s="7">
        <f t="shared" si="2"/>
        <v>117.30621366279071</v>
      </c>
      <c r="L105" s="7">
        <f t="shared" si="3"/>
        <v>106.1341933139535</v>
      </c>
      <c r="M105" s="3" t="s">
        <v>1240</v>
      </c>
    </row>
    <row r="106" spans="1:13" x14ac:dyDescent="0.35">
      <c r="A106" s="11" t="s">
        <v>1263</v>
      </c>
      <c r="B106" s="11" t="s">
        <v>11</v>
      </c>
      <c r="C106" s="11" t="s">
        <v>30</v>
      </c>
      <c r="D106" s="11" t="s">
        <v>198</v>
      </c>
      <c r="E106" s="11" t="s">
        <v>182</v>
      </c>
      <c r="F106" s="20">
        <v>14</v>
      </c>
      <c r="G106" s="21">
        <v>108.7</v>
      </c>
      <c r="H106" s="13">
        <v>88.267162471395878</v>
      </c>
      <c r="I106" s="13">
        <v>76.035311006274867</v>
      </c>
      <c r="J106" s="13">
        <v>111.82915057915061</v>
      </c>
      <c r="K106" s="7">
        <f t="shared" si="2"/>
        <v>92.680520594965671</v>
      </c>
      <c r="L106" s="7">
        <f t="shared" si="3"/>
        <v>83.853804347826085</v>
      </c>
      <c r="M106" s="3" t="s">
        <v>1152</v>
      </c>
    </row>
    <row r="107" spans="1:13" x14ac:dyDescent="0.35">
      <c r="A107" s="11" t="s">
        <v>1264</v>
      </c>
      <c r="B107" s="11" t="s">
        <v>11</v>
      </c>
      <c r="C107" s="11" t="s">
        <v>30</v>
      </c>
      <c r="D107" s="11" t="s">
        <v>198</v>
      </c>
      <c r="E107" s="11" t="s">
        <v>169</v>
      </c>
      <c r="F107" s="20">
        <v>5</v>
      </c>
      <c r="G107" s="21">
        <v>58.95</v>
      </c>
      <c r="H107" s="13">
        <v>132.3808312128923</v>
      </c>
      <c r="I107" s="13">
        <v>124.1925360474979</v>
      </c>
      <c r="J107" s="13">
        <v>133.34011874469891</v>
      </c>
      <c r="K107" s="7">
        <f t="shared" si="2"/>
        <v>138.99987277353694</v>
      </c>
      <c r="L107" s="7">
        <f t="shared" si="3"/>
        <v>125.76178965224769</v>
      </c>
      <c r="M107" s="3" t="s">
        <v>1265</v>
      </c>
    </row>
    <row r="108" spans="1:13" x14ac:dyDescent="0.35">
      <c r="A108" s="11" t="s">
        <v>1266</v>
      </c>
      <c r="B108" s="11" t="s">
        <v>11</v>
      </c>
      <c r="C108" s="11" t="s">
        <v>30</v>
      </c>
      <c r="D108" s="11" t="s">
        <v>198</v>
      </c>
      <c r="E108" s="11" t="s">
        <v>1267</v>
      </c>
      <c r="F108" s="20">
        <v>12</v>
      </c>
      <c r="G108" s="21">
        <v>126.9</v>
      </c>
      <c r="H108" s="13">
        <v>120.37506909323839</v>
      </c>
      <c r="I108" s="13">
        <v>111.1880183676893</v>
      </c>
      <c r="J108" s="13">
        <v>133.7474677615505</v>
      </c>
      <c r="K108" s="7">
        <f t="shared" si="2"/>
        <v>126.39382254790031</v>
      </c>
      <c r="L108" s="7">
        <f t="shared" si="3"/>
        <v>114.35631563857648</v>
      </c>
      <c r="M108" s="3" t="s">
        <v>1193</v>
      </c>
    </row>
    <row r="109" spans="1:13" x14ac:dyDescent="0.35">
      <c r="A109" s="11" t="s">
        <v>1268</v>
      </c>
      <c r="B109" s="11" t="s">
        <v>11</v>
      </c>
      <c r="C109" s="11" t="s">
        <v>30</v>
      </c>
      <c r="D109" s="11" t="s">
        <v>198</v>
      </c>
      <c r="E109" s="11" t="s">
        <v>122</v>
      </c>
      <c r="F109" s="20">
        <v>19</v>
      </c>
      <c r="G109" s="21">
        <v>113.18</v>
      </c>
      <c r="H109" s="13">
        <v>125.6155268022181</v>
      </c>
      <c r="I109" s="13">
        <v>110.73129803561019</v>
      </c>
      <c r="J109" s="13">
        <v>135.40421332843769</v>
      </c>
      <c r="K109" s="7">
        <f t="shared" si="2"/>
        <v>131.896303142329</v>
      </c>
      <c r="L109" s="7">
        <f t="shared" si="3"/>
        <v>119.33475046210719</v>
      </c>
      <c r="M109" s="3" t="s">
        <v>1193</v>
      </c>
    </row>
    <row r="110" spans="1:13" x14ac:dyDescent="0.35">
      <c r="A110" s="11" t="s">
        <v>1269</v>
      </c>
      <c r="B110" s="11" t="s">
        <v>11</v>
      </c>
      <c r="C110" s="11" t="s">
        <v>30</v>
      </c>
      <c r="D110" s="11" t="s">
        <v>198</v>
      </c>
      <c r="E110" s="11" t="s">
        <v>99</v>
      </c>
      <c r="F110" s="20">
        <v>20</v>
      </c>
      <c r="G110" s="21">
        <v>153.36000000000001</v>
      </c>
      <c r="H110" s="13">
        <v>99.445040553296394</v>
      </c>
      <c r="I110" s="13">
        <v>92.942159541412195</v>
      </c>
      <c r="J110" s="13">
        <v>107.6832788671024</v>
      </c>
      <c r="K110" s="7">
        <f t="shared" si="2"/>
        <v>104.41729258096122</v>
      </c>
      <c r="L110" s="7">
        <f t="shared" si="3"/>
        <v>94.472788525631572</v>
      </c>
      <c r="M110" s="3" t="s">
        <v>1207</v>
      </c>
    </row>
    <row r="111" spans="1:13" x14ac:dyDescent="0.35">
      <c r="A111" s="11" t="s">
        <v>1270</v>
      </c>
      <c r="B111" s="11" t="s">
        <v>11</v>
      </c>
      <c r="C111" s="11" t="s">
        <v>30</v>
      </c>
      <c r="D111" s="11" t="s">
        <v>198</v>
      </c>
      <c r="E111" s="11" t="s">
        <v>625</v>
      </c>
      <c r="F111" s="20">
        <v>23</v>
      </c>
      <c r="G111" s="21">
        <v>201.57</v>
      </c>
      <c r="H111" s="13">
        <v>97.347887323943667</v>
      </c>
      <c r="I111" s="13">
        <v>80.566566310228282</v>
      </c>
      <c r="J111" s="13">
        <v>120.81063356081511</v>
      </c>
      <c r="K111" s="7">
        <f t="shared" si="2"/>
        <v>102.21528169014086</v>
      </c>
      <c r="L111" s="7">
        <f t="shared" si="3"/>
        <v>92.480492957746478</v>
      </c>
      <c r="M111" s="3" t="s">
        <v>1125</v>
      </c>
    </row>
    <row r="112" spans="1:13" x14ac:dyDescent="0.35">
      <c r="A112" s="11" t="s">
        <v>1271</v>
      </c>
      <c r="B112" s="11" t="s">
        <v>11</v>
      </c>
      <c r="C112" s="11" t="s">
        <v>30</v>
      </c>
      <c r="D112" s="11" t="s">
        <v>198</v>
      </c>
      <c r="E112" s="11" t="s">
        <v>524</v>
      </c>
      <c r="F112" s="20">
        <v>6</v>
      </c>
      <c r="G112" s="21">
        <v>89.97</v>
      </c>
      <c r="H112" s="13">
        <v>130.9861356707317</v>
      </c>
      <c r="I112" s="13">
        <v>112.48197408536581</v>
      </c>
      <c r="J112" s="13">
        <v>145.77187499999999</v>
      </c>
      <c r="K112" s="7">
        <f t="shared" si="2"/>
        <v>137.53544245426829</v>
      </c>
      <c r="L112" s="7">
        <f t="shared" si="3"/>
        <v>124.43682888719511</v>
      </c>
      <c r="M112" s="3" t="s">
        <v>1143</v>
      </c>
    </row>
    <row r="113" spans="1:13" x14ac:dyDescent="0.35">
      <c r="A113" s="11" t="s">
        <v>565</v>
      </c>
      <c r="B113" s="11" t="s">
        <v>11</v>
      </c>
      <c r="C113" s="11" t="s">
        <v>30</v>
      </c>
      <c r="D113" s="11" t="s">
        <v>198</v>
      </c>
      <c r="E113" s="11" t="s">
        <v>59</v>
      </c>
      <c r="F113" s="20">
        <v>54</v>
      </c>
      <c r="G113" s="21">
        <v>716.4000000000002</v>
      </c>
      <c r="H113" s="13">
        <v>122.2980097287159</v>
      </c>
      <c r="I113" s="13">
        <v>113.378466155477</v>
      </c>
      <c r="J113" s="13">
        <v>139.3440794573643</v>
      </c>
      <c r="K113" s="7">
        <f t="shared" si="2"/>
        <v>128.4129102151517</v>
      </c>
      <c r="L113" s="7">
        <f t="shared" si="3"/>
        <v>116.1831092422801</v>
      </c>
      <c r="M113" s="3" t="s">
        <v>1125</v>
      </c>
    </row>
    <row r="114" spans="1:13" x14ac:dyDescent="0.35">
      <c r="A114" s="11" t="s">
        <v>1272</v>
      </c>
      <c r="B114" s="11" t="s">
        <v>11</v>
      </c>
      <c r="C114" s="11" t="s">
        <v>30</v>
      </c>
      <c r="D114" s="11" t="s">
        <v>198</v>
      </c>
      <c r="E114" s="11" t="s">
        <v>54</v>
      </c>
      <c r="F114" s="20">
        <v>11</v>
      </c>
      <c r="G114" s="21">
        <v>89.84</v>
      </c>
      <c r="H114" s="13">
        <v>116.5959409594096</v>
      </c>
      <c r="I114" s="13">
        <v>104.1334604385129</v>
      </c>
      <c r="J114" s="13">
        <v>124.637151354831</v>
      </c>
      <c r="K114" s="7">
        <f t="shared" si="2"/>
        <v>122.42573800738009</v>
      </c>
      <c r="L114" s="7">
        <f t="shared" si="3"/>
        <v>110.76614391143912</v>
      </c>
      <c r="M114" s="3" t="s">
        <v>1193</v>
      </c>
    </row>
    <row r="115" spans="1:13" x14ac:dyDescent="0.35">
      <c r="A115" s="11" t="s">
        <v>1273</v>
      </c>
      <c r="B115" s="11" t="s">
        <v>11</v>
      </c>
      <c r="C115" s="11" t="s">
        <v>30</v>
      </c>
      <c r="D115" s="11" t="s">
        <v>198</v>
      </c>
      <c r="E115" s="11" t="s">
        <v>107</v>
      </c>
      <c r="F115" s="20">
        <v>17</v>
      </c>
      <c r="G115" s="21">
        <v>227.11</v>
      </c>
      <c r="H115" s="13">
        <v>99.631914893617008</v>
      </c>
      <c r="I115" s="13">
        <v>77.899490167516376</v>
      </c>
      <c r="J115" s="13">
        <v>124.081914893617</v>
      </c>
      <c r="K115" s="7">
        <f t="shared" si="2"/>
        <v>104.61351063829787</v>
      </c>
      <c r="L115" s="7">
        <f t="shared" si="3"/>
        <v>94.650319148936148</v>
      </c>
      <c r="M115" s="3" t="s">
        <v>1152</v>
      </c>
    </row>
    <row r="116" spans="1:13" x14ac:dyDescent="0.35">
      <c r="A116" s="11" t="s">
        <v>1274</v>
      </c>
      <c r="B116" s="11" t="s">
        <v>11</v>
      </c>
      <c r="C116" s="11" t="s">
        <v>30</v>
      </c>
      <c r="D116" s="11" t="s">
        <v>198</v>
      </c>
      <c r="E116" s="11" t="s">
        <v>338</v>
      </c>
      <c r="F116" s="20">
        <v>10</v>
      </c>
      <c r="G116" s="21">
        <v>52.94</v>
      </c>
      <c r="H116" s="13">
        <v>103.8091587226364</v>
      </c>
      <c r="I116" s="13">
        <v>81.051437216338883</v>
      </c>
      <c r="J116" s="13">
        <v>124.2274825474364</v>
      </c>
      <c r="K116" s="7">
        <f t="shared" si="2"/>
        <v>108.99961665876822</v>
      </c>
      <c r="L116" s="7">
        <f t="shared" si="3"/>
        <v>98.618700786504576</v>
      </c>
      <c r="M116" s="3" t="s">
        <v>1193</v>
      </c>
    </row>
    <row r="117" spans="1:13" x14ac:dyDescent="0.35">
      <c r="A117" s="11" t="s">
        <v>1275</v>
      </c>
      <c r="B117" s="11" t="s">
        <v>11</v>
      </c>
      <c r="C117" s="11" t="s">
        <v>30</v>
      </c>
      <c r="D117" s="11" t="s">
        <v>198</v>
      </c>
      <c r="E117" s="11" t="s">
        <v>479</v>
      </c>
      <c r="F117" s="20">
        <v>25</v>
      </c>
      <c r="G117" s="21">
        <v>201.28</v>
      </c>
      <c r="H117" s="13">
        <v>121.9059288537549</v>
      </c>
      <c r="I117" s="13">
        <v>112.3053097345133</v>
      </c>
      <c r="J117" s="13">
        <v>142.33043478260871</v>
      </c>
      <c r="K117" s="7">
        <f t="shared" si="2"/>
        <v>128.00122529644264</v>
      </c>
      <c r="L117" s="7">
        <f t="shared" si="3"/>
        <v>115.81063241106715</v>
      </c>
      <c r="M117" s="3" t="s">
        <v>1193</v>
      </c>
    </row>
    <row r="118" spans="1:13" x14ac:dyDescent="0.35">
      <c r="A118" s="11" t="s">
        <v>1276</v>
      </c>
      <c r="B118" s="11" t="s">
        <v>11</v>
      </c>
      <c r="C118" s="11" t="s">
        <v>30</v>
      </c>
      <c r="D118" s="11" t="s">
        <v>198</v>
      </c>
      <c r="E118" s="11" t="s">
        <v>1277</v>
      </c>
      <c r="F118" s="20">
        <v>6</v>
      </c>
      <c r="G118" s="21">
        <v>25.14</v>
      </c>
      <c r="H118" s="13">
        <v>107.5286396181384</v>
      </c>
      <c r="I118" s="13">
        <v>90.406921241050114</v>
      </c>
      <c r="J118" s="13">
        <v>119.7494033412888</v>
      </c>
      <c r="K118" s="7">
        <f t="shared" si="2"/>
        <v>112.90507159904533</v>
      </c>
      <c r="L118" s="7">
        <f t="shared" si="3"/>
        <v>102.15220763723147</v>
      </c>
      <c r="M118" s="3" t="s">
        <v>1137</v>
      </c>
    </row>
    <row r="119" spans="1:13" x14ac:dyDescent="0.35">
      <c r="A119" s="11" t="s">
        <v>1278</v>
      </c>
      <c r="B119" s="11" t="s">
        <v>11</v>
      </c>
      <c r="C119" s="11" t="s">
        <v>30</v>
      </c>
      <c r="D119" s="11" t="s">
        <v>198</v>
      </c>
      <c r="E119" s="11" t="s">
        <v>633</v>
      </c>
      <c r="F119" s="20">
        <v>6</v>
      </c>
      <c r="G119" s="21">
        <v>27.6</v>
      </c>
      <c r="H119" s="13">
        <v>80.558152173913044</v>
      </c>
      <c r="I119" s="13">
        <v>66.12146739130435</v>
      </c>
      <c r="J119" s="13">
        <v>99.808369565217404</v>
      </c>
      <c r="K119" s="7">
        <f t="shared" si="2"/>
        <v>84.5860597826087</v>
      </c>
      <c r="L119" s="7">
        <f t="shared" si="3"/>
        <v>76.530244565217387</v>
      </c>
      <c r="M119" s="3" t="s">
        <v>1279</v>
      </c>
    </row>
    <row r="120" spans="1:13" x14ac:dyDescent="0.35">
      <c r="A120" s="11" t="s">
        <v>563</v>
      </c>
      <c r="B120" s="11" t="s">
        <v>11</v>
      </c>
      <c r="C120" s="11" t="s">
        <v>30</v>
      </c>
      <c r="D120" s="11" t="s">
        <v>198</v>
      </c>
      <c r="E120" s="11" t="s">
        <v>28</v>
      </c>
      <c r="F120" s="20">
        <v>129</v>
      </c>
      <c r="G120" s="21">
        <v>1243.6500000000001</v>
      </c>
      <c r="H120" s="13">
        <v>120.9621621621622</v>
      </c>
      <c r="I120" s="13">
        <v>106.4216216216216</v>
      </c>
      <c r="J120" s="13">
        <v>136.0913461538461</v>
      </c>
      <c r="K120" s="7">
        <f t="shared" si="2"/>
        <v>127.01027027027031</v>
      </c>
      <c r="L120" s="7">
        <f t="shared" si="3"/>
        <v>114.91405405405409</v>
      </c>
      <c r="M120" s="3" t="s">
        <v>1125</v>
      </c>
    </row>
    <row r="121" spans="1:13" x14ac:dyDescent="0.35">
      <c r="A121" s="11" t="s">
        <v>1280</v>
      </c>
      <c r="B121" s="11" t="s">
        <v>11</v>
      </c>
      <c r="C121" s="11" t="s">
        <v>30</v>
      </c>
      <c r="D121" s="11" t="s">
        <v>198</v>
      </c>
      <c r="E121" s="11" t="s">
        <v>186</v>
      </c>
      <c r="F121" s="20">
        <v>59</v>
      </c>
      <c r="G121" s="21">
        <v>868.16</v>
      </c>
      <c r="H121" s="13">
        <v>102.8022700119474</v>
      </c>
      <c r="I121" s="13">
        <v>83.434201679326989</v>
      </c>
      <c r="J121" s="13">
        <v>124.1923412560769</v>
      </c>
      <c r="K121" s="7">
        <f t="shared" si="2"/>
        <v>107.94238351254478</v>
      </c>
      <c r="L121" s="7">
        <f t="shared" si="3"/>
        <v>97.66215651135002</v>
      </c>
      <c r="M121" s="3" t="s">
        <v>1152</v>
      </c>
    </row>
    <row r="122" spans="1:13" x14ac:dyDescent="0.35">
      <c r="A122" s="11" t="s">
        <v>209</v>
      </c>
      <c r="B122" s="11" t="s">
        <v>11</v>
      </c>
      <c r="C122" s="11" t="s">
        <v>30</v>
      </c>
      <c r="D122" s="11" t="s">
        <v>198</v>
      </c>
      <c r="E122" s="11" t="s">
        <v>93</v>
      </c>
      <c r="F122" s="20">
        <v>125</v>
      </c>
      <c r="G122" s="21">
        <v>994.91</v>
      </c>
      <c r="H122" s="13">
        <v>81.181779661016947</v>
      </c>
      <c r="I122" s="13">
        <v>65.336936936936937</v>
      </c>
      <c r="J122" s="13">
        <v>108.2583961617546</v>
      </c>
      <c r="K122" s="7">
        <f t="shared" si="2"/>
        <v>85.240868644067803</v>
      </c>
      <c r="L122" s="7">
        <f t="shared" si="3"/>
        <v>77.122690677966091</v>
      </c>
      <c r="M122" s="3" t="s">
        <v>1125</v>
      </c>
    </row>
    <row r="123" spans="1:13" x14ac:dyDescent="0.35">
      <c r="A123" s="11" t="s">
        <v>408</v>
      </c>
      <c r="B123" s="11" t="s">
        <v>11</v>
      </c>
      <c r="C123" s="11" t="s">
        <v>30</v>
      </c>
      <c r="D123" s="11" t="s">
        <v>198</v>
      </c>
      <c r="E123" s="11" t="s">
        <v>243</v>
      </c>
      <c r="F123" s="20">
        <v>34</v>
      </c>
      <c r="G123" s="21">
        <v>241.3</v>
      </c>
      <c r="H123" s="13">
        <v>86.025297235068763</v>
      </c>
      <c r="I123" s="13">
        <v>67.278161334476493</v>
      </c>
      <c r="J123" s="13">
        <v>112.1054480537745</v>
      </c>
      <c r="K123" s="7">
        <f t="shared" si="2"/>
        <v>90.326562096822201</v>
      </c>
      <c r="L123" s="7">
        <f t="shared" si="3"/>
        <v>81.724032373315325</v>
      </c>
      <c r="M123" s="3" t="s">
        <v>1125</v>
      </c>
    </row>
    <row r="124" spans="1:13" x14ac:dyDescent="0.35">
      <c r="A124" s="11" t="s">
        <v>1281</v>
      </c>
      <c r="B124" s="11" t="s">
        <v>11</v>
      </c>
      <c r="C124" s="11" t="s">
        <v>30</v>
      </c>
      <c r="D124" s="11" t="s">
        <v>198</v>
      </c>
      <c r="E124" s="11" t="s">
        <v>220</v>
      </c>
      <c r="F124" s="20">
        <v>20</v>
      </c>
      <c r="G124" s="21">
        <v>308.30000000000013</v>
      </c>
      <c r="H124" s="13">
        <v>102.2695970875486</v>
      </c>
      <c r="I124" s="13">
        <v>94.462715629461655</v>
      </c>
      <c r="J124" s="13">
        <v>112.2646465659402</v>
      </c>
      <c r="K124" s="7">
        <f t="shared" si="2"/>
        <v>107.38307694192603</v>
      </c>
      <c r="L124" s="7">
        <f t="shared" si="3"/>
        <v>97.156117233171173</v>
      </c>
      <c r="M124" s="3" t="s">
        <v>1182</v>
      </c>
    </row>
    <row r="125" spans="1:13" x14ac:dyDescent="0.35">
      <c r="A125" s="11" t="s">
        <v>1282</v>
      </c>
      <c r="B125" s="11" t="s">
        <v>11</v>
      </c>
      <c r="C125" s="11" t="s">
        <v>30</v>
      </c>
      <c r="D125" s="11" t="s">
        <v>198</v>
      </c>
      <c r="E125" s="11" t="s">
        <v>131</v>
      </c>
      <c r="F125" s="20">
        <v>240</v>
      </c>
      <c r="G125" s="21">
        <v>1352.076</v>
      </c>
      <c r="H125" s="13">
        <v>89.627206652697737</v>
      </c>
      <c r="I125" s="13">
        <v>70.683259214546169</v>
      </c>
      <c r="J125" s="13">
        <v>116.3201030927835</v>
      </c>
      <c r="K125" s="7">
        <f t="shared" si="2"/>
        <v>94.108566985332629</v>
      </c>
      <c r="L125" s="7">
        <f t="shared" si="3"/>
        <v>85.145846320062844</v>
      </c>
      <c r="M125" s="3" t="s">
        <v>1152</v>
      </c>
    </row>
    <row r="126" spans="1:13" x14ac:dyDescent="0.35">
      <c r="A126" s="11" t="s">
        <v>135</v>
      </c>
      <c r="B126" s="11" t="s">
        <v>11</v>
      </c>
      <c r="C126" s="11" t="s">
        <v>30</v>
      </c>
      <c r="D126" s="11" t="s">
        <v>134</v>
      </c>
      <c r="E126" s="11" t="s">
        <v>62</v>
      </c>
      <c r="F126" s="20">
        <v>5</v>
      </c>
      <c r="G126" s="21">
        <v>41.75</v>
      </c>
      <c r="H126" s="13">
        <v>116.5796407185629</v>
      </c>
      <c r="I126" s="13">
        <v>116</v>
      </c>
      <c r="J126" s="13">
        <v>123.4359281437126</v>
      </c>
      <c r="K126" s="7">
        <f t="shared" si="2"/>
        <v>122.40862275449105</v>
      </c>
      <c r="L126" s="7">
        <f t="shared" si="3"/>
        <v>110.75065868263475</v>
      </c>
      <c r="M126" s="3" t="s">
        <v>1148</v>
      </c>
    </row>
    <row r="127" spans="1:13" x14ac:dyDescent="0.35">
      <c r="A127" s="11" t="s">
        <v>1283</v>
      </c>
      <c r="B127" s="11" t="s">
        <v>11</v>
      </c>
      <c r="C127" s="11" t="s">
        <v>30</v>
      </c>
      <c r="D127" s="11" t="s">
        <v>134</v>
      </c>
      <c r="E127" s="11" t="s">
        <v>39</v>
      </c>
      <c r="F127" s="20">
        <v>20</v>
      </c>
      <c r="G127" s="21">
        <v>83.339999999999989</v>
      </c>
      <c r="H127" s="13">
        <v>110.72084303204851</v>
      </c>
      <c r="I127" s="13">
        <v>97.79498657433578</v>
      </c>
      <c r="J127" s="13">
        <v>127.67371553884711</v>
      </c>
      <c r="K127" s="7">
        <f t="shared" si="2"/>
        <v>116.25688518365094</v>
      </c>
      <c r="L127" s="7">
        <f t="shared" si="3"/>
        <v>105.18480088044608</v>
      </c>
      <c r="M127" s="3" t="s">
        <v>1134</v>
      </c>
    </row>
    <row r="128" spans="1:13" x14ac:dyDescent="0.35">
      <c r="A128" s="11" t="s">
        <v>1284</v>
      </c>
      <c r="B128" s="11" t="s">
        <v>11</v>
      </c>
      <c r="C128" s="11" t="s">
        <v>30</v>
      </c>
      <c r="D128" s="11" t="s">
        <v>134</v>
      </c>
      <c r="E128" s="11" t="s">
        <v>89</v>
      </c>
      <c r="F128" s="20">
        <v>4</v>
      </c>
      <c r="G128" s="21">
        <v>35.880000000000003</v>
      </c>
      <c r="H128" s="13">
        <v>112.9409141583054</v>
      </c>
      <c r="I128" s="13">
        <v>106.69704570791529</v>
      </c>
      <c r="J128" s="13">
        <v>116.59531772575249</v>
      </c>
      <c r="K128" s="7">
        <f t="shared" si="2"/>
        <v>118.58795986622069</v>
      </c>
      <c r="L128" s="7">
        <f t="shared" si="3"/>
        <v>107.29386845039012</v>
      </c>
      <c r="M128" s="3" t="s">
        <v>1221</v>
      </c>
    </row>
    <row r="129" spans="1:13" x14ac:dyDescent="0.35">
      <c r="A129" s="11" t="s">
        <v>1285</v>
      </c>
      <c r="B129" s="11" t="s">
        <v>11</v>
      </c>
      <c r="C129" s="11" t="s">
        <v>30</v>
      </c>
      <c r="D129" s="11" t="s">
        <v>134</v>
      </c>
      <c r="E129" s="11" t="s">
        <v>59</v>
      </c>
      <c r="F129" s="20">
        <v>5</v>
      </c>
      <c r="G129" s="21">
        <v>26.32</v>
      </c>
      <c r="H129" s="13">
        <v>135.2205240174672</v>
      </c>
      <c r="I129" s="13">
        <v>120.17903930131</v>
      </c>
      <c r="J129" s="13">
        <v>141.51499999999999</v>
      </c>
      <c r="K129" s="7">
        <f t="shared" si="2"/>
        <v>141.98155021834057</v>
      </c>
      <c r="L129" s="7">
        <f t="shared" si="3"/>
        <v>128.45949781659382</v>
      </c>
      <c r="M129" s="3" t="s">
        <v>1145</v>
      </c>
    </row>
    <row r="130" spans="1:13" x14ac:dyDescent="0.35">
      <c r="A130" s="11" t="s">
        <v>1286</v>
      </c>
      <c r="B130" s="11" t="s">
        <v>11</v>
      </c>
      <c r="C130" s="11" t="s">
        <v>30</v>
      </c>
      <c r="D130" s="11" t="s">
        <v>134</v>
      </c>
      <c r="E130" s="11" t="s">
        <v>54</v>
      </c>
      <c r="F130" s="20">
        <v>5</v>
      </c>
      <c r="G130" s="21">
        <v>79.099999999999994</v>
      </c>
      <c r="H130" s="13">
        <v>94.160556257901391</v>
      </c>
      <c r="I130" s="13">
        <v>93.258533501896324</v>
      </c>
      <c r="J130" s="13">
        <v>101.9228824273072</v>
      </c>
      <c r="K130" s="7">
        <f t="shared" si="2"/>
        <v>98.868584070796459</v>
      </c>
      <c r="L130" s="7">
        <f t="shared" si="3"/>
        <v>89.452528445006322</v>
      </c>
      <c r="M130" s="3" t="s">
        <v>1148</v>
      </c>
    </row>
    <row r="131" spans="1:13" x14ac:dyDescent="0.35">
      <c r="A131" s="11" t="s">
        <v>1287</v>
      </c>
      <c r="B131" s="11" t="s">
        <v>11</v>
      </c>
      <c r="C131" s="11" t="s">
        <v>30</v>
      </c>
      <c r="D131" s="11" t="s">
        <v>134</v>
      </c>
      <c r="E131" s="11" t="s">
        <v>131</v>
      </c>
      <c r="F131" s="20">
        <v>14</v>
      </c>
      <c r="G131" s="21">
        <v>26.27999999999999</v>
      </c>
      <c r="H131" s="13">
        <v>110.11451530285569</v>
      </c>
      <c r="I131" s="13">
        <v>99.242490174059512</v>
      </c>
      <c r="J131" s="13">
        <v>117.9890510948905</v>
      </c>
      <c r="K131" s="7">
        <f t="shared" si="2"/>
        <v>115.62024106799848</v>
      </c>
      <c r="L131" s="7">
        <f t="shared" si="3"/>
        <v>104.60878953771291</v>
      </c>
      <c r="M131" s="3" t="s">
        <v>1130</v>
      </c>
    </row>
    <row r="132" spans="1:13" x14ac:dyDescent="0.35">
      <c r="A132" s="11" t="s">
        <v>1288</v>
      </c>
      <c r="B132" s="11" t="s">
        <v>11</v>
      </c>
      <c r="C132" s="11" t="s">
        <v>30</v>
      </c>
      <c r="D132" s="11" t="s">
        <v>1136</v>
      </c>
      <c r="E132" s="11" t="s">
        <v>39</v>
      </c>
      <c r="F132" s="20">
        <v>11</v>
      </c>
      <c r="G132" s="21">
        <v>86.449999999999989</v>
      </c>
      <c r="H132" s="13">
        <v>126.76694214876041</v>
      </c>
      <c r="I132" s="13">
        <v>107.85363166698249</v>
      </c>
      <c r="J132" s="13">
        <v>129.72190453433089</v>
      </c>
      <c r="K132" s="7">
        <f t="shared" si="2"/>
        <v>133.10528925619843</v>
      </c>
      <c r="L132" s="7">
        <f t="shared" si="3"/>
        <v>120.42859504132238</v>
      </c>
      <c r="M132" s="3" t="s">
        <v>1137</v>
      </c>
    </row>
    <row r="133" spans="1:13" x14ac:dyDescent="0.35">
      <c r="A133" s="11" t="s">
        <v>1289</v>
      </c>
      <c r="B133" s="11" t="s">
        <v>11</v>
      </c>
      <c r="C133" s="11" t="s">
        <v>30</v>
      </c>
      <c r="D133" s="11" t="s">
        <v>1136</v>
      </c>
      <c r="E133" s="11" t="s">
        <v>59</v>
      </c>
      <c r="F133" s="20">
        <v>4</v>
      </c>
      <c r="G133" s="21">
        <v>3.44</v>
      </c>
      <c r="H133" s="13">
        <v>115.45348837209301</v>
      </c>
      <c r="I133" s="13">
        <v>111.9738372093023</v>
      </c>
      <c r="J133" s="13">
        <v>130.05813953488371</v>
      </c>
      <c r="K133" s="7">
        <f t="shared" ref="K133:K196" si="4">H133*(1+$B$2)</f>
        <v>121.22616279069766</v>
      </c>
      <c r="L133" s="7">
        <f t="shared" ref="L133:L196" si="5">H133*(1-$B$2)</f>
        <v>109.68081395348835</v>
      </c>
      <c r="M133" s="3" t="s">
        <v>1290</v>
      </c>
    </row>
    <row r="134" spans="1:13" x14ac:dyDescent="0.35">
      <c r="A134" s="11" t="s">
        <v>1291</v>
      </c>
      <c r="B134" s="11" t="s">
        <v>11</v>
      </c>
      <c r="C134" s="11" t="s">
        <v>30</v>
      </c>
      <c r="D134" s="11" t="s">
        <v>1139</v>
      </c>
      <c r="E134" s="11" t="s">
        <v>101</v>
      </c>
      <c r="F134" s="20">
        <v>1</v>
      </c>
      <c r="G134" s="21">
        <v>9.6</v>
      </c>
      <c r="H134" s="13">
        <v>99.747916666666669</v>
      </c>
      <c r="I134" s="13">
        <v>99.747916666666669</v>
      </c>
      <c r="J134" s="13">
        <v>99.747916666666669</v>
      </c>
      <c r="K134" s="7">
        <f t="shared" si="4"/>
        <v>104.73531250000001</v>
      </c>
      <c r="L134" s="7">
        <f t="shared" si="5"/>
        <v>94.760520833333331</v>
      </c>
      <c r="M134" s="3" t="s">
        <v>1292</v>
      </c>
    </row>
    <row r="135" spans="1:13" x14ac:dyDescent="0.35">
      <c r="A135" s="11" t="s">
        <v>1293</v>
      </c>
      <c r="B135" s="11" t="s">
        <v>11</v>
      </c>
      <c r="C135" s="11" t="s">
        <v>30</v>
      </c>
      <c r="D135" s="11" t="s">
        <v>1139</v>
      </c>
      <c r="E135" s="11" t="s">
        <v>62</v>
      </c>
      <c r="F135" s="20">
        <v>6</v>
      </c>
      <c r="G135" s="21">
        <v>30.09</v>
      </c>
      <c r="H135" s="13">
        <v>112.5920968303089</v>
      </c>
      <c r="I135" s="13">
        <v>103.4391651865009</v>
      </c>
      <c r="J135" s="13">
        <v>115.204574170039</v>
      </c>
      <c r="K135" s="7">
        <f t="shared" si="4"/>
        <v>118.22170167182435</v>
      </c>
      <c r="L135" s="7">
        <f t="shared" si="5"/>
        <v>106.96249198879346</v>
      </c>
      <c r="M135" s="3" t="s">
        <v>1140</v>
      </c>
    </row>
    <row r="136" spans="1:13" x14ac:dyDescent="0.35">
      <c r="A136" s="11" t="s">
        <v>1294</v>
      </c>
      <c r="B136" s="11" t="s">
        <v>11</v>
      </c>
      <c r="C136" s="11" t="s">
        <v>30</v>
      </c>
      <c r="D136" s="11" t="s">
        <v>1139</v>
      </c>
      <c r="E136" s="11" t="s">
        <v>99</v>
      </c>
      <c r="F136" s="20">
        <v>1</v>
      </c>
      <c r="G136" s="21">
        <v>0.2</v>
      </c>
      <c r="H136" s="13">
        <v>62.55</v>
      </c>
      <c r="I136" s="13">
        <v>62.55</v>
      </c>
      <c r="J136" s="13">
        <v>62.55</v>
      </c>
      <c r="K136" s="7">
        <f t="shared" si="4"/>
        <v>65.677499999999995</v>
      </c>
      <c r="L136" s="7">
        <f t="shared" si="5"/>
        <v>59.422499999999992</v>
      </c>
      <c r="M136" s="3" t="s">
        <v>1189</v>
      </c>
    </row>
    <row r="137" spans="1:13" x14ac:dyDescent="0.35">
      <c r="A137" s="11" t="s">
        <v>1295</v>
      </c>
      <c r="B137" s="11" t="s">
        <v>11</v>
      </c>
      <c r="C137" s="11" t="s">
        <v>30</v>
      </c>
      <c r="D137" s="11" t="s">
        <v>1139</v>
      </c>
      <c r="E137" s="11" t="s">
        <v>131</v>
      </c>
      <c r="F137" s="20">
        <v>4</v>
      </c>
      <c r="G137" s="21">
        <v>28.32</v>
      </c>
      <c r="H137" s="13">
        <v>97.883129833129843</v>
      </c>
      <c r="I137" s="13">
        <v>90.196349992142075</v>
      </c>
      <c r="J137" s="13">
        <v>105.8525641025641</v>
      </c>
      <c r="K137" s="7">
        <f t="shared" si="4"/>
        <v>102.77728632478635</v>
      </c>
      <c r="L137" s="7">
        <f t="shared" si="5"/>
        <v>92.98897334147334</v>
      </c>
      <c r="M137" s="3" t="s">
        <v>1185</v>
      </c>
    </row>
    <row r="138" spans="1:13" x14ac:dyDescent="0.35">
      <c r="A138" s="11" t="s">
        <v>1296</v>
      </c>
      <c r="B138" s="11" t="s">
        <v>11</v>
      </c>
      <c r="C138" s="11" t="s">
        <v>30</v>
      </c>
      <c r="D138" s="11" t="s">
        <v>1142</v>
      </c>
      <c r="E138" s="11" t="s">
        <v>101</v>
      </c>
      <c r="F138" s="20">
        <v>7</v>
      </c>
      <c r="G138" s="21">
        <v>57.6</v>
      </c>
      <c r="H138" s="13">
        <v>90.764583333333334</v>
      </c>
      <c r="I138" s="13">
        <v>85.526562500000011</v>
      </c>
      <c r="J138" s="13">
        <v>94.699817439862542</v>
      </c>
      <c r="K138" s="7">
        <f t="shared" si="4"/>
        <v>95.302812500000002</v>
      </c>
      <c r="L138" s="7">
        <f t="shared" si="5"/>
        <v>86.226354166666667</v>
      </c>
      <c r="M138" s="3" t="s">
        <v>1143</v>
      </c>
    </row>
    <row r="139" spans="1:13" x14ac:dyDescent="0.35">
      <c r="A139" s="11" t="s">
        <v>1297</v>
      </c>
      <c r="B139" s="11" t="s">
        <v>11</v>
      </c>
      <c r="C139" s="11" t="s">
        <v>30</v>
      </c>
      <c r="D139" s="11" t="s">
        <v>806</v>
      </c>
      <c r="E139" s="11" t="s">
        <v>28</v>
      </c>
      <c r="F139" s="20">
        <v>5</v>
      </c>
      <c r="G139" s="21">
        <v>9.5499999999999989</v>
      </c>
      <c r="H139" s="13">
        <v>118.020942408377</v>
      </c>
      <c r="I139" s="13">
        <v>114.2931937172775</v>
      </c>
      <c r="J139" s="13">
        <v>119.6649214659686</v>
      </c>
      <c r="K139" s="7">
        <f t="shared" si="4"/>
        <v>123.92198952879585</v>
      </c>
      <c r="L139" s="7">
        <f t="shared" si="5"/>
        <v>112.11989528795814</v>
      </c>
      <c r="M139" s="3" t="s">
        <v>1145</v>
      </c>
    </row>
    <row r="140" spans="1:13" x14ac:dyDescent="0.35">
      <c r="A140" s="11" t="s">
        <v>1298</v>
      </c>
      <c r="B140" s="11" t="s">
        <v>11</v>
      </c>
      <c r="C140" s="11" t="s">
        <v>30</v>
      </c>
      <c r="D140" s="11" t="s">
        <v>1147</v>
      </c>
      <c r="E140" s="11" t="s">
        <v>39</v>
      </c>
      <c r="F140" s="20">
        <v>5</v>
      </c>
      <c r="G140" s="21">
        <v>21.2</v>
      </c>
      <c r="H140" s="13">
        <v>110.31603773584909</v>
      </c>
      <c r="I140" s="13">
        <v>105.10613207547171</v>
      </c>
      <c r="J140" s="13">
        <v>113.4764150943396</v>
      </c>
      <c r="K140" s="7">
        <f t="shared" si="4"/>
        <v>115.83183962264155</v>
      </c>
      <c r="L140" s="7">
        <f t="shared" si="5"/>
        <v>104.80023584905663</v>
      </c>
      <c r="M140" s="3" t="s">
        <v>1148</v>
      </c>
    </row>
    <row r="141" spans="1:13" x14ac:dyDescent="0.35">
      <c r="A141" s="11" t="s">
        <v>1299</v>
      </c>
      <c r="B141" s="11" t="s">
        <v>11</v>
      </c>
      <c r="C141" s="11" t="s">
        <v>30</v>
      </c>
      <c r="D141" s="11" t="s">
        <v>1147</v>
      </c>
      <c r="E141" s="11" t="s">
        <v>54</v>
      </c>
      <c r="F141" s="20">
        <v>4</v>
      </c>
      <c r="G141" s="21">
        <v>21.68</v>
      </c>
      <c r="H141" s="13">
        <v>95.564575645756463</v>
      </c>
      <c r="I141" s="13">
        <v>90.986623616236159</v>
      </c>
      <c r="J141" s="13">
        <v>101.1360701107011</v>
      </c>
      <c r="K141" s="7">
        <f t="shared" si="4"/>
        <v>100.34280442804429</v>
      </c>
      <c r="L141" s="7">
        <f t="shared" si="5"/>
        <v>90.786346863468637</v>
      </c>
      <c r="M141" s="3" t="s">
        <v>1149</v>
      </c>
    </row>
    <row r="142" spans="1:13" x14ac:dyDescent="0.35">
      <c r="A142" s="11" t="s">
        <v>1300</v>
      </c>
      <c r="B142" s="11" t="s">
        <v>11</v>
      </c>
      <c r="C142" s="11" t="s">
        <v>30</v>
      </c>
      <c r="D142" s="11" t="s">
        <v>1147</v>
      </c>
      <c r="E142" s="11" t="s">
        <v>28</v>
      </c>
      <c r="F142" s="20">
        <v>6</v>
      </c>
      <c r="G142" s="21">
        <v>20.67</v>
      </c>
      <c r="H142" s="13">
        <v>106.4545454545455</v>
      </c>
      <c r="I142" s="13">
        <v>101.9335016835017</v>
      </c>
      <c r="J142" s="13">
        <v>139.02791662327741</v>
      </c>
      <c r="K142" s="7">
        <f t="shared" si="4"/>
        <v>111.77727272727277</v>
      </c>
      <c r="L142" s="7">
        <f t="shared" si="5"/>
        <v>101.13181818181822</v>
      </c>
      <c r="M142" s="3" t="s">
        <v>1148</v>
      </c>
    </row>
    <row r="143" spans="1:13" x14ac:dyDescent="0.35">
      <c r="A143" s="11" t="s">
        <v>1301</v>
      </c>
      <c r="B143" s="11" t="s">
        <v>11</v>
      </c>
      <c r="C143" s="11" t="s">
        <v>30</v>
      </c>
      <c r="D143" s="11" t="s">
        <v>305</v>
      </c>
      <c r="E143" s="11" t="s">
        <v>39</v>
      </c>
      <c r="F143" s="20">
        <v>4</v>
      </c>
      <c r="G143" s="21">
        <v>22.6</v>
      </c>
      <c r="H143" s="13">
        <v>110.6433628318584</v>
      </c>
      <c r="I143" s="13">
        <v>107.9778761061947</v>
      </c>
      <c r="J143" s="13">
        <v>113.3384955752212</v>
      </c>
      <c r="K143" s="7">
        <f t="shared" si="4"/>
        <v>116.17553097345132</v>
      </c>
      <c r="L143" s="7">
        <f t="shared" si="5"/>
        <v>105.11119469026548</v>
      </c>
      <c r="M143" s="3" t="s">
        <v>1149</v>
      </c>
    </row>
    <row r="144" spans="1:13" x14ac:dyDescent="0.35">
      <c r="A144" s="11" t="s">
        <v>1302</v>
      </c>
      <c r="B144" s="11" t="s">
        <v>11</v>
      </c>
      <c r="C144" s="11" t="s">
        <v>30</v>
      </c>
      <c r="D144" s="11" t="s">
        <v>305</v>
      </c>
      <c r="E144" s="11" t="s">
        <v>35</v>
      </c>
      <c r="F144" s="20">
        <v>4</v>
      </c>
      <c r="G144" s="21">
        <v>27.88</v>
      </c>
      <c r="H144" s="13">
        <v>135.5588235294118</v>
      </c>
      <c r="I144" s="13">
        <v>128.59253945480631</v>
      </c>
      <c r="J144" s="13">
        <v>143.9626972740316</v>
      </c>
      <c r="K144" s="7">
        <f t="shared" si="4"/>
        <v>142.33676470588239</v>
      </c>
      <c r="L144" s="7">
        <f t="shared" si="5"/>
        <v>128.78088235294121</v>
      </c>
      <c r="M144" s="3" t="s">
        <v>1149</v>
      </c>
    </row>
    <row r="145" spans="1:13" x14ac:dyDescent="0.35">
      <c r="A145" s="11" t="s">
        <v>1303</v>
      </c>
      <c r="B145" s="11" t="s">
        <v>11</v>
      </c>
      <c r="C145" s="11" t="s">
        <v>30</v>
      </c>
      <c r="D145" s="11" t="s">
        <v>305</v>
      </c>
      <c r="E145" s="11" t="s">
        <v>28</v>
      </c>
      <c r="F145" s="20">
        <v>4</v>
      </c>
      <c r="G145" s="21">
        <v>23.28</v>
      </c>
      <c r="H145" s="13">
        <v>101.05841924398629</v>
      </c>
      <c r="I145" s="13">
        <v>91.555841924398607</v>
      </c>
      <c r="J145" s="13">
        <v>107.63659793814431</v>
      </c>
      <c r="K145" s="7">
        <f t="shared" si="4"/>
        <v>106.11134020618562</v>
      </c>
      <c r="L145" s="7">
        <f t="shared" si="5"/>
        <v>96.00549828178697</v>
      </c>
      <c r="M145" s="3" t="s">
        <v>1149</v>
      </c>
    </row>
    <row r="146" spans="1:13" x14ac:dyDescent="0.35">
      <c r="A146" s="11" t="s">
        <v>1304</v>
      </c>
      <c r="B146" s="11" t="s">
        <v>11</v>
      </c>
      <c r="C146" s="11" t="s">
        <v>30</v>
      </c>
      <c r="D146" s="11" t="s">
        <v>305</v>
      </c>
      <c r="E146" s="11" t="s">
        <v>186</v>
      </c>
      <c r="F146" s="20">
        <v>4</v>
      </c>
      <c r="G146" s="21">
        <v>5.8</v>
      </c>
      <c r="H146" s="13">
        <v>95.324137931034485</v>
      </c>
      <c r="I146" s="13">
        <v>89.282758620689663</v>
      </c>
      <c r="J146" s="13">
        <v>104.44310344827581</v>
      </c>
      <c r="K146" s="7">
        <f t="shared" si="4"/>
        <v>100.09034482758621</v>
      </c>
      <c r="L146" s="7">
        <f t="shared" si="5"/>
        <v>90.557931034482763</v>
      </c>
      <c r="M146" s="3" t="s">
        <v>1149</v>
      </c>
    </row>
    <row r="147" spans="1:13" x14ac:dyDescent="0.35">
      <c r="A147" s="11" t="s">
        <v>1305</v>
      </c>
      <c r="B147" s="11" t="s">
        <v>11</v>
      </c>
      <c r="C147" s="11" t="s">
        <v>30</v>
      </c>
      <c r="D147" s="11" t="s">
        <v>27</v>
      </c>
      <c r="E147" s="11" t="s">
        <v>360</v>
      </c>
      <c r="F147" s="20">
        <v>1</v>
      </c>
      <c r="G147" s="21">
        <v>8.73</v>
      </c>
      <c r="H147" s="13">
        <v>171.0378006872852</v>
      </c>
      <c r="I147" s="13">
        <v>171.0378006872852</v>
      </c>
      <c r="J147" s="13">
        <v>171.0378006872852</v>
      </c>
      <c r="K147" s="7">
        <f t="shared" si="4"/>
        <v>179.58969072164948</v>
      </c>
      <c r="L147" s="7">
        <f t="shared" si="5"/>
        <v>162.48591065292092</v>
      </c>
      <c r="M147" s="3" t="s">
        <v>1157</v>
      </c>
    </row>
    <row r="148" spans="1:13" x14ac:dyDescent="0.35">
      <c r="A148" s="11" t="s">
        <v>1306</v>
      </c>
      <c r="B148" s="11" t="s">
        <v>11</v>
      </c>
      <c r="C148" s="11" t="s">
        <v>30</v>
      </c>
      <c r="D148" s="11" t="s">
        <v>27</v>
      </c>
      <c r="E148" s="11" t="s">
        <v>364</v>
      </c>
      <c r="F148" s="20">
        <v>1</v>
      </c>
      <c r="G148" s="21">
        <v>3.4</v>
      </c>
      <c r="H148" s="13">
        <v>118.7823529411765</v>
      </c>
      <c r="I148" s="13">
        <v>118.7823529411765</v>
      </c>
      <c r="J148" s="13">
        <v>118.7823529411765</v>
      </c>
      <c r="K148" s="7">
        <f t="shared" si="4"/>
        <v>124.72147058823533</v>
      </c>
      <c r="L148" s="7">
        <f t="shared" si="5"/>
        <v>112.84323529411766</v>
      </c>
      <c r="M148" s="3" t="s">
        <v>1307</v>
      </c>
    </row>
    <row r="149" spans="1:13" x14ac:dyDescent="0.35">
      <c r="A149" s="11" t="s">
        <v>1308</v>
      </c>
      <c r="B149" s="11" t="s">
        <v>11</v>
      </c>
      <c r="C149" s="11" t="s">
        <v>30</v>
      </c>
      <c r="D149" s="11" t="s">
        <v>27</v>
      </c>
      <c r="E149" s="11" t="s">
        <v>101</v>
      </c>
      <c r="F149" s="20">
        <v>4</v>
      </c>
      <c r="G149" s="21">
        <v>14.5</v>
      </c>
      <c r="H149" s="13">
        <v>96.719827586206904</v>
      </c>
      <c r="I149" s="13">
        <v>85.906609195402311</v>
      </c>
      <c r="J149" s="13">
        <v>107.9719827586207</v>
      </c>
      <c r="K149" s="7">
        <f t="shared" si="4"/>
        <v>101.55581896551725</v>
      </c>
      <c r="L149" s="7">
        <f t="shared" si="5"/>
        <v>91.883836206896561</v>
      </c>
      <c r="M149" s="3" t="s">
        <v>1154</v>
      </c>
    </row>
    <row r="150" spans="1:13" x14ac:dyDescent="0.35">
      <c r="A150" s="11" t="s">
        <v>1309</v>
      </c>
      <c r="B150" s="11" t="s">
        <v>11</v>
      </c>
      <c r="C150" s="11" t="s">
        <v>30</v>
      </c>
      <c r="D150" s="11" t="s">
        <v>27</v>
      </c>
      <c r="E150" s="11" t="s">
        <v>393</v>
      </c>
      <c r="F150" s="20">
        <v>1</v>
      </c>
      <c r="G150" s="21">
        <v>9.83</v>
      </c>
      <c r="H150" s="13">
        <v>108.8545269582909</v>
      </c>
      <c r="I150" s="13">
        <v>108.8545269582909</v>
      </c>
      <c r="J150" s="13">
        <v>108.8545269582909</v>
      </c>
      <c r="K150" s="7">
        <f t="shared" si="4"/>
        <v>114.29725330620545</v>
      </c>
      <c r="L150" s="7">
        <f t="shared" si="5"/>
        <v>103.41180061037636</v>
      </c>
      <c r="M150" s="3" t="s">
        <v>1157</v>
      </c>
    </row>
    <row r="151" spans="1:13" x14ac:dyDescent="0.35">
      <c r="A151" s="11" t="s">
        <v>65</v>
      </c>
      <c r="B151" s="11" t="s">
        <v>11</v>
      </c>
      <c r="C151" s="11" t="s">
        <v>30</v>
      </c>
      <c r="D151" s="11" t="s">
        <v>27</v>
      </c>
      <c r="E151" s="11" t="s">
        <v>62</v>
      </c>
      <c r="F151" s="20">
        <v>44</v>
      </c>
      <c r="G151" s="21">
        <v>423.63000000000011</v>
      </c>
      <c r="H151" s="13">
        <v>136.9924703665755</v>
      </c>
      <c r="I151" s="13">
        <v>125.7307258286028</v>
      </c>
      <c r="J151" s="13">
        <v>146.8401700785773</v>
      </c>
      <c r="K151" s="7">
        <f t="shared" si="4"/>
        <v>143.84209388490427</v>
      </c>
      <c r="L151" s="7">
        <f t="shared" si="5"/>
        <v>130.14284684824673</v>
      </c>
      <c r="M151" s="3" t="s">
        <v>1134</v>
      </c>
    </row>
    <row r="152" spans="1:13" x14ac:dyDescent="0.35">
      <c r="A152" s="11" t="s">
        <v>40</v>
      </c>
      <c r="B152" s="11" t="s">
        <v>11</v>
      </c>
      <c r="C152" s="11" t="s">
        <v>30</v>
      </c>
      <c r="D152" s="11" t="s">
        <v>27</v>
      </c>
      <c r="E152" s="11" t="s">
        <v>39</v>
      </c>
      <c r="F152" s="20">
        <v>197</v>
      </c>
      <c r="G152" s="21">
        <v>2189.75</v>
      </c>
      <c r="H152" s="13">
        <v>132.44401544401541</v>
      </c>
      <c r="I152" s="13">
        <v>118.5801526717557</v>
      </c>
      <c r="J152" s="13">
        <v>146.5130641330166</v>
      </c>
      <c r="K152" s="7">
        <f t="shared" si="4"/>
        <v>139.06621621621619</v>
      </c>
      <c r="L152" s="7">
        <f t="shared" si="5"/>
        <v>125.82181467181464</v>
      </c>
      <c r="M152" s="3" t="s">
        <v>1130</v>
      </c>
    </row>
    <row r="153" spans="1:13" x14ac:dyDescent="0.35">
      <c r="A153" s="11" t="s">
        <v>154</v>
      </c>
      <c r="B153" s="11" t="s">
        <v>11</v>
      </c>
      <c r="C153" s="11" t="s">
        <v>30</v>
      </c>
      <c r="D153" s="11" t="s">
        <v>27</v>
      </c>
      <c r="E153" s="11" t="s">
        <v>84</v>
      </c>
      <c r="F153" s="20">
        <v>92</v>
      </c>
      <c r="G153" s="21">
        <v>1016.05</v>
      </c>
      <c r="H153" s="13">
        <v>125.7999199629302</v>
      </c>
      <c r="I153" s="13">
        <v>110.71982142857139</v>
      </c>
      <c r="J153" s="13">
        <v>138.7217104557237</v>
      </c>
      <c r="K153" s="7">
        <f t="shared" si="4"/>
        <v>132.08991596107671</v>
      </c>
      <c r="L153" s="7">
        <f t="shared" si="5"/>
        <v>119.5099239647837</v>
      </c>
      <c r="M153" s="3" t="s">
        <v>1130</v>
      </c>
    </row>
    <row r="154" spans="1:13" x14ac:dyDescent="0.35">
      <c r="A154" s="11" t="s">
        <v>44</v>
      </c>
      <c r="B154" s="11" t="s">
        <v>11</v>
      </c>
      <c r="C154" s="11" t="s">
        <v>30</v>
      </c>
      <c r="D154" s="11" t="s">
        <v>27</v>
      </c>
      <c r="E154" s="11" t="s">
        <v>43</v>
      </c>
      <c r="F154" s="20">
        <v>94</v>
      </c>
      <c r="G154" s="21">
        <v>591.9</v>
      </c>
      <c r="H154" s="13">
        <v>118.6146621100209</v>
      </c>
      <c r="I154" s="13">
        <v>96.475588166783126</v>
      </c>
      <c r="J154" s="13">
        <v>134.54525479737961</v>
      </c>
      <c r="K154" s="7">
        <f t="shared" si="4"/>
        <v>124.54539521552195</v>
      </c>
      <c r="L154" s="7">
        <f t="shared" si="5"/>
        <v>112.68392900451985</v>
      </c>
      <c r="M154" s="3" t="s">
        <v>1130</v>
      </c>
    </row>
    <row r="155" spans="1:13" x14ac:dyDescent="0.35">
      <c r="A155" s="11" t="s">
        <v>1310</v>
      </c>
      <c r="B155" s="11" t="s">
        <v>11</v>
      </c>
      <c r="C155" s="11" t="s">
        <v>30</v>
      </c>
      <c r="D155" s="11" t="s">
        <v>27</v>
      </c>
      <c r="E155" s="11" t="s">
        <v>332</v>
      </c>
      <c r="F155" s="20">
        <v>2</v>
      </c>
      <c r="G155" s="21">
        <v>17.899999999999999</v>
      </c>
      <c r="H155" s="13">
        <v>103.079843887511</v>
      </c>
      <c r="I155" s="13">
        <v>99.928930564445167</v>
      </c>
      <c r="J155" s="13">
        <v>106.2307572105769</v>
      </c>
      <c r="K155" s="7">
        <f t="shared" si="4"/>
        <v>108.23383608188657</v>
      </c>
      <c r="L155" s="7">
        <f t="shared" si="5"/>
        <v>97.925851693135442</v>
      </c>
      <c r="M155" s="3" t="s">
        <v>1157</v>
      </c>
    </row>
    <row r="156" spans="1:13" x14ac:dyDescent="0.35">
      <c r="A156" s="11" t="s">
        <v>1311</v>
      </c>
      <c r="B156" s="11" t="s">
        <v>11</v>
      </c>
      <c r="C156" s="11" t="s">
        <v>30</v>
      </c>
      <c r="D156" s="11" t="s">
        <v>27</v>
      </c>
      <c r="E156" s="11" t="s">
        <v>502</v>
      </c>
      <c r="F156" s="20">
        <v>5</v>
      </c>
      <c r="G156" s="21">
        <v>46.1</v>
      </c>
      <c r="H156" s="13">
        <v>129.5130151843818</v>
      </c>
      <c r="I156" s="13">
        <v>126.324295010846</v>
      </c>
      <c r="J156" s="13">
        <v>136.41431670281989</v>
      </c>
      <c r="K156" s="7">
        <f t="shared" si="4"/>
        <v>135.98866594360089</v>
      </c>
      <c r="L156" s="7">
        <f t="shared" si="5"/>
        <v>123.03736442516271</v>
      </c>
      <c r="M156" s="3" t="s">
        <v>1148</v>
      </c>
    </row>
    <row r="157" spans="1:13" x14ac:dyDescent="0.35">
      <c r="A157" s="11" t="s">
        <v>1312</v>
      </c>
      <c r="B157" s="11" t="s">
        <v>11</v>
      </c>
      <c r="C157" s="11" t="s">
        <v>30</v>
      </c>
      <c r="D157" s="11" t="s">
        <v>27</v>
      </c>
      <c r="E157" s="11" t="s">
        <v>143</v>
      </c>
      <c r="F157" s="20">
        <v>3</v>
      </c>
      <c r="G157" s="21">
        <v>23.61</v>
      </c>
      <c r="H157" s="13">
        <v>133.3367217280813</v>
      </c>
      <c r="I157" s="13">
        <v>130.77445997458699</v>
      </c>
      <c r="J157" s="13">
        <v>142.56480304955531</v>
      </c>
      <c r="K157" s="7">
        <f t="shared" si="4"/>
        <v>140.00355781448536</v>
      </c>
      <c r="L157" s="7">
        <f t="shared" si="5"/>
        <v>126.66988564167723</v>
      </c>
      <c r="M157" s="3" t="s">
        <v>1158</v>
      </c>
    </row>
    <row r="158" spans="1:13" x14ac:dyDescent="0.35">
      <c r="A158" s="11" t="s">
        <v>68</v>
      </c>
      <c r="B158" s="11" t="s">
        <v>11</v>
      </c>
      <c r="C158" s="11" t="s">
        <v>30</v>
      </c>
      <c r="D158" s="11" t="s">
        <v>27</v>
      </c>
      <c r="E158" s="11" t="s">
        <v>35</v>
      </c>
      <c r="F158" s="20">
        <v>32</v>
      </c>
      <c r="G158" s="21">
        <v>275.3</v>
      </c>
      <c r="H158" s="13">
        <v>149.56687408187591</v>
      </c>
      <c r="I158" s="13">
        <v>144.4040132200189</v>
      </c>
      <c r="J158" s="13">
        <v>161.15470497526661</v>
      </c>
      <c r="K158" s="7">
        <f t="shared" si="4"/>
        <v>157.0452177859697</v>
      </c>
      <c r="L158" s="7">
        <f t="shared" si="5"/>
        <v>142.08853037778212</v>
      </c>
      <c r="M158" s="3" t="s">
        <v>1134</v>
      </c>
    </row>
    <row r="159" spans="1:13" x14ac:dyDescent="0.35">
      <c r="A159" s="11" t="s">
        <v>1313</v>
      </c>
      <c r="B159" s="11" t="s">
        <v>11</v>
      </c>
      <c r="C159" s="11" t="s">
        <v>30</v>
      </c>
      <c r="D159" s="11" t="s">
        <v>27</v>
      </c>
      <c r="E159" s="11" t="s">
        <v>1314</v>
      </c>
      <c r="F159" s="20">
        <v>2</v>
      </c>
      <c r="G159" s="21">
        <v>7.66</v>
      </c>
      <c r="H159" s="13">
        <v>130.04177545691911</v>
      </c>
      <c r="I159" s="13">
        <v>128.25326370757179</v>
      </c>
      <c r="J159" s="13">
        <v>131.83028720626629</v>
      </c>
      <c r="K159" s="7">
        <f t="shared" si="4"/>
        <v>136.54386422976506</v>
      </c>
      <c r="L159" s="7">
        <f t="shared" si="5"/>
        <v>123.53968668407315</v>
      </c>
      <c r="M159" s="3" t="s">
        <v>1154</v>
      </c>
    </row>
    <row r="160" spans="1:13" x14ac:dyDescent="0.35">
      <c r="A160" s="11" t="s">
        <v>1315</v>
      </c>
      <c r="B160" s="11" t="s">
        <v>11</v>
      </c>
      <c r="C160" s="11" t="s">
        <v>30</v>
      </c>
      <c r="D160" s="11" t="s">
        <v>27</v>
      </c>
      <c r="E160" s="11" t="s">
        <v>328</v>
      </c>
      <c r="F160" s="20">
        <v>2</v>
      </c>
      <c r="G160" s="21">
        <v>4.82</v>
      </c>
      <c r="H160" s="13">
        <v>110.2958661618746</v>
      </c>
      <c r="I160" s="13">
        <v>106.9927606671442</v>
      </c>
      <c r="J160" s="13">
        <v>113.5989716566049</v>
      </c>
      <c r="K160" s="7">
        <f t="shared" si="4"/>
        <v>115.81065946996833</v>
      </c>
      <c r="L160" s="7">
        <f t="shared" si="5"/>
        <v>104.78107285378087</v>
      </c>
      <c r="M160" s="3" t="s">
        <v>1157</v>
      </c>
    </row>
    <row r="161" spans="1:13" x14ac:dyDescent="0.35">
      <c r="A161" s="11" t="s">
        <v>522</v>
      </c>
      <c r="B161" s="11" t="s">
        <v>11</v>
      </c>
      <c r="C161" s="11" t="s">
        <v>30</v>
      </c>
      <c r="D161" s="11" t="s">
        <v>27</v>
      </c>
      <c r="E161" s="11" t="s">
        <v>89</v>
      </c>
      <c r="F161" s="20">
        <v>6</v>
      </c>
      <c r="G161" s="21">
        <v>98.580000000000013</v>
      </c>
      <c r="H161" s="13">
        <v>161.39531345100431</v>
      </c>
      <c r="I161" s="13">
        <v>142.35803408399269</v>
      </c>
      <c r="J161" s="13">
        <v>166.81299452221549</v>
      </c>
      <c r="K161" s="7">
        <f t="shared" si="4"/>
        <v>169.46507912355455</v>
      </c>
      <c r="L161" s="7">
        <f t="shared" si="5"/>
        <v>153.32554777845408</v>
      </c>
      <c r="M161" s="3" t="s">
        <v>1130</v>
      </c>
    </row>
    <row r="162" spans="1:13" x14ac:dyDescent="0.35">
      <c r="A162" s="11" t="s">
        <v>1316</v>
      </c>
      <c r="B162" s="11" t="s">
        <v>11</v>
      </c>
      <c r="C162" s="11" t="s">
        <v>30</v>
      </c>
      <c r="D162" s="11" t="s">
        <v>27</v>
      </c>
      <c r="E162" s="11" t="s">
        <v>73</v>
      </c>
      <c r="F162" s="20">
        <v>13</v>
      </c>
      <c r="G162" s="21">
        <v>97.79</v>
      </c>
      <c r="H162" s="13">
        <v>145.91569086651049</v>
      </c>
      <c r="I162" s="13">
        <v>134.25995316159251</v>
      </c>
      <c r="J162" s="13">
        <v>149.24609375</v>
      </c>
      <c r="K162" s="7">
        <f t="shared" si="4"/>
        <v>153.21147540983603</v>
      </c>
      <c r="L162" s="7">
        <f t="shared" si="5"/>
        <v>138.61990632318495</v>
      </c>
      <c r="M162" s="3" t="s">
        <v>1148</v>
      </c>
    </row>
    <row r="163" spans="1:13" x14ac:dyDescent="0.35">
      <c r="A163" s="11" t="s">
        <v>192</v>
      </c>
      <c r="B163" s="11" t="s">
        <v>11</v>
      </c>
      <c r="C163" s="11" t="s">
        <v>30</v>
      </c>
      <c r="D163" s="11" t="s">
        <v>27</v>
      </c>
      <c r="E163" s="11" t="s">
        <v>147</v>
      </c>
      <c r="F163" s="20">
        <v>19</v>
      </c>
      <c r="G163" s="21">
        <v>99.64</v>
      </c>
      <c r="H163" s="13">
        <v>111.5504885993485</v>
      </c>
      <c r="I163" s="13">
        <v>99.101032573289899</v>
      </c>
      <c r="J163" s="13">
        <v>118.0292704676507</v>
      </c>
      <c r="K163" s="7">
        <f t="shared" si="4"/>
        <v>117.12801302931592</v>
      </c>
      <c r="L163" s="7">
        <f t="shared" si="5"/>
        <v>105.97296416938107</v>
      </c>
      <c r="M163" s="3" t="s">
        <v>1149</v>
      </c>
    </row>
    <row r="164" spans="1:13" x14ac:dyDescent="0.35">
      <c r="A164" s="11" t="s">
        <v>170</v>
      </c>
      <c r="B164" s="11" t="s">
        <v>11</v>
      </c>
      <c r="C164" s="11" t="s">
        <v>30</v>
      </c>
      <c r="D164" s="11" t="s">
        <v>27</v>
      </c>
      <c r="E164" s="11" t="s">
        <v>169</v>
      </c>
      <c r="F164" s="20">
        <v>12</v>
      </c>
      <c r="G164" s="21">
        <v>81.690000000000012</v>
      </c>
      <c r="H164" s="13">
        <v>155.66381578947369</v>
      </c>
      <c r="I164" s="13">
        <v>151.185572002924</v>
      </c>
      <c r="J164" s="13">
        <v>164.34312320916911</v>
      </c>
      <c r="K164" s="7">
        <f t="shared" si="4"/>
        <v>163.44700657894737</v>
      </c>
      <c r="L164" s="7">
        <f t="shared" si="5"/>
        <v>147.88062500000001</v>
      </c>
      <c r="M164" s="3" t="s">
        <v>1149</v>
      </c>
    </row>
    <row r="165" spans="1:13" x14ac:dyDescent="0.35">
      <c r="A165" s="11" t="s">
        <v>1317</v>
      </c>
      <c r="B165" s="11" t="s">
        <v>11</v>
      </c>
      <c r="C165" s="11" t="s">
        <v>30</v>
      </c>
      <c r="D165" s="11" t="s">
        <v>27</v>
      </c>
      <c r="E165" s="11" t="s">
        <v>1267</v>
      </c>
      <c r="F165" s="20">
        <v>9</v>
      </c>
      <c r="G165" s="21">
        <v>100.39</v>
      </c>
      <c r="H165" s="13">
        <v>136.57681159420289</v>
      </c>
      <c r="I165" s="13">
        <v>123.2592592592593</v>
      </c>
      <c r="J165" s="13">
        <v>142.07744107744111</v>
      </c>
      <c r="K165" s="7">
        <f t="shared" si="4"/>
        <v>143.40565217391304</v>
      </c>
      <c r="L165" s="7">
        <f t="shared" si="5"/>
        <v>129.74797101449275</v>
      </c>
      <c r="M165" s="3" t="s">
        <v>1149</v>
      </c>
    </row>
    <row r="166" spans="1:13" x14ac:dyDescent="0.35">
      <c r="A166" s="11" t="s">
        <v>126</v>
      </c>
      <c r="B166" s="11" t="s">
        <v>11</v>
      </c>
      <c r="C166" s="11" t="s">
        <v>30</v>
      </c>
      <c r="D166" s="11" t="s">
        <v>27</v>
      </c>
      <c r="E166" s="11" t="s">
        <v>122</v>
      </c>
      <c r="F166" s="20">
        <v>8</v>
      </c>
      <c r="G166" s="21">
        <v>61.38</v>
      </c>
      <c r="H166" s="13">
        <v>124.5931034482759</v>
      </c>
      <c r="I166" s="13">
        <v>112.3148275862069</v>
      </c>
      <c r="J166" s="13">
        <v>140.80545150501669</v>
      </c>
      <c r="K166" s="7">
        <f t="shared" si="4"/>
        <v>130.82275862068971</v>
      </c>
      <c r="L166" s="7">
        <f t="shared" si="5"/>
        <v>118.3634482758621</v>
      </c>
      <c r="M166" s="3" t="s">
        <v>1149</v>
      </c>
    </row>
    <row r="167" spans="1:13" x14ac:dyDescent="0.35">
      <c r="A167" s="11" t="s">
        <v>216</v>
      </c>
      <c r="B167" s="11" t="s">
        <v>11</v>
      </c>
      <c r="C167" s="11" t="s">
        <v>30</v>
      </c>
      <c r="D167" s="11" t="s">
        <v>27</v>
      </c>
      <c r="E167" s="11" t="s">
        <v>99</v>
      </c>
      <c r="F167" s="20">
        <v>8</v>
      </c>
      <c r="G167" s="21">
        <v>73.819999999999993</v>
      </c>
      <c r="H167" s="13">
        <v>102.78741883116879</v>
      </c>
      <c r="I167" s="13">
        <v>92.499343045298914</v>
      </c>
      <c r="J167" s="13">
        <v>114.62538825646961</v>
      </c>
      <c r="K167" s="7">
        <f t="shared" si="4"/>
        <v>107.92678977272723</v>
      </c>
      <c r="L167" s="7">
        <f t="shared" si="5"/>
        <v>97.648047889610353</v>
      </c>
      <c r="M167" s="3" t="s">
        <v>1148</v>
      </c>
    </row>
    <row r="168" spans="1:13" x14ac:dyDescent="0.35">
      <c r="A168" s="11" t="s">
        <v>1318</v>
      </c>
      <c r="B168" s="11" t="s">
        <v>11</v>
      </c>
      <c r="C168" s="11" t="s">
        <v>30</v>
      </c>
      <c r="D168" s="11" t="s">
        <v>27</v>
      </c>
      <c r="E168" s="11" t="s">
        <v>230</v>
      </c>
      <c r="F168" s="20">
        <v>1</v>
      </c>
      <c r="G168" s="21">
        <v>3.45</v>
      </c>
      <c r="H168" s="13">
        <v>120.27536231884061</v>
      </c>
      <c r="I168" s="13">
        <v>120.27536231884061</v>
      </c>
      <c r="J168" s="13">
        <v>120.27536231884061</v>
      </c>
      <c r="K168" s="7">
        <f t="shared" si="4"/>
        <v>126.28913043478265</v>
      </c>
      <c r="L168" s="7">
        <f t="shared" si="5"/>
        <v>114.26159420289856</v>
      </c>
      <c r="M168" s="3" t="s">
        <v>1157</v>
      </c>
    </row>
    <row r="169" spans="1:13" x14ac:dyDescent="0.35">
      <c r="A169" s="11" t="s">
        <v>415</v>
      </c>
      <c r="B169" s="11" t="s">
        <v>11</v>
      </c>
      <c r="C169" s="11" t="s">
        <v>30</v>
      </c>
      <c r="D169" s="11" t="s">
        <v>27</v>
      </c>
      <c r="E169" s="11" t="s">
        <v>414</v>
      </c>
      <c r="F169" s="20">
        <v>8</v>
      </c>
      <c r="G169" s="21">
        <v>89</v>
      </c>
      <c r="H169" s="13">
        <v>122.4677819083024</v>
      </c>
      <c r="I169" s="13">
        <v>110.4929825504271</v>
      </c>
      <c r="J169" s="13">
        <v>126.18247531734841</v>
      </c>
      <c r="K169" s="7">
        <f t="shared" si="4"/>
        <v>128.59117100371753</v>
      </c>
      <c r="L169" s="7">
        <f t="shared" si="5"/>
        <v>116.34439281288728</v>
      </c>
      <c r="M169" s="3" t="s">
        <v>1149</v>
      </c>
    </row>
    <row r="170" spans="1:13" x14ac:dyDescent="0.35">
      <c r="A170" s="11" t="s">
        <v>1319</v>
      </c>
      <c r="B170" s="11" t="s">
        <v>11</v>
      </c>
      <c r="C170" s="11" t="s">
        <v>30</v>
      </c>
      <c r="D170" s="11" t="s">
        <v>27</v>
      </c>
      <c r="E170" s="11" t="s">
        <v>1320</v>
      </c>
      <c r="F170" s="20">
        <v>5</v>
      </c>
      <c r="G170" s="21">
        <v>24.6</v>
      </c>
      <c r="H170" s="13">
        <v>79.739837398373979</v>
      </c>
      <c r="I170" s="13">
        <v>78.969512195121965</v>
      </c>
      <c r="J170" s="13">
        <v>91.095528455284551</v>
      </c>
      <c r="K170" s="7">
        <f t="shared" si="4"/>
        <v>83.726829268292676</v>
      </c>
      <c r="L170" s="7">
        <f t="shared" si="5"/>
        <v>75.752845528455282</v>
      </c>
      <c r="M170" s="3" t="s">
        <v>1149</v>
      </c>
    </row>
    <row r="171" spans="1:13" x14ac:dyDescent="0.35">
      <c r="A171" s="11" t="s">
        <v>137</v>
      </c>
      <c r="B171" s="11" t="s">
        <v>11</v>
      </c>
      <c r="C171" s="11" t="s">
        <v>30</v>
      </c>
      <c r="D171" s="11" t="s">
        <v>27</v>
      </c>
      <c r="E171" s="11" t="s">
        <v>59</v>
      </c>
      <c r="F171" s="20">
        <v>43</v>
      </c>
      <c r="G171" s="21">
        <v>399.07999999999993</v>
      </c>
      <c r="H171" s="13">
        <v>145.54881050041021</v>
      </c>
      <c r="I171" s="13">
        <v>130.56915975103729</v>
      </c>
      <c r="J171" s="13">
        <v>157.02871932518121</v>
      </c>
      <c r="K171" s="7">
        <f t="shared" si="4"/>
        <v>152.82625102543074</v>
      </c>
      <c r="L171" s="7">
        <f t="shared" si="5"/>
        <v>138.27136997538969</v>
      </c>
      <c r="M171" s="3" t="s">
        <v>1130</v>
      </c>
    </row>
    <row r="172" spans="1:13" x14ac:dyDescent="0.35">
      <c r="A172" s="11" t="s">
        <v>1321</v>
      </c>
      <c r="B172" s="11" t="s">
        <v>11</v>
      </c>
      <c r="C172" s="11" t="s">
        <v>30</v>
      </c>
      <c r="D172" s="11" t="s">
        <v>27</v>
      </c>
      <c r="E172" s="11" t="s">
        <v>54</v>
      </c>
      <c r="F172" s="20">
        <v>2</v>
      </c>
      <c r="G172" s="21">
        <v>21.02</v>
      </c>
      <c r="H172" s="13">
        <v>144.50190294957179</v>
      </c>
      <c r="I172" s="13">
        <v>143.80899143672701</v>
      </c>
      <c r="J172" s="13">
        <v>145.1948144624167</v>
      </c>
      <c r="K172" s="7">
        <f t="shared" si="4"/>
        <v>151.72699809705037</v>
      </c>
      <c r="L172" s="7">
        <f t="shared" si="5"/>
        <v>137.2768078020932</v>
      </c>
      <c r="M172" s="3" t="s">
        <v>1154</v>
      </c>
    </row>
    <row r="173" spans="1:13" x14ac:dyDescent="0.35">
      <c r="A173" s="11" t="s">
        <v>340</v>
      </c>
      <c r="B173" s="11" t="s">
        <v>11</v>
      </c>
      <c r="C173" s="11" t="s">
        <v>30</v>
      </c>
      <c r="D173" s="11" t="s">
        <v>27</v>
      </c>
      <c r="E173" s="11" t="s">
        <v>107</v>
      </c>
      <c r="F173" s="20">
        <v>14</v>
      </c>
      <c r="G173" s="21">
        <v>224.4499999999999</v>
      </c>
      <c r="H173" s="13">
        <v>123.1349326006294</v>
      </c>
      <c r="I173" s="13">
        <v>114.5778444640615</v>
      </c>
      <c r="J173" s="13">
        <v>132.46559728138669</v>
      </c>
      <c r="K173" s="7">
        <f t="shared" si="4"/>
        <v>129.29167923066086</v>
      </c>
      <c r="L173" s="7">
        <f t="shared" si="5"/>
        <v>116.97818597059792</v>
      </c>
      <c r="M173" s="3" t="s">
        <v>1134</v>
      </c>
    </row>
    <row r="174" spans="1:13" x14ac:dyDescent="0.35">
      <c r="A174" s="11" t="s">
        <v>1322</v>
      </c>
      <c r="B174" s="11" t="s">
        <v>11</v>
      </c>
      <c r="C174" s="11" t="s">
        <v>30</v>
      </c>
      <c r="D174" s="11" t="s">
        <v>27</v>
      </c>
      <c r="E174" s="11" t="s">
        <v>338</v>
      </c>
      <c r="F174" s="20">
        <v>2</v>
      </c>
      <c r="G174" s="21">
        <v>13.22</v>
      </c>
      <c r="H174" s="13">
        <v>125.9682299546142</v>
      </c>
      <c r="I174" s="13">
        <v>123.2065052950076</v>
      </c>
      <c r="J174" s="13">
        <v>128.7299546142209</v>
      </c>
      <c r="K174" s="7">
        <f t="shared" si="4"/>
        <v>132.26664145234491</v>
      </c>
      <c r="L174" s="7">
        <f t="shared" si="5"/>
        <v>119.66981845688349</v>
      </c>
      <c r="M174" s="3" t="s">
        <v>1154</v>
      </c>
    </row>
    <row r="175" spans="1:13" x14ac:dyDescent="0.35">
      <c r="A175" s="11" t="s">
        <v>480</v>
      </c>
      <c r="B175" s="11" t="s">
        <v>11</v>
      </c>
      <c r="C175" s="11" t="s">
        <v>30</v>
      </c>
      <c r="D175" s="11" t="s">
        <v>27</v>
      </c>
      <c r="E175" s="11" t="s">
        <v>479</v>
      </c>
      <c r="F175" s="20">
        <v>7</v>
      </c>
      <c r="G175" s="21">
        <v>61.199999999999989</v>
      </c>
      <c r="H175" s="13">
        <v>145.11619718309859</v>
      </c>
      <c r="I175" s="13">
        <v>116.8168832315426</v>
      </c>
      <c r="J175" s="13">
        <v>150.32133397731519</v>
      </c>
      <c r="K175" s="7">
        <f t="shared" si="4"/>
        <v>152.37200704225353</v>
      </c>
      <c r="L175" s="7">
        <f t="shared" si="5"/>
        <v>137.86038732394366</v>
      </c>
      <c r="M175" s="3" t="s">
        <v>1149</v>
      </c>
    </row>
    <row r="176" spans="1:13" x14ac:dyDescent="0.35">
      <c r="A176" s="11" t="s">
        <v>29</v>
      </c>
      <c r="B176" s="11" t="s">
        <v>11</v>
      </c>
      <c r="C176" s="11" t="s">
        <v>30</v>
      </c>
      <c r="D176" s="11" t="s">
        <v>27</v>
      </c>
      <c r="E176" s="11" t="s">
        <v>28</v>
      </c>
      <c r="F176" s="20">
        <v>58</v>
      </c>
      <c r="G176" s="21">
        <v>512.75</v>
      </c>
      <c r="H176" s="13">
        <v>129.66292797447881</v>
      </c>
      <c r="I176" s="13">
        <v>112.5244841139862</v>
      </c>
      <c r="J176" s="13">
        <v>139.82029739098701</v>
      </c>
      <c r="K176" s="7">
        <f t="shared" si="4"/>
        <v>136.14607437320277</v>
      </c>
      <c r="L176" s="7">
        <f t="shared" si="5"/>
        <v>123.17978157575486</v>
      </c>
      <c r="M176" s="3" t="s">
        <v>1148</v>
      </c>
    </row>
    <row r="177" spans="1:13" x14ac:dyDescent="0.35">
      <c r="A177" s="11" t="s">
        <v>515</v>
      </c>
      <c r="B177" s="11" t="s">
        <v>11</v>
      </c>
      <c r="C177" s="11" t="s">
        <v>30</v>
      </c>
      <c r="D177" s="11" t="s">
        <v>27</v>
      </c>
      <c r="E177" s="11" t="s">
        <v>186</v>
      </c>
      <c r="F177" s="20">
        <v>13</v>
      </c>
      <c r="G177" s="21">
        <v>98.180000000000021</v>
      </c>
      <c r="H177" s="13">
        <v>138.46153846153851</v>
      </c>
      <c r="I177" s="13">
        <v>130.19723865877711</v>
      </c>
      <c r="J177" s="13">
        <v>155.38840579710151</v>
      </c>
      <c r="K177" s="7">
        <f t="shared" si="4"/>
        <v>145.38461538461544</v>
      </c>
      <c r="L177" s="7">
        <f t="shared" si="5"/>
        <v>131.53846153846158</v>
      </c>
      <c r="M177" s="3" t="s">
        <v>1149</v>
      </c>
    </row>
    <row r="178" spans="1:13" x14ac:dyDescent="0.35">
      <c r="A178" s="11" t="s">
        <v>264</v>
      </c>
      <c r="B178" s="11" t="s">
        <v>11</v>
      </c>
      <c r="C178" s="11" t="s">
        <v>30</v>
      </c>
      <c r="D178" s="11" t="s">
        <v>27</v>
      </c>
      <c r="E178" s="11" t="s">
        <v>243</v>
      </c>
      <c r="F178" s="20">
        <v>8</v>
      </c>
      <c r="G178" s="21">
        <v>25.2</v>
      </c>
      <c r="H178" s="13">
        <v>106.875</v>
      </c>
      <c r="I178" s="13">
        <v>101.71250000000001</v>
      </c>
      <c r="J178" s="13">
        <v>121.3073435277383</v>
      </c>
      <c r="K178" s="7">
        <f t="shared" si="4"/>
        <v>112.21875</v>
      </c>
      <c r="L178" s="7">
        <f t="shared" si="5"/>
        <v>101.53125</v>
      </c>
      <c r="M178" s="3" t="s">
        <v>1148</v>
      </c>
    </row>
    <row r="179" spans="1:13" x14ac:dyDescent="0.35">
      <c r="A179" s="11" t="s">
        <v>1323</v>
      </c>
      <c r="B179" s="11" t="s">
        <v>11</v>
      </c>
      <c r="C179" s="11" t="s">
        <v>30</v>
      </c>
      <c r="D179" s="11" t="s">
        <v>27</v>
      </c>
      <c r="E179" s="11" t="s">
        <v>220</v>
      </c>
      <c r="F179" s="20">
        <v>3</v>
      </c>
      <c r="G179" s="21">
        <v>73.260000000000005</v>
      </c>
      <c r="H179" s="13">
        <v>138.34070434070429</v>
      </c>
      <c r="I179" s="13">
        <v>107.15417690417689</v>
      </c>
      <c r="J179" s="13">
        <v>140.95597870597871</v>
      </c>
      <c r="K179" s="7">
        <f t="shared" si="4"/>
        <v>145.25773955773951</v>
      </c>
      <c r="L179" s="7">
        <f t="shared" si="5"/>
        <v>131.42366912366907</v>
      </c>
      <c r="M179" s="3" t="s">
        <v>1158</v>
      </c>
    </row>
    <row r="180" spans="1:13" x14ac:dyDescent="0.35">
      <c r="A180" s="11" t="s">
        <v>280</v>
      </c>
      <c r="B180" s="11" t="s">
        <v>11</v>
      </c>
      <c r="C180" s="11" t="s">
        <v>30</v>
      </c>
      <c r="D180" s="11" t="s">
        <v>27</v>
      </c>
      <c r="E180" s="11" t="s">
        <v>131</v>
      </c>
      <c r="F180" s="20">
        <v>32</v>
      </c>
      <c r="G180" s="21">
        <v>161.03</v>
      </c>
      <c r="H180" s="13">
        <v>129.95343283582091</v>
      </c>
      <c r="I180" s="13">
        <v>107.7744902104151</v>
      </c>
      <c r="J180" s="13">
        <v>148.7647058823529</v>
      </c>
      <c r="K180" s="7">
        <f t="shared" si="4"/>
        <v>136.45110447761195</v>
      </c>
      <c r="L180" s="7">
        <f t="shared" si="5"/>
        <v>123.45576119402985</v>
      </c>
      <c r="M180" s="3" t="s">
        <v>1148</v>
      </c>
    </row>
    <row r="181" spans="1:13" x14ac:dyDescent="0.35">
      <c r="A181" s="11" t="s">
        <v>1324</v>
      </c>
      <c r="B181" s="11" t="s">
        <v>11</v>
      </c>
      <c r="C181" s="11" t="s">
        <v>30</v>
      </c>
      <c r="D181" s="11" t="s">
        <v>1151</v>
      </c>
      <c r="E181" s="11" t="s">
        <v>43</v>
      </c>
      <c r="F181" s="20">
        <v>12</v>
      </c>
      <c r="G181" s="21">
        <v>71.45</v>
      </c>
      <c r="H181" s="13">
        <v>92.805232558139537</v>
      </c>
      <c r="I181" s="13">
        <v>81.516107857291573</v>
      </c>
      <c r="J181" s="13">
        <v>110.38888081395351</v>
      </c>
      <c r="K181" s="7">
        <f t="shared" si="4"/>
        <v>97.445494186046517</v>
      </c>
      <c r="L181" s="7">
        <f t="shared" si="5"/>
        <v>88.164970930232556</v>
      </c>
      <c r="M181" s="3" t="s">
        <v>1152</v>
      </c>
    </row>
    <row r="182" spans="1:13" x14ac:dyDescent="0.35">
      <c r="A182" s="11" t="s">
        <v>1325</v>
      </c>
      <c r="B182" s="11" t="s">
        <v>11</v>
      </c>
      <c r="C182" s="11" t="s">
        <v>30</v>
      </c>
      <c r="D182" s="11" t="s">
        <v>1151</v>
      </c>
      <c r="E182" s="11" t="s">
        <v>93</v>
      </c>
      <c r="F182" s="20">
        <v>4</v>
      </c>
      <c r="G182" s="21">
        <v>4.5999999999999996</v>
      </c>
      <c r="H182" s="13">
        <v>100.9073913043478</v>
      </c>
      <c r="I182" s="13">
        <v>72.565217391304358</v>
      </c>
      <c r="J182" s="13">
        <v>127.2797826086957</v>
      </c>
      <c r="K182" s="7">
        <f t="shared" si="4"/>
        <v>105.9527608695652</v>
      </c>
      <c r="L182" s="7">
        <f t="shared" si="5"/>
        <v>95.862021739130398</v>
      </c>
      <c r="M182" s="3" t="s">
        <v>1231</v>
      </c>
    </row>
    <row r="183" spans="1:13" x14ac:dyDescent="0.35">
      <c r="A183" s="11" t="s">
        <v>1326</v>
      </c>
      <c r="B183" s="11" t="s">
        <v>11</v>
      </c>
      <c r="C183" s="11" t="s">
        <v>30</v>
      </c>
      <c r="D183" s="11" t="s">
        <v>1151</v>
      </c>
      <c r="E183" s="11" t="s">
        <v>131</v>
      </c>
      <c r="F183" s="20">
        <v>1</v>
      </c>
      <c r="G183" s="21">
        <v>3.62</v>
      </c>
      <c r="H183" s="13">
        <v>126.5082872928177</v>
      </c>
      <c r="I183" s="13">
        <v>126.5082872928177</v>
      </c>
      <c r="J183" s="13">
        <v>126.5082872928177</v>
      </c>
      <c r="K183" s="7">
        <f t="shared" si="4"/>
        <v>132.83370165745859</v>
      </c>
      <c r="L183" s="7">
        <f t="shared" si="5"/>
        <v>120.18287292817681</v>
      </c>
      <c r="M183" s="3" t="s">
        <v>1327</v>
      </c>
    </row>
    <row r="184" spans="1:13" x14ac:dyDescent="0.35">
      <c r="A184" s="11" t="s">
        <v>162</v>
      </c>
      <c r="B184" s="11" t="s">
        <v>11</v>
      </c>
      <c r="C184" s="11" t="s">
        <v>30</v>
      </c>
      <c r="D184" s="11" t="s">
        <v>34</v>
      </c>
      <c r="E184" s="11" t="s">
        <v>62</v>
      </c>
      <c r="F184" s="20">
        <v>26</v>
      </c>
      <c r="G184" s="21">
        <v>263.35000000000002</v>
      </c>
      <c r="H184" s="13">
        <v>146.4499351604384</v>
      </c>
      <c r="I184" s="13">
        <v>132.87073764764401</v>
      </c>
      <c r="J184" s="13">
        <v>154.54280141910709</v>
      </c>
      <c r="K184" s="7">
        <f t="shared" si="4"/>
        <v>153.77243191846031</v>
      </c>
      <c r="L184" s="7">
        <f t="shared" si="5"/>
        <v>139.12743840241649</v>
      </c>
      <c r="M184" s="3" t="s">
        <v>1134</v>
      </c>
    </row>
    <row r="185" spans="1:13" x14ac:dyDescent="0.35">
      <c r="A185" s="11" t="s">
        <v>51</v>
      </c>
      <c r="B185" s="11" t="s">
        <v>11</v>
      </c>
      <c r="C185" s="11" t="s">
        <v>30</v>
      </c>
      <c r="D185" s="11" t="s">
        <v>34</v>
      </c>
      <c r="E185" s="11" t="s">
        <v>39</v>
      </c>
      <c r="F185" s="20">
        <v>83</v>
      </c>
      <c r="G185" s="21">
        <v>646.05000000000018</v>
      </c>
      <c r="H185" s="13">
        <v>134.7097020626432</v>
      </c>
      <c r="I185" s="13">
        <v>127.40904035457579</v>
      </c>
      <c r="J185" s="13">
        <v>146.07651110261361</v>
      </c>
      <c r="K185" s="7">
        <f t="shared" si="4"/>
        <v>141.44518716577537</v>
      </c>
      <c r="L185" s="7">
        <f t="shared" si="5"/>
        <v>127.97421695951104</v>
      </c>
      <c r="M185" s="3" t="s">
        <v>1148</v>
      </c>
    </row>
    <row r="186" spans="1:13" x14ac:dyDescent="0.35">
      <c r="A186" s="11" t="s">
        <v>96</v>
      </c>
      <c r="B186" s="11" t="s">
        <v>11</v>
      </c>
      <c r="C186" s="11" t="s">
        <v>30</v>
      </c>
      <c r="D186" s="11" t="s">
        <v>34</v>
      </c>
      <c r="E186" s="11" t="s">
        <v>84</v>
      </c>
      <c r="F186" s="20">
        <v>12</v>
      </c>
      <c r="G186" s="21">
        <v>51.719999999999992</v>
      </c>
      <c r="H186" s="13">
        <v>126.5322222222222</v>
      </c>
      <c r="I186" s="13">
        <v>117.9058855641407</v>
      </c>
      <c r="J186" s="13">
        <v>136.14974087811109</v>
      </c>
      <c r="K186" s="7">
        <f t="shared" si="4"/>
        <v>132.85883333333331</v>
      </c>
      <c r="L186" s="7">
        <f t="shared" si="5"/>
        <v>120.20561111111108</v>
      </c>
      <c r="M186" s="3" t="s">
        <v>1149</v>
      </c>
    </row>
    <row r="187" spans="1:13" x14ac:dyDescent="0.35">
      <c r="A187" s="11" t="s">
        <v>1328</v>
      </c>
      <c r="B187" s="11" t="s">
        <v>11</v>
      </c>
      <c r="C187" s="11" t="s">
        <v>30</v>
      </c>
      <c r="D187" s="11" t="s">
        <v>34</v>
      </c>
      <c r="E187" s="11" t="s">
        <v>43</v>
      </c>
      <c r="F187" s="20">
        <v>4</v>
      </c>
      <c r="G187" s="21">
        <v>45.18</v>
      </c>
      <c r="H187" s="13">
        <v>134.06324855196729</v>
      </c>
      <c r="I187" s="13">
        <v>120.6780552953136</v>
      </c>
      <c r="J187" s="13">
        <v>141.93204888718591</v>
      </c>
      <c r="K187" s="7">
        <f t="shared" si="4"/>
        <v>140.76641097956565</v>
      </c>
      <c r="L187" s="7">
        <f t="shared" si="5"/>
        <v>127.36008612436892</v>
      </c>
      <c r="M187" s="3" t="s">
        <v>1157</v>
      </c>
    </row>
    <row r="188" spans="1:13" x14ac:dyDescent="0.35">
      <c r="A188" s="11" t="s">
        <v>1329</v>
      </c>
      <c r="B188" s="11" t="s">
        <v>11</v>
      </c>
      <c r="C188" s="11" t="s">
        <v>30</v>
      </c>
      <c r="D188" s="11" t="s">
        <v>34</v>
      </c>
      <c r="E188" s="11" t="s">
        <v>499</v>
      </c>
      <c r="F188" s="20">
        <v>3</v>
      </c>
      <c r="G188" s="21">
        <v>22.05</v>
      </c>
      <c r="H188" s="13">
        <v>136.72789115646259</v>
      </c>
      <c r="I188" s="13">
        <v>135.95510204081631</v>
      </c>
      <c r="J188" s="13">
        <v>152.32244897959191</v>
      </c>
      <c r="K188" s="7">
        <f t="shared" si="4"/>
        <v>143.56428571428572</v>
      </c>
      <c r="L188" s="7">
        <f t="shared" si="5"/>
        <v>129.89149659863946</v>
      </c>
      <c r="M188" s="3" t="s">
        <v>1158</v>
      </c>
    </row>
    <row r="189" spans="1:13" x14ac:dyDescent="0.35">
      <c r="A189" s="11" t="s">
        <v>1330</v>
      </c>
      <c r="B189" s="11" t="s">
        <v>11</v>
      </c>
      <c r="C189" s="11" t="s">
        <v>30</v>
      </c>
      <c r="D189" s="11" t="s">
        <v>34</v>
      </c>
      <c r="E189" s="11" t="s">
        <v>35</v>
      </c>
      <c r="F189" s="20">
        <v>1</v>
      </c>
      <c r="G189" s="21">
        <v>12.89</v>
      </c>
      <c r="H189" s="13">
        <v>161.52366175329709</v>
      </c>
      <c r="I189" s="13">
        <v>161.52366175329709</v>
      </c>
      <c r="J189" s="13">
        <v>161.52366175329709</v>
      </c>
      <c r="K189" s="7">
        <f t="shared" si="4"/>
        <v>169.59984484096196</v>
      </c>
      <c r="L189" s="7">
        <f t="shared" si="5"/>
        <v>153.44747866563222</v>
      </c>
      <c r="M189" s="3" t="s">
        <v>1157</v>
      </c>
    </row>
    <row r="190" spans="1:13" x14ac:dyDescent="0.35">
      <c r="A190" s="11" t="s">
        <v>1331</v>
      </c>
      <c r="B190" s="11" t="s">
        <v>11</v>
      </c>
      <c r="C190" s="11" t="s">
        <v>30</v>
      </c>
      <c r="D190" s="11" t="s">
        <v>34</v>
      </c>
      <c r="E190" s="11" t="s">
        <v>89</v>
      </c>
      <c r="F190" s="20">
        <v>1</v>
      </c>
      <c r="G190" s="21">
        <v>5.36</v>
      </c>
      <c r="H190" s="13">
        <v>114.3731343283582</v>
      </c>
      <c r="I190" s="13">
        <v>114.3731343283582</v>
      </c>
      <c r="J190" s="13">
        <v>114.3731343283582</v>
      </c>
      <c r="K190" s="7">
        <f t="shared" si="4"/>
        <v>120.09179104477612</v>
      </c>
      <c r="L190" s="7">
        <f t="shared" si="5"/>
        <v>108.65447761194029</v>
      </c>
      <c r="M190" s="3" t="s">
        <v>1157</v>
      </c>
    </row>
    <row r="191" spans="1:13" x14ac:dyDescent="0.35">
      <c r="A191" s="11" t="s">
        <v>1332</v>
      </c>
      <c r="B191" s="11" t="s">
        <v>11</v>
      </c>
      <c r="C191" s="11" t="s">
        <v>30</v>
      </c>
      <c r="D191" s="11" t="s">
        <v>34</v>
      </c>
      <c r="E191" s="11" t="s">
        <v>147</v>
      </c>
      <c r="F191" s="20">
        <v>3</v>
      </c>
      <c r="G191" s="21">
        <v>11.38</v>
      </c>
      <c r="H191" s="13">
        <v>125.705</v>
      </c>
      <c r="I191" s="13">
        <v>121.08226190476191</v>
      </c>
      <c r="J191" s="13">
        <v>126.68583333333331</v>
      </c>
      <c r="K191" s="7">
        <f t="shared" si="4"/>
        <v>131.99025</v>
      </c>
      <c r="L191" s="7">
        <f t="shared" si="5"/>
        <v>119.41974999999999</v>
      </c>
      <c r="M191" s="3" t="s">
        <v>1134</v>
      </c>
    </row>
    <row r="192" spans="1:13" x14ac:dyDescent="0.35">
      <c r="A192" s="11" t="s">
        <v>1333</v>
      </c>
      <c r="B192" s="11" t="s">
        <v>11</v>
      </c>
      <c r="C192" s="11" t="s">
        <v>30</v>
      </c>
      <c r="D192" s="11" t="s">
        <v>34</v>
      </c>
      <c r="E192" s="11" t="s">
        <v>169</v>
      </c>
      <c r="F192" s="20">
        <v>7</v>
      </c>
      <c r="G192" s="21">
        <v>49.16</v>
      </c>
      <c r="H192" s="13">
        <v>128.56268221574351</v>
      </c>
      <c r="I192" s="13">
        <v>120.0148936170213</v>
      </c>
      <c r="J192" s="13">
        <v>146.12624113475181</v>
      </c>
      <c r="K192" s="7">
        <f t="shared" si="4"/>
        <v>134.99081632653068</v>
      </c>
      <c r="L192" s="7">
        <f t="shared" si="5"/>
        <v>122.13454810495632</v>
      </c>
      <c r="M192" s="3" t="s">
        <v>1134</v>
      </c>
    </row>
    <row r="193" spans="1:13" x14ac:dyDescent="0.35">
      <c r="A193" s="11" t="s">
        <v>1334</v>
      </c>
      <c r="B193" s="11" t="s">
        <v>11</v>
      </c>
      <c r="C193" s="11" t="s">
        <v>30</v>
      </c>
      <c r="D193" s="11" t="s">
        <v>34</v>
      </c>
      <c r="E193" s="11" t="s">
        <v>1267</v>
      </c>
      <c r="F193" s="20">
        <v>10</v>
      </c>
      <c r="G193" s="21">
        <v>81.449999999999989</v>
      </c>
      <c r="H193" s="13">
        <v>130.46577123050261</v>
      </c>
      <c r="I193" s="13">
        <v>127.44339165847541</v>
      </c>
      <c r="J193" s="13">
        <v>141.11269897417759</v>
      </c>
      <c r="K193" s="7">
        <f t="shared" si="4"/>
        <v>136.98905979202775</v>
      </c>
      <c r="L193" s="7">
        <f t="shared" si="5"/>
        <v>123.94248266897748</v>
      </c>
      <c r="M193" s="3" t="s">
        <v>1148</v>
      </c>
    </row>
    <row r="194" spans="1:13" x14ac:dyDescent="0.35">
      <c r="A194" s="11" t="s">
        <v>1335</v>
      </c>
      <c r="B194" s="11" t="s">
        <v>11</v>
      </c>
      <c r="C194" s="11" t="s">
        <v>30</v>
      </c>
      <c r="D194" s="11" t="s">
        <v>34</v>
      </c>
      <c r="E194" s="11" t="s">
        <v>435</v>
      </c>
      <c r="F194" s="20">
        <v>1</v>
      </c>
      <c r="G194" s="21">
        <v>3.5</v>
      </c>
      <c r="H194" s="13">
        <v>150.5057142857143</v>
      </c>
      <c r="I194" s="13">
        <v>150.5057142857143</v>
      </c>
      <c r="J194" s="13">
        <v>150.5057142857143</v>
      </c>
      <c r="K194" s="7">
        <f t="shared" si="4"/>
        <v>158.03100000000003</v>
      </c>
      <c r="L194" s="7">
        <f t="shared" si="5"/>
        <v>142.98042857142858</v>
      </c>
      <c r="M194" s="3" t="s">
        <v>1336</v>
      </c>
    </row>
    <row r="195" spans="1:13" x14ac:dyDescent="0.35">
      <c r="A195" s="11" t="s">
        <v>123</v>
      </c>
      <c r="B195" s="11" t="s">
        <v>11</v>
      </c>
      <c r="C195" s="11" t="s">
        <v>30</v>
      </c>
      <c r="D195" s="11" t="s">
        <v>34</v>
      </c>
      <c r="E195" s="11" t="s">
        <v>122</v>
      </c>
      <c r="F195" s="20">
        <v>10</v>
      </c>
      <c r="G195" s="21">
        <v>55.069999999999993</v>
      </c>
      <c r="H195" s="13">
        <v>124.916820702403</v>
      </c>
      <c r="I195" s="13">
        <v>110.32678089008959</v>
      </c>
      <c r="J195" s="13">
        <v>139.225528957954</v>
      </c>
      <c r="K195" s="7">
        <f t="shared" si="4"/>
        <v>131.16266173752317</v>
      </c>
      <c r="L195" s="7">
        <f t="shared" si="5"/>
        <v>118.67097966728285</v>
      </c>
      <c r="M195" s="3" t="s">
        <v>1149</v>
      </c>
    </row>
    <row r="196" spans="1:13" x14ac:dyDescent="0.35">
      <c r="A196" s="11" t="s">
        <v>1337</v>
      </c>
      <c r="B196" s="11" t="s">
        <v>11</v>
      </c>
      <c r="C196" s="11" t="s">
        <v>30</v>
      </c>
      <c r="D196" s="11" t="s">
        <v>34</v>
      </c>
      <c r="E196" s="11" t="s">
        <v>99</v>
      </c>
      <c r="F196" s="20">
        <v>1</v>
      </c>
      <c r="G196" s="21">
        <v>3.08</v>
      </c>
      <c r="H196" s="13">
        <v>75.896103896103895</v>
      </c>
      <c r="I196" s="13">
        <v>75.896103896103895</v>
      </c>
      <c r="J196" s="13">
        <v>75.896103896103895</v>
      </c>
      <c r="K196" s="7">
        <f t="shared" si="4"/>
        <v>79.690909090909088</v>
      </c>
      <c r="L196" s="7">
        <f t="shared" si="5"/>
        <v>72.101298701298703</v>
      </c>
      <c r="M196" s="3" t="s">
        <v>1157</v>
      </c>
    </row>
    <row r="197" spans="1:13" x14ac:dyDescent="0.35">
      <c r="A197" s="11" t="s">
        <v>1338</v>
      </c>
      <c r="B197" s="11" t="s">
        <v>11</v>
      </c>
      <c r="C197" s="11" t="s">
        <v>30</v>
      </c>
      <c r="D197" s="11" t="s">
        <v>34</v>
      </c>
      <c r="E197" s="11" t="s">
        <v>524</v>
      </c>
      <c r="F197" s="20">
        <v>3</v>
      </c>
      <c r="G197" s="21">
        <v>10.17</v>
      </c>
      <c r="H197" s="13">
        <v>109.79056047197641</v>
      </c>
      <c r="I197" s="13">
        <v>93.196165191740405</v>
      </c>
      <c r="J197" s="13">
        <v>110.9380530973451</v>
      </c>
      <c r="K197" s="7">
        <f t="shared" ref="K197:K260" si="6">H197*(1+$B$2)</f>
        <v>115.28008849557523</v>
      </c>
      <c r="L197" s="7">
        <f t="shared" ref="L197:L260" si="7">H197*(1-$B$2)</f>
        <v>104.30103244837758</v>
      </c>
      <c r="M197" s="3" t="s">
        <v>1158</v>
      </c>
    </row>
    <row r="198" spans="1:13" x14ac:dyDescent="0.35">
      <c r="A198" s="11" t="s">
        <v>60</v>
      </c>
      <c r="B198" s="11" t="s">
        <v>11</v>
      </c>
      <c r="C198" s="11" t="s">
        <v>30</v>
      </c>
      <c r="D198" s="11" t="s">
        <v>34</v>
      </c>
      <c r="E198" s="11" t="s">
        <v>59</v>
      </c>
      <c r="F198" s="20">
        <v>12</v>
      </c>
      <c r="G198" s="21">
        <v>150.69999999999999</v>
      </c>
      <c r="H198" s="13">
        <v>161.8744075829384</v>
      </c>
      <c r="I198" s="13">
        <v>138.82571801566581</v>
      </c>
      <c r="J198" s="13">
        <v>165.6008164430211</v>
      </c>
      <c r="K198" s="7">
        <f t="shared" si="6"/>
        <v>169.96812796208533</v>
      </c>
      <c r="L198" s="7">
        <f t="shared" si="7"/>
        <v>153.78068720379147</v>
      </c>
      <c r="M198" s="3" t="s">
        <v>1149</v>
      </c>
    </row>
    <row r="199" spans="1:13" x14ac:dyDescent="0.35">
      <c r="A199" s="11" t="s">
        <v>1339</v>
      </c>
      <c r="B199" s="11" t="s">
        <v>11</v>
      </c>
      <c r="C199" s="11" t="s">
        <v>30</v>
      </c>
      <c r="D199" s="11" t="s">
        <v>34</v>
      </c>
      <c r="E199" s="11" t="s">
        <v>54</v>
      </c>
      <c r="F199" s="20">
        <v>4</v>
      </c>
      <c r="G199" s="21">
        <v>7.67</v>
      </c>
      <c r="H199" s="13">
        <v>114.86953273244779</v>
      </c>
      <c r="I199" s="13">
        <v>98.621874999999989</v>
      </c>
      <c r="J199" s="13">
        <v>129.30429909867169</v>
      </c>
      <c r="K199" s="7">
        <f t="shared" si="6"/>
        <v>120.61300936907018</v>
      </c>
      <c r="L199" s="7">
        <f t="shared" si="7"/>
        <v>109.1260560958254</v>
      </c>
      <c r="M199" s="3" t="s">
        <v>1158</v>
      </c>
    </row>
    <row r="200" spans="1:13" x14ac:dyDescent="0.35">
      <c r="A200" s="11" t="s">
        <v>1340</v>
      </c>
      <c r="B200" s="11" t="s">
        <v>11</v>
      </c>
      <c r="C200" s="11" t="s">
        <v>30</v>
      </c>
      <c r="D200" s="11" t="s">
        <v>34</v>
      </c>
      <c r="E200" s="11" t="s">
        <v>338</v>
      </c>
      <c r="F200" s="20">
        <v>1</v>
      </c>
      <c r="G200" s="21">
        <v>8.1</v>
      </c>
      <c r="H200" s="13">
        <v>121.48395061728399</v>
      </c>
      <c r="I200" s="13">
        <v>121.48395061728399</v>
      </c>
      <c r="J200" s="13">
        <v>121.48395061728399</v>
      </c>
      <c r="K200" s="7">
        <f t="shared" si="6"/>
        <v>127.55814814814821</v>
      </c>
      <c r="L200" s="7">
        <f t="shared" si="7"/>
        <v>115.40975308641978</v>
      </c>
      <c r="M200" s="3" t="s">
        <v>1157</v>
      </c>
    </row>
    <row r="201" spans="1:13" x14ac:dyDescent="0.35">
      <c r="A201" s="11" t="s">
        <v>1341</v>
      </c>
      <c r="B201" s="11" t="s">
        <v>11</v>
      </c>
      <c r="C201" s="11" t="s">
        <v>30</v>
      </c>
      <c r="D201" s="11" t="s">
        <v>34</v>
      </c>
      <c r="E201" s="11" t="s">
        <v>79</v>
      </c>
      <c r="F201" s="20">
        <v>3</v>
      </c>
      <c r="G201" s="21">
        <v>15.46</v>
      </c>
      <c r="H201" s="13">
        <v>161.92857142857139</v>
      </c>
      <c r="I201" s="13">
        <v>144.87850858818601</v>
      </c>
      <c r="J201" s="13">
        <v>166.50754084625049</v>
      </c>
      <c r="K201" s="7">
        <f t="shared" si="6"/>
        <v>170.02499999999998</v>
      </c>
      <c r="L201" s="7">
        <f t="shared" si="7"/>
        <v>153.8321428571428</v>
      </c>
      <c r="M201" s="3" t="s">
        <v>1158</v>
      </c>
    </row>
    <row r="202" spans="1:13" x14ac:dyDescent="0.35">
      <c r="A202" s="11" t="s">
        <v>1342</v>
      </c>
      <c r="B202" s="11" t="s">
        <v>11</v>
      </c>
      <c r="C202" s="11" t="s">
        <v>30</v>
      </c>
      <c r="D202" s="11" t="s">
        <v>34</v>
      </c>
      <c r="E202" s="11" t="s">
        <v>479</v>
      </c>
      <c r="F202" s="20">
        <v>4</v>
      </c>
      <c r="G202" s="21">
        <v>48.28</v>
      </c>
      <c r="H202" s="13">
        <v>137.42046396023201</v>
      </c>
      <c r="I202" s="13">
        <v>124.64705882352941</v>
      </c>
      <c r="J202" s="13">
        <v>145.11764705882351</v>
      </c>
      <c r="K202" s="7">
        <f t="shared" si="6"/>
        <v>144.29148715824363</v>
      </c>
      <c r="L202" s="7">
        <f t="shared" si="7"/>
        <v>130.5494407622204</v>
      </c>
      <c r="M202" s="3" t="s">
        <v>1149</v>
      </c>
    </row>
    <row r="203" spans="1:13" x14ac:dyDescent="0.35">
      <c r="A203" s="11" t="s">
        <v>46</v>
      </c>
      <c r="B203" s="11" t="s">
        <v>11</v>
      </c>
      <c r="C203" s="11" t="s">
        <v>30</v>
      </c>
      <c r="D203" s="11" t="s">
        <v>34</v>
      </c>
      <c r="E203" s="11" t="s">
        <v>28</v>
      </c>
      <c r="F203" s="20">
        <v>11</v>
      </c>
      <c r="G203" s="21">
        <v>84.13000000000001</v>
      </c>
      <c r="H203" s="13">
        <v>132.55534709193239</v>
      </c>
      <c r="I203" s="13">
        <v>110.2421044402752</v>
      </c>
      <c r="J203" s="13">
        <v>146.6252389448197</v>
      </c>
      <c r="K203" s="7">
        <f t="shared" si="6"/>
        <v>139.183114446529</v>
      </c>
      <c r="L203" s="7">
        <f t="shared" si="7"/>
        <v>125.92757973733576</v>
      </c>
      <c r="M203" s="3" t="s">
        <v>1149</v>
      </c>
    </row>
    <row r="204" spans="1:13" x14ac:dyDescent="0.35">
      <c r="A204" s="11" t="s">
        <v>1343</v>
      </c>
      <c r="B204" s="11" t="s">
        <v>11</v>
      </c>
      <c r="C204" s="11" t="s">
        <v>30</v>
      </c>
      <c r="D204" s="11" t="s">
        <v>34</v>
      </c>
      <c r="E204" s="11" t="s">
        <v>131</v>
      </c>
      <c r="F204" s="20">
        <v>3</v>
      </c>
      <c r="G204" s="21">
        <v>12.96</v>
      </c>
      <c r="H204" s="13">
        <v>137.9814814814815</v>
      </c>
      <c r="I204" s="13">
        <v>102.8657407407407</v>
      </c>
      <c r="J204" s="13">
        <v>151.34884884884889</v>
      </c>
      <c r="K204" s="7">
        <f t="shared" si="6"/>
        <v>144.88055555555559</v>
      </c>
      <c r="L204" s="7">
        <f t="shared" si="7"/>
        <v>131.0824074074074</v>
      </c>
      <c r="M204" s="3" t="s">
        <v>1158</v>
      </c>
    </row>
    <row r="205" spans="1:13" x14ac:dyDescent="0.35">
      <c r="A205" s="11" t="s">
        <v>439</v>
      </c>
      <c r="B205" s="11" t="s">
        <v>11</v>
      </c>
      <c r="C205" s="11" t="s">
        <v>30</v>
      </c>
      <c r="D205" s="11" t="s">
        <v>53</v>
      </c>
      <c r="E205" s="11" t="s">
        <v>62</v>
      </c>
      <c r="F205" s="20">
        <v>10</v>
      </c>
      <c r="G205" s="21">
        <v>66.220000000000013</v>
      </c>
      <c r="H205" s="13">
        <v>109.6618695275566</v>
      </c>
      <c r="I205" s="13">
        <v>95.879828564428081</v>
      </c>
      <c r="J205" s="13">
        <v>121.782189360022</v>
      </c>
      <c r="K205" s="7">
        <f t="shared" si="6"/>
        <v>115.14496300393444</v>
      </c>
      <c r="L205" s="7">
        <f t="shared" si="7"/>
        <v>104.17877605117877</v>
      </c>
      <c r="M205" s="3" t="s">
        <v>1149</v>
      </c>
    </row>
    <row r="206" spans="1:13" x14ac:dyDescent="0.35">
      <c r="A206" s="11" t="s">
        <v>428</v>
      </c>
      <c r="B206" s="11" t="s">
        <v>11</v>
      </c>
      <c r="C206" s="11" t="s">
        <v>30</v>
      </c>
      <c r="D206" s="11" t="s">
        <v>53</v>
      </c>
      <c r="E206" s="11" t="s">
        <v>39</v>
      </c>
      <c r="F206" s="20">
        <v>25</v>
      </c>
      <c r="G206" s="21">
        <v>155.72999999999999</v>
      </c>
      <c r="H206" s="13">
        <v>124.6434878587196</v>
      </c>
      <c r="I206" s="13">
        <v>109.8936170212766</v>
      </c>
      <c r="J206" s="13">
        <v>130.8757062146893</v>
      </c>
      <c r="K206" s="7">
        <f t="shared" si="6"/>
        <v>130.87566225165557</v>
      </c>
      <c r="L206" s="7">
        <f t="shared" si="7"/>
        <v>118.41131346578361</v>
      </c>
      <c r="M206" s="3" t="s">
        <v>1148</v>
      </c>
    </row>
    <row r="207" spans="1:13" x14ac:dyDescent="0.35">
      <c r="A207" s="11" t="s">
        <v>1344</v>
      </c>
      <c r="B207" s="11" t="s">
        <v>11</v>
      </c>
      <c r="C207" s="11" t="s">
        <v>30</v>
      </c>
      <c r="D207" s="11" t="s">
        <v>53</v>
      </c>
      <c r="E207" s="11" t="s">
        <v>84</v>
      </c>
      <c r="F207" s="20">
        <v>4</v>
      </c>
      <c r="G207" s="21">
        <v>9.8000000000000007</v>
      </c>
      <c r="H207" s="13">
        <v>133.8224489795918</v>
      </c>
      <c r="I207" s="13">
        <v>117.92244897959181</v>
      </c>
      <c r="J207" s="13">
        <v>141.37653061224489</v>
      </c>
      <c r="K207" s="7">
        <f t="shared" si="6"/>
        <v>140.5135714285714</v>
      </c>
      <c r="L207" s="7">
        <f t="shared" si="7"/>
        <v>127.1313265306122</v>
      </c>
      <c r="M207" s="3" t="s">
        <v>1149</v>
      </c>
    </row>
    <row r="208" spans="1:13" x14ac:dyDescent="0.35">
      <c r="A208" s="11" t="s">
        <v>55</v>
      </c>
      <c r="B208" s="11" t="s">
        <v>11</v>
      </c>
      <c r="C208" s="11" t="s">
        <v>30</v>
      </c>
      <c r="D208" s="11" t="s">
        <v>53</v>
      </c>
      <c r="E208" s="11" t="s">
        <v>54</v>
      </c>
      <c r="F208" s="20">
        <v>18</v>
      </c>
      <c r="G208" s="21">
        <v>109.48</v>
      </c>
      <c r="H208" s="13">
        <v>108.2167919977298</v>
      </c>
      <c r="I208" s="13">
        <v>101.60683262711861</v>
      </c>
      <c r="J208" s="13">
        <v>123.0658152303652</v>
      </c>
      <c r="K208" s="7">
        <f t="shared" si="6"/>
        <v>113.6276315976163</v>
      </c>
      <c r="L208" s="7">
        <f t="shared" si="7"/>
        <v>102.8059523978433</v>
      </c>
      <c r="M208" s="3" t="s">
        <v>1149</v>
      </c>
    </row>
    <row r="209" spans="1:13" x14ac:dyDescent="0.35">
      <c r="A209" s="11" t="s">
        <v>1345</v>
      </c>
      <c r="B209" s="11" t="s">
        <v>11</v>
      </c>
      <c r="C209" s="11" t="s">
        <v>30</v>
      </c>
      <c r="D209" s="11" t="s">
        <v>53</v>
      </c>
      <c r="E209" s="11" t="s">
        <v>79</v>
      </c>
      <c r="F209" s="20">
        <v>4</v>
      </c>
      <c r="G209" s="21">
        <v>24.04</v>
      </c>
      <c r="H209" s="13">
        <v>113.8269550748752</v>
      </c>
      <c r="I209" s="13">
        <v>99.360232945091525</v>
      </c>
      <c r="J209" s="13">
        <v>126.040765391015</v>
      </c>
      <c r="K209" s="7">
        <f t="shared" si="6"/>
        <v>119.51830282861897</v>
      </c>
      <c r="L209" s="7">
        <f t="shared" si="7"/>
        <v>108.13560732113143</v>
      </c>
      <c r="M209" s="3" t="s">
        <v>1149</v>
      </c>
    </row>
    <row r="210" spans="1:13" x14ac:dyDescent="0.35">
      <c r="A210" s="11" t="s">
        <v>1346</v>
      </c>
      <c r="B210" s="11" t="s">
        <v>11</v>
      </c>
      <c r="C210" s="11" t="s">
        <v>30</v>
      </c>
      <c r="D210" s="11" t="s">
        <v>666</v>
      </c>
      <c r="E210" s="11" t="s">
        <v>39</v>
      </c>
      <c r="F210" s="20">
        <v>5</v>
      </c>
      <c r="G210" s="21">
        <v>2.1</v>
      </c>
      <c r="H210" s="13">
        <v>79.238095238095241</v>
      </c>
      <c r="I210" s="13">
        <v>59.380952380952387</v>
      </c>
      <c r="J210" s="13">
        <v>96.25</v>
      </c>
      <c r="K210" s="7">
        <f t="shared" si="6"/>
        <v>83.2</v>
      </c>
      <c r="L210" s="7">
        <f t="shared" si="7"/>
        <v>75.276190476190479</v>
      </c>
      <c r="M210" s="3" t="s">
        <v>1145</v>
      </c>
    </row>
    <row r="211" spans="1:13" x14ac:dyDescent="0.35">
      <c r="A211" s="11" t="s">
        <v>1347</v>
      </c>
      <c r="B211" s="11" t="s">
        <v>11</v>
      </c>
      <c r="C211" s="11" t="s">
        <v>30</v>
      </c>
      <c r="D211" s="11" t="s">
        <v>666</v>
      </c>
      <c r="E211" s="11" t="s">
        <v>84</v>
      </c>
      <c r="F211" s="20">
        <v>5</v>
      </c>
      <c r="G211" s="21">
        <v>13.35</v>
      </c>
      <c r="H211" s="13">
        <v>85.063670411985029</v>
      </c>
      <c r="I211" s="13">
        <v>74.662921348314612</v>
      </c>
      <c r="J211" s="13">
        <v>95.68539325842697</v>
      </c>
      <c r="K211" s="7">
        <f t="shared" si="6"/>
        <v>89.31685393258428</v>
      </c>
      <c r="L211" s="7">
        <f t="shared" si="7"/>
        <v>80.810486891385779</v>
      </c>
      <c r="M211" s="3" t="s">
        <v>1148</v>
      </c>
    </row>
    <row r="212" spans="1:13" x14ac:dyDescent="0.35">
      <c r="A212" s="11" t="s">
        <v>1348</v>
      </c>
      <c r="B212" s="11" t="s">
        <v>11</v>
      </c>
      <c r="C212" s="11" t="s">
        <v>30</v>
      </c>
      <c r="D212" s="11" t="s">
        <v>48</v>
      </c>
      <c r="E212" s="11" t="s">
        <v>360</v>
      </c>
      <c r="F212" s="20">
        <v>2</v>
      </c>
      <c r="G212" s="21">
        <v>12.42</v>
      </c>
      <c r="H212" s="13">
        <v>83.890499194847024</v>
      </c>
      <c r="I212" s="13">
        <v>83.297101449275374</v>
      </c>
      <c r="J212" s="13">
        <v>84.483896940418674</v>
      </c>
      <c r="K212" s="7">
        <f t="shared" si="6"/>
        <v>88.085024154589377</v>
      </c>
      <c r="L212" s="7">
        <f t="shared" si="7"/>
        <v>79.695974235104671</v>
      </c>
      <c r="M212" s="3" t="s">
        <v>1154</v>
      </c>
    </row>
    <row r="213" spans="1:13" x14ac:dyDescent="0.35">
      <c r="A213" s="11" t="s">
        <v>1349</v>
      </c>
      <c r="B213" s="11" t="s">
        <v>11</v>
      </c>
      <c r="C213" s="11" t="s">
        <v>30</v>
      </c>
      <c r="D213" s="11" t="s">
        <v>48</v>
      </c>
      <c r="E213" s="11" t="s">
        <v>364</v>
      </c>
      <c r="F213" s="20">
        <v>2</v>
      </c>
      <c r="G213" s="21">
        <v>18.22</v>
      </c>
      <c r="H213" s="13">
        <v>121.139407244786</v>
      </c>
      <c r="I213" s="13">
        <v>114.0274423710209</v>
      </c>
      <c r="J213" s="13">
        <v>128.2513721185511</v>
      </c>
      <c r="K213" s="7">
        <f t="shared" si="6"/>
        <v>127.19637760702531</v>
      </c>
      <c r="L213" s="7">
        <f t="shared" si="7"/>
        <v>115.08243688254669</v>
      </c>
      <c r="M213" s="3" t="s">
        <v>1154</v>
      </c>
    </row>
    <row r="214" spans="1:13" x14ac:dyDescent="0.35">
      <c r="A214" s="11" t="s">
        <v>63</v>
      </c>
      <c r="B214" s="11" t="s">
        <v>11</v>
      </c>
      <c r="C214" s="11" t="s">
        <v>30</v>
      </c>
      <c r="D214" s="11" t="s">
        <v>48</v>
      </c>
      <c r="E214" s="11" t="s">
        <v>62</v>
      </c>
      <c r="F214" s="20">
        <v>28</v>
      </c>
      <c r="G214" s="21">
        <v>305.25999999999988</v>
      </c>
      <c r="H214" s="13">
        <v>137.65788021464641</v>
      </c>
      <c r="I214" s="13">
        <v>128.66580702534461</v>
      </c>
      <c r="J214" s="13">
        <v>144.55294320380571</v>
      </c>
      <c r="K214" s="7">
        <f t="shared" si="6"/>
        <v>144.54077422537873</v>
      </c>
      <c r="L214" s="7">
        <f t="shared" si="7"/>
        <v>130.7749862039141</v>
      </c>
      <c r="M214" s="3" t="s">
        <v>1149</v>
      </c>
    </row>
    <row r="215" spans="1:13" x14ac:dyDescent="0.35">
      <c r="A215" s="11" t="s">
        <v>49</v>
      </c>
      <c r="B215" s="11" t="s">
        <v>11</v>
      </c>
      <c r="C215" s="11" t="s">
        <v>30</v>
      </c>
      <c r="D215" s="11" t="s">
        <v>48</v>
      </c>
      <c r="E215" s="11" t="s">
        <v>39</v>
      </c>
      <c r="F215" s="20">
        <v>49</v>
      </c>
      <c r="G215" s="21">
        <v>397.63</v>
      </c>
      <c r="H215" s="13">
        <v>132.03967168262659</v>
      </c>
      <c r="I215" s="13">
        <v>118.96701649175409</v>
      </c>
      <c r="J215" s="13">
        <v>139.2154420921544</v>
      </c>
      <c r="K215" s="7">
        <f t="shared" si="6"/>
        <v>138.64165526675794</v>
      </c>
      <c r="L215" s="7">
        <f t="shared" si="7"/>
        <v>125.43768809849526</v>
      </c>
      <c r="M215" s="3" t="s">
        <v>1149</v>
      </c>
    </row>
    <row r="216" spans="1:13" x14ac:dyDescent="0.35">
      <c r="A216" s="11" t="s">
        <v>85</v>
      </c>
      <c r="B216" s="11" t="s">
        <v>11</v>
      </c>
      <c r="C216" s="11" t="s">
        <v>30</v>
      </c>
      <c r="D216" s="11" t="s">
        <v>48</v>
      </c>
      <c r="E216" s="11" t="s">
        <v>84</v>
      </c>
      <c r="F216" s="20">
        <v>14</v>
      </c>
      <c r="G216" s="21">
        <v>167.46</v>
      </c>
      <c r="H216" s="13">
        <v>131.0681628892149</v>
      </c>
      <c r="I216" s="13">
        <v>113.1194579381602</v>
      </c>
      <c r="J216" s="13">
        <v>149.97308586967199</v>
      </c>
      <c r="K216" s="7">
        <f t="shared" si="6"/>
        <v>137.62157103367565</v>
      </c>
      <c r="L216" s="7">
        <f t="shared" si="7"/>
        <v>124.51475474475416</v>
      </c>
      <c r="M216" s="3" t="s">
        <v>1158</v>
      </c>
    </row>
    <row r="217" spans="1:13" x14ac:dyDescent="0.35">
      <c r="A217" s="11" t="s">
        <v>1350</v>
      </c>
      <c r="B217" s="11" t="s">
        <v>11</v>
      </c>
      <c r="C217" s="11" t="s">
        <v>30</v>
      </c>
      <c r="D217" s="11" t="s">
        <v>48</v>
      </c>
      <c r="E217" s="11" t="s">
        <v>43</v>
      </c>
      <c r="F217" s="20">
        <v>3</v>
      </c>
      <c r="G217" s="21">
        <v>21.96</v>
      </c>
      <c r="H217" s="13">
        <v>139.9726775956284</v>
      </c>
      <c r="I217" s="13">
        <v>133.93510928961749</v>
      </c>
      <c r="J217" s="13">
        <v>140.66325136612019</v>
      </c>
      <c r="K217" s="7">
        <f t="shared" si="6"/>
        <v>146.97131147540983</v>
      </c>
      <c r="L217" s="7">
        <f t="shared" si="7"/>
        <v>132.97404371584696</v>
      </c>
      <c r="M217" s="3" t="s">
        <v>1154</v>
      </c>
    </row>
    <row r="218" spans="1:13" x14ac:dyDescent="0.35">
      <c r="A218" s="11" t="s">
        <v>1351</v>
      </c>
      <c r="B218" s="11" t="s">
        <v>11</v>
      </c>
      <c r="C218" s="11" t="s">
        <v>30</v>
      </c>
      <c r="D218" s="11" t="s">
        <v>48</v>
      </c>
      <c r="E218" s="11" t="s">
        <v>502</v>
      </c>
      <c r="F218" s="20">
        <v>3</v>
      </c>
      <c r="G218" s="21">
        <v>57.09</v>
      </c>
      <c r="H218" s="13">
        <v>133.2117708880715</v>
      </c>
      <c r="I218" s="13">
        <v>127.0940620073568</v>
      </c>
      <c r="J218" s="13">
        <v>133.90383604834469</v>
      </c>
      <c r="K218" s="7">
        <f t="shared" si="6"/>
        <v>139.87235943247509</v>
      </c>
      <c r="L218" s="7">
        <f t="shared" si="7"/>
        <v>126.55118234366792</v>
      </c>
      <c r="M218" s="3" t="s">
        <v>1158</v>
      </c>
    </row>
    <row r="219" spans="1:13" x14ac:dyDescent="0.35">
      <c r="A219" s="11" t="s">
        <v>1352</v>
      </c>
      <c r="B219" s="11" t="s">
        <v>11</v>
      </c>
      <c r="C219" s="11" t="s">
        <v>30</v>
      </c>
      <c r="D219" s="11" t="s">
        <v>48</v>
      </c>
      <c r="E219" s="11" t="s">
        <v>499</v>
      </c>
      <c r="F219" s="20">
        <v>3</v>
      </c>
      <c r="G219" s="21">
        <v>16.29</v>
      </c>
      <c r="H219" s="13">
        <v>125.79189686924489</v>
      </c>
      <c r="I219" s="13">
        <v>123.6758747697974</v>
      </c>
      <c r="J219" s="13">
        <v>143.04880294659301</v>
      </c>
      <c r="K219" s="7">
        <f t="shared" si="6"/>
        <v>132.08149171270713</v>
      </c>
      <c r="L219" s="7">
        <f t="shared" si="7"/>
        <v>119.50230202578264</v>
      </c>
      <c r="M219" s="3" t="s">
        <v>1158</v>
      </c>
    </row>
    <row r="220" spans="1:13" x14ac:dyDescent="0.35">
      <c r="A220" s="11" t="s">
        <v>1353</v>
      </c>
      <c r="B220" s="11" t="s">
        <v>11</v>
      </c>
      <c r="C220" s="11" t="s">
        <v>30</v>
      </c>
      <c r="D220" s="11" t="s">
        <v>48</v>
      </c>
      <c r="E220" s="11" t="s">
        <v>35</v>
      </c>
      <c r="F220" s="20">
        <v>2</v>
      </c>
      <c r="G220" s="21">
        <v>13.38</v>
      </c>
      <c r="H220" s="13">
        <v>137.15171898355749</v>
      </c>
      <c r="I220" s="13">
        <v>130.21860986547091</v>
      </c>
      <c r="J220" s="13">
        <v>144.08482810164421</v>
      </c>
      <c r="K220" s="7">
        <f t="shared" si="6"/>
        <v>144.00930493273538</v>
      </c>
      <c r="L220" s="7">
        <f t="shared" si="7"/>
        <v>130.2941330343796</v>
      </c>
      <c r="M220" s="3" t="s">
        <v>1154</v>
      </c>
    </row>
    <row r="221" spans="1:13" x14ac:dyDescent="0.35">
      <c r="A221" s="11" t="s">
        <v>1354</v>
      </c>
      <c r="B221" s="11" t="s">
        <v>11</v>
      </c>
      <c r="C221" s="11" t="s">
        <v>30</v>
      </c>
      <c r="D221" s="11" t="s">
        <v>48</v>
      </c>
      <c r="E221" s="11" t="s">
        <v>89</v>
      </c>
      <c r="F221" s="20">
        <v>2</v>
      </c>
      <c r="G221" s="21">
        <v>12.54</v>
      </c>
      <c r="H221" s="13">
        <v>128.8072731411379</v>
      </c>
      <c r="I221" s="13">
        <v>127.6598393753155</v>
      </c>
      <c r="J221" s="13">
        <v>129.95470690696041</v>
      </c>
      <c r="K221" s="7">
        <f t="shared" si="6"/>
        <v>135.2476367981948</v>
      </c>
      <c r="L221" s="7">
        <f t="shared" si="7"/>
        <v>122.36690948408099</v>
      </c>
      <c r="M221" s="3" t="s">
        <v>1154</v>
      </c>
    </row>
    <row r="222" spans="1:13" x14ac:dyDescent="0.35">
      <c r="A222" s="11" t="s">
        <v>1355</v>
      </c>
      <c r="B222" s="11" t="s">
        <v>11</v>
      </c>
      <c r="C222" s="11" t="s">
        <v>30</v>
      </c>
      <c r="D222" s="11" t="s">
        <v>48</v>
      </c>
      <c r="E222" s="11" t="s">
        <v>73</v>
      </c>
      <c r="F222" s="20">
        <v>1</v>
      </c>
      <c r="G222" s="21">
        <v>8.52</v>
      </c>
      <c r="H222" s="13">
        <v>122.25704225352111</v>
      </c>
      <c r="I222" s="13">
        <v>122.25704225352111</v>
      </c>
      <c r="J222" s="13">
        <v>122.25704225352111</v>
      </c>
      <c r="K222" s="7">
        <f t="shared" si="6"/>
        <v>128.36989436619717</v>
      </c>
      <c r="L222" s="7">
        <f t="shared" si="7"/>
        <v>116.14419014084504</v>
      </c>
      <c r="M222" s="3" t="s">
        <v>1157</v>
      </c>
    </row>
    <row r="223" spans="1:13" x14ac:dyDescent="0.35">
      <c r="A223" s="11" t="s">
        <v>1356</v>
      </c>
      <c r="B223" s="11" t="s">
        <v>11</v>
      </c>
      <c r="C223" s="11" t="s">
        <v>30</v>
      </c>
      <c r="D223" s="11" t="s">
        <v>48</v>
      </c>
      <c r="E223" s="11" t="s">
        <v>147</v>
      </c>
      <c r="F223" s="20">
        <v>2</v>
      </c>
      <c r="G223" s="21">
        <v>2.34</v>
      </c>
      <c r="H223" s="13">
        <v>90.529914529914535</v>
      </c>
      <c r="I223" s="13">
        <v>84.918803418803435</v>
      </c>
      <c r="J223" s="13">
        <v>96.141025641025635</v>
      </c>
      <c r="K223" s="7">
        <f t="shared" si="6"/>
        <v>95.05641025641026</v>
      </c>
      <c r="L223" s="7">
        <f t="shared" si="7"/>
        <v>86.003418803418811</v>
      </c>
      <c r="M223" s="3" t="s">
        <v>1154</v>
      </c>
    </row>
    <row r="224" spans="1:13" x14ac:dyDescent="0.35">
      <c r="A224" s="11" t="s">
        <v>1357</v>
      </c>
      <c r="B224" s="11" t="s">
        <v>11</v>
      </c>
      <c r="C224" s="11" t="s">
        <v>30</v>
      </c>
      <c r="D224" s="11" t="s">
        <v>48</v>
      </c>
      <c r="E224" s="11" t="s">
        <v>169</v>
      </c>
      <c r="F224" s="20">
        <v>2</v>
      </c>
      <c r="G224" s="21">
        <v>14.64</v>
      </c>
      <c r="H224" s="13">
        <v>135.4590163934426</v>
      </c>
      <c r="I224" s="13">
        <v>134.29234972677591</v>
      </c>
      <c r="J224" s="13">
        <v>136.62568306010931</v>
      </c>
      <c r="K224" s="7">
        <f t="shared" si="6"/>
        <v>142.23196721311473</v>
      </c>
      <c r="L224" s="7">
        <f t="shared" si="7"/>
        <v>128.68606557377046</v>
      </c>
      <c r="M224" s="3" t="s">
        <v>1154</v>
      </c>
    </row>
    <row r="225" spans="1:13" x14ac:dyDescent="0.35">
      <c r="A225" s="11" t="s">
        <v>1358</v>
      </c>
      <c r="B225" s="11" t="s">
        <v>11</v>
      </c>
      <c r="C225" s="11" t="s">
        <v>30</v>
      </c>
      <c r="D225" s="11" t="s">
        <v>48</v>
      </c>
      <c r="E225" s="11" t="s">
        <v>1267</v>
      </c>
      <c r="F225" s="20">
        <v>2</v>
      </c>
      <c r="G225" s="21">
        <v>7.8</v>
      </c>
      <c r="H225" s="13">
        <v>115.61410256410259</v>
      </c>
      <c r="I225" s="13">
        <v>109.93269230769231</v>
      </c>
      <c r="J225" s="13">
        <v>121.2955128205128</v>
      </c>
      <c r="K225" s="7">
        <f t="shared" si="6"/>
        <v>121.39480769230774</v>
      </c>
      <c r="L225" s="7">
        <f t="shared" si="7"/>
        <v>109.83339743589745</v>
      </c>
      <c r="M225" s="3" t="s">
        <v>1154</v>
      </c>
    </row>
    <row r="226" spans="1:13" x14ac:dyDescent="0.35">
      <c r="A226" s="11" t="s">
        <v>1359</v>
      </c>
      <c r="B226" s="11" t="s">
        <v>11</v>
      </c>
      <c r="C226" s="11" t="s">
        <v>30</v>
      </c>
      <c r="D226" s="11" t="s">
        <v>48</v>
      </c>
      <c r="E226" s="11" t="s">
        <v>435</v>
      </c>
      <c r="F226" s="20">
        <v>2</v>
      </c>
      <c r="G226" s="21">
        <v>18.100000000000001</v>
      </c>
      <c r="H226" s="13">
        <v>117.5767955801105</v>
      </c>
      <c r="I226" s="13">
        <v>115.8060773480663</v>
      </c>
      <c r="J226" s="13">
        <v>119.3475138121547</v>
      </c>
      <c r="K226" s="7">
        <f t="shared" si="6"/>
        <v>123.45563535911603</v>
      </c>
      <c r="L226" s="7">
        <f t="shared" si="7"/>
        <v>111.69795580110497</v>
      </c>
      <c r="M226" s="3" t="s">
        <v>1154</v>
      </c>
    </row>
    <row r="227" spans="1:13" x14ac:dyDescent="0.35">
      <c r="A227" s="11" t="s">
        <v>484</v>
      </c>
      <c r="B227" s="11" t="s">
        <v>11</v>
      </c>
      <c r="C227" s="11" t="s">
        <v>30</v>
      </c>
      <c r="D227" s="11" t="s">
        <v>48</v>
      </c>
      <c r="E227" s="11" t="s">
        <v>59</v>
      </c>
      <c r="F227" s="20">
        <v>15</v>
      </c>
      <c r="G227" s="21">
        <v>145.66</v>
      </c>
      <c r="H227" s="13">
        <v>127.89353612167299</v>
      </c>
      <c r="I227" s="13">
        <v>120.4769710045525</v>
      </c>
      <c r="J227" s="13">
        <v>143.35184394086039</v>
      </c>
      <c r="K227" s="7">
        <f t="shared" si="6"/>
        <v>134.28821292775666</v>
      </c>
      <c r="L227" s="7">
        <f t="shared" si="7"/>
        <v>121.49885931558934</v>
      </c>
      <c r="M227" s="3" t="s">
        <v>1149</v>
      </c>
    </row>
    <row r="228" spans="1:13" x14ac:dyDescent="0.35">
      <c r="A228" s="11" t="s">
        <v>1360</v>
      </c>
      <c r="B228" s="11" t="s">
        <v>11</v>
      </c>
      <c r="C228" s="11" t="s">
        <v>30</v>
      </c>
      <c r="D228" s="11" t="s">
        <v>48</v>
      </c>
      <c r="E228" s="11" t="s">
        <v>54</v>
      </c>
      <c r="F228" s="20">
        <v>3</v>
      </c>
      <c r="G228" s="21">
        <v>25.89</v>
      </c>
      <c r="H228" s="13">
        <v>126.3650057937427</v>
      </c>
      <c r="I228" s="13">
        <v>125.51738122827351</v>
      </c>
      <c r="J228" s="13">
        <v>144.6494785631518</v>
      </c>
      <c r="K228" s="7">
        <f t="shared" si="6"/>
        <v>132.68325608342982</v>
      </c>
      <c r="L228" s="7">
        <f t="shared" si="7"/>
        <v>120.04675550405555</v>
      </c>
      <c r="M228" s="3" t="s">
        <v>1158</v>
      </c>
    </row>
    <row r="229" spans="1:13" x14ac:dyDescent="0.35">
      <c r="A229" s="11" t="s">
        <v>232</v>
      </c>
      <c r="B229" s="11" t="s">
        <v>11</v>
      </c>
      <c r="C229" s="11" t="s">
        <v>30</v>
      </c>
      <c r="D229" s="11" t="s">
        <v>48</v>
      </c>
      <c r="E229" s="11" t="s">
        <v>28</v>
      </c>
      <c r="F229" s="20">
        <v>7</v>
      </c>
      <c r="G229" s="21">
        <v>21.42</v>
      </c>
      <c r="H229" s="13">
        <v>132.08750000000001</v>
      </c>
      <c r="I229" s="13">
        <v>128.00165550165551</v>
      </c>
      <c r="J229" s="13">
        <v>134.1024444444445</v>
      </c>
      <c r="K229" s="7">
        <f t="shared" si="6"/>
        <v>138.69187500000001</v>
      </c>
      <c r="L229" s="7">
        <f t="shared" si="7"/>
        <v>125.483125</v>
      </c>
      <c r="M229" s="3" t="s">
        <v>1154</v>
      </c>
    </row>
    <row r="230" spans="1:13" x14ac:dyDescent="0.35">
      <c r="A230" s="11" t="s">
        <v>1361</v>
      </c>
      <c r="B230" s="11" t="s">
        <v>11</v>
      </c>
      <c r="C230" s="11" t="s">
        <v>30</v>
      </c>
      <c r="D230" s="11" t="s">
        <v>48</v>
      </c>
      <c r="E230" s="11" t="s">
        <v>131</v>
      </c>
      <c r="F230" s="20">
        <v>3</v>
      </c>
      <c r="G230" s="21">
        <v>26.46</v>
      </c>
      <c r="H230" s="13">
        <v>117.0466666666667</v>
      </c>
      <c r="I230" s="13">
        <v>114.72787878787879</v>
      </c>
      <c r="J230" s="13">
        <v>125.0292255892256</v>
      </c>
      <c r="K230" s="7">
        <f t="shared" si="6"/>
        <v>122.89900000000003</v>
      </c>
      <c r="L230" s="7">
        <f t="shared" si="7"/>
        <v>111.19433333333336</v>
      </c>
      <c r="M230" s="3" t="s">
        <v>1154</v>
      </c>
    </row>
    <row r="231" spans="1:13" x14ac:dyDescent="0.35">
      <c r="A231" s="11" t="s">
        <v>1362</v>
      </c>
      <c r="B231" s="11" t="s">
        <v>11</v>
      </c>
      <c r="C231" s="11" t="s">
        <v>30</v>
      </c>
      <c r="D231" s="11" t="s">
        <v>104</v>
      </c>
      <c r="E231" s="11" t="s">
        <v>360</v>
      </c>
      <c r="F231" s="20">
        <v>3</v>
      </c>
      <c r="G231" s="21">
        <v>27.36</v>
      </c>
      <c r="H231" s="13">
        <v>96.57565789473685</v>
      </c>
      <c r="I231" s="13">
        <v>84.667214912280713</v>
      </c>
      <c r="J231" s="13">
        <v>97.945175438596493</v>
      </c>
      <c r="K231" s="7">
        <f t="shared" si="6"/>
        <v>101.4044407894737</v>
      </c>
      <c r="L231" s="7">
        <f t="shared" si="7"/>
        <v>91.746875000000003</v>
      </c>
      <c r="M231" s="3" t="s">
        <v>1158</v>
      </c>
    </row>
    <row r="232" spans="1:13" x14ac:dyDescent="0.35">
      <c r="A232" s="11" t="s">
        <v>402</v>
      </c>
      <c r="B232" s="11" t="s">
        <v>11</v>
      </c>
      <c r="C232" s="11" t="s">
        <v>30</v>
      </c>
      <c r="D232" s="11" t="s">
        <v>104</v>
      </c>
      <c r="E232" s="11" t="s">
        <v>364</v>
      </c>
      <c r="F232" s="20">
        <v>11</v>
      </c>
      <c r="G232" s="21">
        <v>105.44</v>
      </c>
      <c r="H232" s="13">
        <v>100.8908794788274</v>
      </c>
      <c r="I232" s="13">
        <v>86.88944722411162</v>
      </c>
      <c r="J232" s="13">
        <v>114.93322475570029</v>
      </c>
      <c r="K232" s="7">
        <f t="shared" si="6"/>
        <v>105.93542345276877</v>
      </c>
      <c r="L232" s="7">
        <f t="shared" si="7"/>
        <v>95.846335504886028</v>
      </c>
      <c r="M232" s="3" t="s">
        <v>1148</v>
      </c>
    </row>
    <row r="233" spans="1:13" x14ac:dyDescent="0.35">
      <c r="A233" s="11" t="s">
        <v>616</v>
      </c>
      <c r="B233" s="11" t="s">
        <v>11</v>
      </c>
      <c r="C233" s="11" t="s">
        <v>30</v>
      </c>
      <c r="D233" s="11" t="s">
        <v>104</v>
      </c>
      <c r="E233" s="11" t="s">
        <v>101</v>
      </c>
      <c r="F233" s="20">
        <v>11</v>
      </c>
      <c r="G233" s="21">
        <v>138.54</v>
      </c>
      <c r="H233" s="13">
        <v>120.3239845261122</v>
      </c>
      <c r="I233" s="13">
        <v>114.4421016589523</v>
      </c>
      <c r="J233" s="13">
        <v>125.2282198739029</v>
      </c>
      <c r="K233" s="7">
        <f t="shared" si="6"/>
        <v>126.34018375241781</v>
      </c>
      <c r="L233" s="7">
        <f t="shared" si="7"/>
        <v>114.30778529980658</v>
      </c>
      <c r="M233" s="3" t="s">
        <v>1148</v>
      </c>
    </row>
    <row r="234" spans="1:13" x14ac:dyDescent="0.35">
      <c r="A234" s="11" t="s">
        <v>369</v>
      </c>
      <c r="B234" s="11" t="s">
        <v>11</v>
      </c>
      <c r="C234" s="11" t="s">
        <v>30</v>
      </c>
      <c r="D234" s="11" t="s">
        <v>104</v>
      </c>
      <c r="E234" s="11" t="s">
        <v>39</v>
      </c>
      <c r="F234" s="20">
        <v>11</v>
      </c>
      <c r="G234" s="21">
        <v>83.94</v>
      </c>
      <c r="H234" s="13">
        <v>114.45418950665621</v>
      </c>
      <c r="I234" s="13">
        <v>111.96995288012759</v>
      </c>
      <c r="J234" s="13">
        <v>121.7145783264147</v>
      </c>
      <c r="K234" s="7">
        <f t="shared" si="6"/>
        <v>120.17689898198903</v>
      </c>
      <c r="L234" s="7">
        <f t="shared" si="7"/>
        <v>108.73148003132339</v>
      </c>
      <c r="M234" s="3" t="s">
        <v>1158</v>
      </c>
    </row>
    <row r="235" spans="1:13" x14ac:dyDescent="0.35">
      <c r="A235" s="11" t="s">
        <v>175</v>
      </c>
      <c r="B235" s="11" t="s">
        <v>11</v>
      </c>
      <c r="C235" s="11" t="s">
        <v>30</v>
      </c>
      <c r="D235" s="11" t="s">
        <v>104</v>
      </c>
      <c r="E235" s="11" t="s">
        <v>84</v>
      </c>
      <c r="F235" s="20">
        <v>72</v>
      </c>
      <c r="G235" s="21">
        <v>463.08</v>
      </c>
      <c r="H235" s="13">
        <v>107.50926587244901</v>
      </c>
      <c r="I235" s="13">
        <v>89.910836336078702</v>
      </c>
      <c r="J235" s="13">
        <v>125.41126647109741</v>
      </c>
      <c r="K235" s="7">
        <f t="shared" si="6"/>
        <v>112.88472916607147</v>
      </c>
      <c r="L235" s="7">
        <f t="shared" si="7"/>
        <v>102.13380257882655</v>
      </c>
      <c r="M235" s="3" t="s">
        <v>1130</v>
      </c>
    </row>
    <row r="236" spans="1:13" x14ac:dyDescent="0.35">
      <c r="A236" s="11" t="s">
        <v>324</v>
      </c>
      <c r="B236" s="11" t="s">
        <v>11</v>
      </c>
      <c r="C236" s="11" t="s">
        <v>30</v>
      </c>
      <c r="D236" s="11" t="s">
        <v>104</v>
      </c>
      <c r="E236" s="11" t="s">
        <v>43</v>
      </c>
      <c r="F236" s="20">
        <v>51</v>
      </c>
      <c r="G236" s="21">
        <v>458.93999999999988</v>
      </c>
      <c r="H236" s="13">
        <v>109.75467980295571</v>
      </c>
      <c r="I236" s="13">
        <v>104.3486272981076</v>
      </c>
      <c r="J236" s="13">
        <v>118.16407431286309</v>
      </c>
      <c r="K236" s="7">
        <f t="shared" si="6"/>
        <v>115.24241379310349</v>
      </c>
      <c r="L236" s="7">
        <f t="shared" si="7"/>
        <v>104.26694581280792</v>
      </c>
      <c r="M236" s="3" t="s">
        <v>1130</v>
      </c>
    </row>
    <row r="237" spans="1:13" x14ac:dyDescent="0.35">
      <c r="A237" s="11" t="s">
        <v>260</v>
      </c>
      <c r="B237" s="11" t="s">
        <v>11</v>
      </c>
      <c r="C237" s="11" t="s">
        <v>30</v>
      </c>
      <c r="D237" s="11" t="s">
        <v>104</v>
      </c>
      <c r="E237" s="11" t="s">
        <v>196</v>
      </c>
      <c r="F237" s="20">
        <v>16</v>
      </c>
      <c r="G237" s="21">
        <v>114.77</v>
      </c>
      <c r="H237" s="13">
        <v>95.444586191346446</v>
      </c>
      <c r="I237" s="13">
        <v>78.014297736299369</v>
      </c>
      <c r="J237" s="13">
        <v>102.33875500922031</v>
      </c>
      <c r="K237" s="7">
        <f t="shared" si="6"/>
        <v>100.21681550091377</v>
      </c>
      <c r="L237" s="7">
        <f t="shared" si="7"/>
        <v>90.672356881779123</v>
      </c>
      <c r="M237" s="3" t="s">
        <v>1130</v>
      </c>
    </row>
    <row r="238" spans="1:13" x14ac:dyDescent="0.35">
      <c r="A238" s="11" t="s">
        <v>1363</v>
      </c>
      <c r="B238" s="11" t="s">
        <v>11</v>
      </c>
      <c r="C238" s="11" t="s">
        <v>30</v>
      </c>
      <c r="D238" s="11" t="s">
        <v>104</v>
      </c>
      <c r="E238" s="11" t="s">
        <v>1256</v>
      </c>
      <c r="F238" s="20">
        <v>2</v>
      </c>
      <c r="G238" s="21">
        <v>7.75</v>
      </c>
      <c r="H238" s="13">
        <v>107.9799441913743</v>
      </c>
      <c r="I238" s="13">
        <v>107.7083183489171</v>
      </c>
      <c r="J238" s="13">
        <v>108.2515700338315</v>
      </c>
      <c r="K238" s="7">
        <f t="shared" si="6"/>
        <v>113.37894140094302</v>
      </c>
      <c r="L238" s="7">
        <f t="shared" si="7"/>
        <v>102.58094698180558</v>
      </c>
      <c r="M238" s="3" t="s">
        <v>1154</v>
      </c>
    </row>
    <row r="239" spans="1:13" x14ac:dyDescent="0.35">
      <c r="A239" s="11" t="s">
        <v>1364</v>
      </c>
      <c r="B239" s="11" t="s">
        <v>11</v>
      </c>
      <c r="C239" s="11" t="s">
        <v>30</v>
      </c>
      <c r="D239" s="11" t="s">
        <v>104</v>
      </c>
      <c r="E239" s="11" t="s">
        <v>328</v>
      </c>
      <c r="F239" s="20">
        <v>11</v>
      </c>
      <c r="G239" s="21">
        <v>40.93</v>
      </c>
      <c r="H239" s="13">
        <v>106.0226537216829</v>
      </c>
      <c r="I239" s="13">
        <v>92.505598086124408</v>
      </c>
      <c r="J239" s="13">
        <v>109.5101172738633</v>
      </c>
      <c r="K239" s="7">
        <f t="shared" si="6"/>
        <v>111.32378640776705</v>
      </c>
      <c r="L239" s="7">
        <f t="shared" si="7"/>
        <v>100.72152103559876</v>
      </c>
      <c r="M239" s="3" t="s">
        <v>1130</v>
      </c>
    </row>
    <row r="240" spans="1:13" x14ac:dyDescent="0.35">
      <c r="A240" s="11" t="s">
        <v>1365</v>
      </c>
      <c r="B240" s="11" t="s">
        <v>11</v>
      </c>
      <c r="C240" s="11" t="s">
        <v>30</v>
      </c>
      <c r="D240" s="11" t="s">
        <v>104</v>
      </c>
      <c r="E240" s="11" t="s">
        <v>147</v>
      </c>
      <c r="F240" s="20">
        <v>6</v>
      </c>
      <c r="G240" s="21">
        <v>94.22999999999999</v>
      </c>
      <c r="H240" s="13">
        <v>121.1755935147655</v>
      </c>
      <c r="I240" s="13">
        <v>117.8552591168262</v>
      </c>
      <c r="J240" s="13">
        <v>129.4707167832168</v>
      </c>
      <c r="K240" s="7">
        <f t="shared" si="6"/>
        <v>127.23437319050377</v>
      </c>
      <c r="L240" s="7">
        <f t="shared" si="7"/>
        <v>115.11681383902722</v>
      </c>
      <c r="M240" s="3" t="s">
        <v>1158</v>
      </c>
    </row>
    <row r="241" spans="1:13" x14ac:dyDescent="0.35">
      <c r="A241" s="11" t="s">
        <v>1366</v>
      </c>
      <c r="B241" s="11" t="s">
        <v>11</v>
      </c>
      <c r="C241" s="11" t="s">
        <v>30</v>
      </c>
      <c r="D241" s="11" t="s">
        <v>104</v>
      </c>
      <c r="E241" s="11" t="s">
        <v>203</v>
      </c>
      <c r="F241" s="20">
        <v>3</v>
      </c>
      <c r="G241" s="21">
        <v>17.920000000000002</v>
      </c>
      <c r="H241" s="13">
        <v>79.292151162790688</v>
      </c>
      <c r="I241" s="13">
        <v>75.906892889087658</v>
      </c>
      <c r="J241" s="13">
        <v>83.728197674418595</v>
      </c>
      <c r="K241" s="7">
        <f t="shared" si="6"/>
        <v>83.256758720930222</v>
      </c>
      <c r="L241" s="7">
        <f t="shared" si="7"/>
        <v>75.327543604651154</v>
      </c>
      <c r="M241" s="3" t="s">
        <v>1149</v>
      </c>
    </row>
    <row r="242" spans="1:13" x14ac:dyDescent="0.35">
      <c r="A242" s="11" t="s">
        <v>183</v>
      </c>
      <c r="B242" s="11" t="s">
        <v>11</v>
      </c>
      <c r="C242" s="11" t="s">
        <v>30</v>
      </c>
      <c r="D242" s="11" t="s">
        <v>104</v>
      </c>
      <c r="E242" s="11" t="s">
        <v>182</v>
      </c>
      <c r="F242" s="20">
        <v>11</v>
      </c>
      <c r="G242" s="21">
        <v>49.08</v>
      </c>
      <c r="H242" s="13">
        <v>108.33835845896149</v>
      </c>
      <c r="I242" s="13">
        <v>100.6476021497694</v>
      </c>
      <c r="J242" s="13">
        <v>124.73683225089231</v>
      </c>
      <c r="K242" s="7">
        <f t="shared" si="6"/>
        <v>113.75527638190957</v>
      </c>
      <c r="L242" s="7">
        <f t="shared" si="7"/>
        <v>102.92144053601342</v>
      </c>
      <c r="M242" s="3" t="s">
        <v>1158</v>
      </c>
    </row>
    <row r="243" spans="1:13" x14ac:dyDescent="0.35">
      <c r="A243" s="11" t="s">
        <v>1367</v>
      </c>
      <c r="B243" s="11" t="s">
        <v>11</v>
      </c>
      <c r="C243" s="11" t="s">
        <v>30</v>
      </c>
      <c r="D243" s="11" t="s">
        <v>104</v>
      </c>
      <c r="E243" s="11" t="s">
        <v>122</v>
      </c>
      <c r="F243" s="20">
        <v>4</v>
      </c>
      <c r="G243" s="21">
        <v>25.2</v>
      </c>
      <c r="H243" s="13">
        <v>117.04444444444449</v>
      </c>
      <c r="I243" s="13">
        <v>107.67460317460321</v>
      </c>
      <c r="J243" s="13">
        <v>126.50476190476191</v>
      </c>
      <c r="K243" s="7">
        <f t="shared" si="6"/>
        <v>122.89666666666672</v>
      </c>
      <c r="L243" s="7">
        <f t="shared" si="7"/>
        <v>111.19222222222227</v>
      </c>
      <c r="M243" s="3" t="s">
        <v>1211</v>
      </c>
    </row>
    <row r="244" spans="1:13" x14ac:dyDescent="0.35">
      <c r="A244" s="11" t="s">
        <v>105</v>
      </c>
      <c r="B244" s="11" t="s">
        <v>11</v>
      </c>
      <c r="C244" s="11" t="s">
        <v>30</v>
      </c>
      <c r="D244" s="11" t="s">
        <v>104</v>
      </c>
      <c r="E244" s="11" t="s">
        <v>99</v>
      </c>
      <c r="F244" s="20">
        <v>5</v>
      </c>
      <c r="G244" s="21">
        <v>88.100000000000009</v>
      </c>
      <c r="H244" s="13">
        <v>92.959704880817256</v>
      </c>
      <c r="I244" s="13">
        <v>92.530646992054486</v>
      </c>
      <c r="J244" s="13">
        <v>110.2150964812713</v>
      </c>
      <c r="K244" s="7">
        <f t="shared" si="6"/>
        <v>97.607690124858124</v>
      </c>
      <c r="L244" s="7">
        <f t="shared" si="7"/>
        <v>88.311719636776388</v>
      </c>
      <c r="M244" s="3" t="s">
        <v>1148</v>
      </c>
    </row>
    <row r="245" spans="1:13" x14ac:dyDescent="0.35">
      <c r="A245" s="11" t="s">
        <v>567</v>
      </c>
      <c r="B245" s="11" t="s">
        <v>11</v>
      </c>
      <c r="C245" s="11" t="s">
        <v>30</v>
      </c>
      <c r="D245" s="11" t="s">
        <v>104</v>
      </c>
      <c r="E245" s="11" t="s">
        <v>59</v>
      </c>
      <c r="F245" s="20">
        <v>5</v>
      </c>
      <c r="G245" s="21">
        <v>22.2</v>
      </c>
      <c r="H245" s="13">
        <v>151.80198019801981</v>
      </c>
      <c r="I245" s="13">
        <v>139.49339207048459</v>
      </c>
      <c r="J245" s="13">
        <v>154.44713656387671</v>
      </c>
      <c r="K245" s="7">
        <f t="shared" si="6"/>
        <v>159.3920792079208</v>
      </c>
      <c r="L245" s="7">
        <f t="shared" si="7"/>
        <v>144.21188118811881</v>
      </c>
      <c r="M245" s="3" t="s">
        <v>1148</v>
      </c>
    </row>
    <row r="246" spans="1:13" x14ac:dyDescent="0.35">
      <c r="A246" s="11" t="s">
        <v>1368</v>
      </c>
      <c r="B246" s="11" t="s">
        <v>11</v>
      </c>
      <c r="C246" s="11" t="s">
        <v>30</v>
      </c>
      <c r="D246" s="11" t="s">
        <v>104</v>
      </c>
      <c r="E246" s="11" t="s">
        <v>107</v>
      </c>
      <c r="F246" s="20">
        <v>5</v>
      </c>
      <c r="G246" s="21">
        <v>43.2</v>
      </c>
      <c r="H246" s="13">
        <v>95.839887640449433</v>
      </c>
      <c r="I246" s="13">
        <v>77.849223946784932</v>
      </c>
      <c r="J246" s="13">
        <v>111.50221729490021</v>
      </c>
      <c r="K246" s="7">
        <f t="shared" si="6"/>
        <v>100.63188202247191</v>
      </c>
      <c r="L246" s="7">
        <f t="shared" si="7"/>
        <v>91.047893258426953</v>
      </c>
      <c r="M246" s="3" t="s">
        <v>1148</v>
      </c>
    </row>
    <row r="247" spans="1:13" x14ac:dyDescent="0.35">
      <c r="A247" s="11" t="s">
        <v>1369</v>
      </c>
      <c r="B247" s="11" t="s">
        <v>11</v>
      </c>
      <c r="C247" s="11" t="s">
        <v>30</v>
      </c>
      <c r="D247" s="11" t="s">
        <v>104</v>
      </c>
      <c r="E247" s="11" t="s">
        <v>633</v>
      </c>
      <c r="F247" s="20">
        <v>3</v>
      </c>
      <c r="G247" s="21">
        <v>13.8</v>
      </c>
      <c r="H247" s="13">
        <v>77.536956521739143</v>
      </c>
      <c r="I247" s="13">
        <v>67.673913043478265</v>
      </c>
      <c r="J247" s="13">
        <v>79.841304347826096</v>
      </c>
      <c r="K247" s="7">
        <f t="shared" si="6"/>
        <v>81.413804347826101</v>
      </c>
      <c r="L247" s="7">
        <f t="shared" si="7"/>
        <v>73.660108695652184</v>
      </c>
      <c r="M247" s="3" t="s">
        <v>1158</v>
      </c>
    </row>
    <row r="248" spans="1:13" x14ac:dyDescent="0.35">
      <c r="A248" s="11" t="s">
        <v>520</v>
      </c>
      <c r="B248" s="11" t="s">
        <v>11</v>
      </c>
      <c r="C248" s="11" t="s">
        <v>30</v>
      </c>
      <c r="D248" s="11" t="s">
        <v>104</v>
      </c>
      <c r="E248" s="11" t="s">
        <v>28</v>
      </c>
      <c r="F248" s="20">
        <v>10</v>
      </c>
      <c r="G248" s="21">
        <v>57.400000000000013</v>
      </c>
      <c r="H248" s="13">
        <v>102.58217893217891</v>
      </c>
      <c r="I248" s="13">
        <v>95.85230841018884</v>
      </c>
      <c r="J248" s="13">
        <v>116.5328102453102</v>
      </c>
      <c r="K248" s="7">
        <f t="shared" si="6"/>
        <v>107.71128787878786</v>
      </c>
      <c r="L248" s="7">
        <f t="shared" si="7"/>
        <v>97.453069985569954</v>
      </c>
      <c r="M248" s="3" t="s">
        <v>1148</v>
      </c>
    </row>
    <row r="249" spans="1:13" x14ac:dyDescent="0.35">
      <c r="A249" s="11" t="s">
        <v>609</v>
      </c>
      <c r="B249" s="11" t="s">
        <v>11</v>
      </c>
      <c r="C249" s="11" t="s">
        <v>30</v>
      </c>
      <c r="D249" s="11" t="s">
        <v>104</v>
      </c>
      <c r="E249" s="11" t="s">
        <v>186</v>
      </c>
      <c r="F249" s="20">
        <v>5</v>
      </c>
      <c r="G249" s="21">
        <v>77.11</v>
      </c>
      <c r="H249" s="13">
        <v>116.8160621761658</v>
      </c>
      <c r="I249" s="13">
        <v>112.1512005191434</v>
      </c>
      <c r="J249" s="13">
        <v>118.3257624918884</v>
      </c>
      <c r="K249" s="7">
        <f t="shared" si="6"/>
        <v>122.6568652849741</v>
      </c>
      <c r="L249" s="7">
        <f t="shared" si="7"/>
        <v>110.9752590673575</v>
      </c>
      <c r="M249" s="3" t="s">
        <v>1148</v>
      </c>
    </row>
    <row r="250" spans="1:13" x14ac:dyDescent="0.35">
      <c r="A250" s="11" t="s">
        <v>179</v>
      </c>
      <c r="B250" s="11" t="s">
        <v>11</v>
      </c>
      <c r="C250" s="11" t="s">
        <v>30</v>
      </c>
      <c r="D250" s="11" t="s">
        <v>104</v>
      </c>
      <c r="E250" s="11" t="s">
        <v>93</v>
      </c>
      <c r="F250" s="20">
        <v>69</v>
      </c>
      <c r="G250" s="21">
        <v>370.51</v>
      </c>
      <c r="H250" s="13">
        <v>82.615094339622644</v>
      </c>
      <c r="I250" s="13">
        <v>72.855895196506552</v>
      </c>
      <c r="J250" s="13">
        <v>96.346188340807174</v>
      </c>
      <c r="K250" s="7">
        <f t="shared" si="6"/>
        <v>86.745849056603774</v>
      </c>
      <c r="L250" s="7">
        <f t="shared" si="7"/>
        <v>78.484339622641514</v>
      </c>
      <c r="M250" s="3" t="s">
        <v>1148</v>
      </c>
    </row>
    <row r="251" spans="1:13" x14ac:dyDescent="0.35">
      <c r="A251" s="11" t="s">
        <v>244</v>
      </c>
      <c r="B251" s="11" t="s">
        <v>11</v>
      </c>
      <c r="C251" s="11" t="s">
        <v>30</v>
      </c>
      <c r="D251" s="11" t="s">
        <v>104</v>
      </c>
      <c r="E251" s="11" t="s">
        <v>243</v>
      </c>
      <c r="F251" s="20">
        <v>11</v>
      </c>
      <c r="G251" s="21">
        <v>82.070000000000022</v>
      </c>
      <c r="H251" s="13">
        <v>86.575609756097563</v>
      </c>
      <c r="I251" s="13">
        <v>72.341317365269461</v>
      </c>
      <c r="J251" s="13">
        <v>91.445842135586716</v>
      </c>
      <c r="K251" s="7">
        <f t="shared" si="6"/>
        <v>90.904390243902441</v>
      </c>
      <c r="L251" s="7">
        <f t="shared" si="7"/>
        <v>82.246829268292686</v>
      </c>
      <c r="M251" s="3" t="s">
        <v>1149</v>
      </c>
    </row>
    <row r="252" spans="1:13" x14ac:dyDescent="0.35">
      <c r="A252" s="11" t="s">
        <v>221</v>
      </c>
      <c r="B252" s="11" t="s">
        <v>11</v>
      </c>
      <c r="C252" s="11" t="s">
        <v>30</v>
      </c>
      <c r="D252" s="11" t="s">
        <v>104</v>
      </c>
      <c r="E252" s="11" t="s">
        <v>220</v>
      </c>
      <c r="F252" s="20">
        <v>19</v>
      </c>
      <c r="G252" s="21">
        <v>178.12</v>
      </c>
      <c r="H252" s="13">
        <v>97.564897959183682</v>
      </c>
      <c r="I252" s="13">
        <v>85.800656848952144</v>
      </c>
      <c r="J252" s="13">
        <v>110.9457518572282</v>
      </c>
      <c r="K252" s="7">
        <f t="shared" si="6"/>
        <v>102.44314285714287</v>
      </c>
      <c r="L252" s="7">
        <f t="shared" si="7"/>
        <v>92.68665306122449</v>
      </c>
      <c r="M252" s="3" t="s">
        <v>1148</v>
      </c>
    </row>
    <row r="253" spans="1:13" x14ac:dyDescent="0.35">
      <c r="A253" s="11" t="s">
        <v>1370</v>
      </c>
      <c r="B253" s="11" t="s">
        <v>11</v>
      </c>
      <c r="C253" s="11" t="s">
        <v>30</v>
      </c>
      <c r="D253" s="11" t="s">
        <v>104</v>
      </c>
      <c r="E253" s="11" t="s">
        <v>131</v>
      </c>
      <c r="F253" s="20">
        <v>20</v>
      </c>
      <c r="G253" s="21">
        <v>67.63000000000001</v>
      </c>
      <c r="H253" s="13">
        <v>110.4152447238437</v>
      </c>
      <c r="I253" s="13">
        <v>98.90271317119624</v>
      </c>
      <c r="J253" s="13">
        <v>120.2893247061521</v>
      </c>
      <c r="K253" s="7">
        <f t="shared" si="6"/>
        <v>115.93600696003588</v>
      </c>
      <c r="L253" s="7">
        <f t="shared" si="7"/>
        <v>104.89448248765152</v>
      </c>
      <c r="M253" s="3" t="s">
        <v>1130</v>
      </c>
    </row>
    <row r="254" spans="1:13" x14ac:dyDescent="0.35">
      <c r="A254" s="11" t="s">
        <v>1371</v>
      </c>
      <c r="B254" s="11" t="s">
        <v>11</v>
      </c>
      <c r="C254" s="11" t="s">
        <v>30</v>
      </c>
      <c r="D254" s="11" t="s">
        <v>156</v>
      </c>
      <c r="E254" s="11" t="s">
        <v>364</v>
      </c>
      <c r="F254" s="20">
        <v>4</v>
      </c>
      <c r="G254" s="21">
        <v>22.08</v>
      </c>
      <c r="H254" s="13">
        <v>80.45289855072464</v>
      </c>
      <c r="I254" s="13">
        <v>62.485960144927539</v>
      </c>
      <c r="J254" s="13">
        <v>100.5303442028986</v>
      </c>
      <c r="K254" s="7">
        <f t="shared" si="6"/>
        <v>84.475543478260875</v>
      </c>
      <c r="L254" s="7">
        <f t="shared" si="7"/>
        <v>76.430253623188406</v>
      </c>
      <c r="M254" s="3" t="s">
        <v>1149</v>
      </c>
    </row>
    <row r="255" spans="1:13" x14ac:dyDescent="0.35">
      <c r="A255" s="11" t="s">
        <v>1372</v>
      </c>
      <c r="B255" s="11" t="s">
        <v>11</v>
      </c>
      <c r="C255" s="11" t="s">
        <v>30</v>
      </c>
      <c r="D255" s="11" t="s">
        <v>156</v>
      </c>
      <c r="E255" s="11" t="s">
        <v>39</v>
      </c>
      <c r="F255" s="20">
        <v>4</v>
      </c>
      <c r="G255" s="21">
        <v>5.64</v>
      </c>
      <c r="H255" s="13">
        <v>123.6028368794326</v>
      </c>
      <c r="I255" s="13">
        <v>112.3368794326241</v>
      </c>
      <c r="J255" s="13">
        <v>138.73049645390071</v>
      </c>
      <c r="K255" s="7">
        <f t="shared" si="6"/>
        <v>129.78297872340423</v>
      </c>
      <c r="L255" s="7">
        <f t="shared" si="7"/>
        <v>117.42269503546096</v>
      </c>
      <c r="M255" s="3" t="s">
        <v>1149</v>
      </c>
    </row>
    <row r="256" spans="1:13" x14ac:dyDescent="0.35">
      <c r="A256" s="11" t="s">
        <v>379</v>
      </c>
      <c r="B256" s="11" t="s">
        <v>11</v>
      </c>
      <c r="C256" s="11" t="s">
        <v>30</v>
      </c>
      <c r="D256" s="11" t="s">
        <v>156</v>
      </c>
      <c r="E256" s="11" t="s">
        <v>84</v>
      </c>
      <c r="F256" s="20">
        <v>26</v>
      </c>
      <c r="G256" s="21">
        <v>420.61</v>
      </c>
      <c r="H256" s="13">
        <v>108.180600914435</v>
      </c>
      <c r="I256" s="13">
        <v>98.190960300768282</v>
      </c>
      <c r="J256" s="13">
        <v>124.00062912737501</v>
      </c>
      <c r="K256" s="7">
        <f t="shared" si="6"/>
        <v>113.58963096015675</v>
      </c>
      <c r="L256" s="7">
        <f t="shared" si="7"/>
        <v>102.77157086871325</v>
      </c>
      <c r="M256" s="3" t="s">
        <v>1134</v>
      </c>
    </row>
    <row r="257" spans="1:13" x14ac:dyDescent="0.35">
      <c r="A257" s="11" t="s">
        <v>227</v>
      </c>
      <c r="B257" s="11" t="s">
        <v>11</v>
      </c>
      <c r="C257" s="11" t="s">
        <v>30</v>
      </c>
      <c r="D257" s="11" t="s">
        <v>156</v>
      </c>
      <c r="E257" s="11" t="s">
        <v>43</v>
      </c>
      <c r="F257" s="20">
        <v>17</v>
      </c>
      <c r="G257" s="21">
        <v>201.69</v>
      </c>
      <c r="H257" s="13">
        <v>106.9290263876251</v>
      </c>
      <c r="I257" s="13">
        <v>94.48680042238648</v>
      </c>
      <c r="J257" s="13">
        <v>117.4102976669348</v>
      </c>
      <c r="K257" s="7">
        <f t="shared" si="6"/>
        <v>112.27547770700636</v>
      </c>
      <c r="L257" s="7">
        <f t="shared" si="7"/>
        <v>101.58257506824384</v>
      </c>
      <c r="M257" s="3" t="s">
        <v>1130</v>
      </c>
    </row>
    <row r="258" spans="1:13" x14ac:dyDescent="0.35">
      <c r="A258" s="11" t="s">
        <v>333</v>
      </c>
      <c r="B258" s="11" t="s">
        <v>11</v>
      </c>
      <c r="C258" s="11" t="s">
        <v>30</v>
      </c>
      <c r="D258" s="11" t="s">
        <v>156</v>
      </c>
      <c r="E258" s="11" t="s">
        <v>332</v>
      </c>
      <c r="F258" s="20">
        <v>24</v>
      </c>
      <c r="G258" s="21">
        <v>159.81</v>
      </c>
      <c r="H258" s="13">
        <v>95.723693202291159</v>
      </c>
      <c r="I258" s="13">
        <v>82.81487044349862</v>
      </c>
      <c r="J258" s="13">
        <v>114.63538821693329</v>
      </c>
      <c r="K258" s="7">
        <f t="shared" si="6"/>
        <v>100.50987786240572</v>
      </c>
      <c r="L258" s="7">
        <f t="shared" si="7"/>
        <v>90.937508542176602</v>
      </c>
      <c r="M258" s="3" t="s">
        <v>1130</v>
      </c>
    </row>
    <row r="259" spans="1:13" x14ac:dyDescent="0.35">
      <c r="A259" s="11" t="s">
        <v>553</v>
      </c>
      <c r="B259" s="11" t="s">
        <v>11</v>
      </c>
      <c r="C259" s="11" t="s">
        <v>30</v>
      </c>
      <c r="D259" s="11" t="s">
        <v>156</v>
      </c>
      <c r="E259" s="11" t="s">
        <v>196</v>
      </c>
      <c r="F259" s="20">
        <v>6</v>
      </c>
      <c r="G259" s="21">
        <v>62.18</v>
      </c>
      <c r="H259" s="13">
        <v>90.046961826052751</v>
      </c>
      <c r="I259" s="13">
        <v>65.30119047619047</v>
      </c>
      <c r="J259" s="13">
        <v>105.61229043683591</v>
      </c>
      <c r="K259" s="7">
        <f t="shared" si="6"/>
        <v>94.549309917355387</v>
      </c>
      <c r="L259" s="7">
        <f t="shared" si="7"/>
        <v>85.544613734750115</v>
      </c>
      <c r="M259" s="3" t="s">
        <v>1130</v>
      </c>
    </row>
    <row r="260" spans="1:13" x14ac:dyDescent="0.35">
      <c r="A260" s="11" t="s">
        <v>1373</v>
      </c>
      <c r="B260" s="11" t="s">
        <v>11</v>
      </c>
      <c r="C260" s="11" t="s">
        <v>30</v>
      </c>
      <c r="D260" s="11" t="s">
        <v>156</v>
      </c>
      <c r="E260" s="11" t="s">
        <v>73</v>
      </c>
      <c r="F260" s="20">
        <v>5</v>
      </c>
      <c r="G260" s="21">
        <v>99.800000000000011</v>
      </c>
      <c r="H260" s="13">
        <v>106.7009018036072</v>
      </c>
      <c r="I260" s="13">
        <v>104.22194388777559</v>
      </c>
      <c r="J260" s="13">
        <v>132.03356713426851</v>
      </c>
      <c r="K260" s="7">
        <f t="shared" si="6"/>
        <v>112.03594689378755</v>
      </c>
      <c r="L260" s="7">
        <f t="shared" si="7"/>
        <v>101.36585671342684</v>
      </c>
      <c r="M260" s="3" t="s">
        <v>1211</v>
      </c>
    </row>
    <row r="261" spans="1:13" x14ac:dyDescent="0.35">
      <c r="A261" s="11" t="s">
        <v>626</v>
      </c>
      <c r="B261" s="11" t="s">
        <v>11</v>
      </c>
      <c r="C261" s="11" t="s">
        <v>30</v>
      </c>
      <c r="D261" s="11" t="s">
        <v>156</v>
      </c>
      <c r="E261" s="11" t="s">
        <v>625</v>
      </c>
      <c r="F261" s="20">
        <v>19</v>
      </c>
      <c r="G261" s="21">
        <v>133.80000000000001</v>
      </c>
      <c r="H261" s="13">
        <v>110.9791666666667</v>
      </c>
      <c r="I261" s="13">
        <v>87.679525273224044</v>
      </c>
      <c r="J261" s="13">
        <v>125.006267067759</v>
      </c>
      <c r="K261" s="7">
        <f t="shared" ref="K261:K324" si="8">H261*(1+$B$2)</f>
        <v>116.52812500000005</v>
      </c>
      <c r="L261" s="7">
        <f t="shared" ref="L261:L324" si="9">H261*(1-$B$2)</f>
        <v>105.43020833333335</v>
      </c>
      <c r="M261" s="3" t="s">
        <v>1130</v>
      </c>
    </row>
    <row r="262" spans="1:13" x14ac:dyDescent="0.35">
      <c r="A262" s="11" t="s">
        <v>1374</v>
      </c>
      <c r="B262" s="11" t="s">
        <v>11</v>
      </c>
      <c r="C262" s="11" t="s">
        <v>30</v>
      </c>
      <c r="D262" s="11" t="s">
        <v>156</v>
      </c>
      <c r="E262" s="11" t="s">
        <v>524</v>
      </c>
      <c r="F262" s="20">
        <v>6</v>
      </c>
      <c r="G262" s="21">
        <v>36.36</v>
      </c>
      <c r="H262" s="13">
        <v>131.8589108910891</v>
      </c>
      <c r="I262" s="13">
        <v>111.97112211221121</v>
      </c>
      <c r="J262" s="13">
        <v>133.18976897689771</v>
      </c>
      <c r="K262" s="7">
        <f t="shared" si="8"/>
        <v>138.45185643564355</v>
      </c>
      <c r="L262" s="7">
        <f t="shared" si="9"/>
        <v>125.26596534653463</v>
      </c>
      <c r="M262" s="3" t="s">
        <v>1130</v>
      </c>
    </row>
    <row r="263" spans="1:13" x14ac:dyDescent="0.35">
      <c r="A263" s="11" t="s">
        <v>1375</v>
      </c>
      <c r="B263" s="11" t="s">
        <v>11</v>
      </c>
      <c r="C263" s="11" t="s">
        <v>30</v>
      </c>
      <c r="D263" s="11" t="s">
        <v>156</v>
      </c>
      <c r="E263" s="11" t="s">
        <v>107</v>
      </c>
      <c r="F263" s="20">
        <v>6</v>
      </c>
      <c r="G263" s="21">
        <v>100.06</v>
      </c>
      <c r="H263" s="13">
        <v>100.3774027848531</v>
      </c>
      <c r="I263" s="13">
        <v>84.069195897921063</v>
      </c>
      <c r="J263" s="13">
        <v>103.798489010989</v>
      </c>
      <c r="K263" s="7">
        <f t="shared" si="8"/>
        <v>105.39627292409577</v>
      </c>
      <c r="L263" s="7">
        <f t="shared" si="9"/>
        <v>95.358532645610438</v>
      </c>
      <c r="M263" s="3" t="s">
        <v>1148</v>
      </c>
    </row>
    <row r="264" spans="1:13" x14ac:dyDescent="0.35">
      <c r="A264" s="11" t="s">
        <v>1376</v>
      </c>
      <c r="B264" s="11" t="s">
        <v>11</v>
      </c>
      <c r="C264" s="11" t="s">
        <v>30</v>
      </c>
      <c r="D264" s="11" t="s">
        <v>156</v>
      </c>
      <c r="E264" s="11" t="s">
        <v>28</v>
      </c>
      <c r="F264" s="20">
        <v>6</v>
      </c>
      <c r="G264" s="21">
        <v>25.06</v>
      </c>
      <c r="H264" s="13">
        <v>118.251125052226</v>
      </c>
      <c r="I264" s="13">
        <v>107.3485915717562</v>
      </c>
      <c r="J264" s="13">
        <v>128.78941908713691</v>
      </c>
      <c r="K264" s="7">
        <f t="shared" si="8"/>
        <v>124.16368130483731</v>
      </c>
      <c r="L264" s="7">
        <f t="shared" si="9"/>
        <v>112.33856879961469</v>
      </c>
      <c r="M264" s="3" t="s">
        <v>1211</v>
      </c>
    </row>
    <row r="265" spans="1:13" x14ac:dyDescent="0.35">
      <c r="A265" s="11" t="s">
        <v>313</v>
      </c>
      <c r="B265" s="11" t="s">
        <v>11</v>
      </c>
      <c r="C265" s="11" t="s">
        <v>30</v>
      </c>
      <c r="D265" s="11" t="s">
        <v>156</v>
      </c>
      <c r="E265" s="11" t="s">
        <v>186</v>
      </c>
      <c r="F265" s="20">
        <v>10</v>
      </c>
      <c r="G265" s="21">
        <v>30.26</v>
      </c>
      <c r="H265" s="13">
        <v>117.0510318949343</v>
      </c>
      <c r="I265" s="13">
        <v>112.3861611876988</v>
      </c>
      <c r="J265" s="13">
        <v>138.04699111009799</v>
      </c>
      <c r="K265" s="7">
        <f t="shared" si="8"/>
        <v>122.90358348968101</v>
      </c>
      <c r="L265" s="7">
        <f t="shared" si="9"/>
        <v>111.19848030018758</v>
      </c>
      <c r="M265" s="3" t="s">
        <v>1134</v>
      </c>
    </row>
    <row r="266" spans="1:13" x14ac:dyDescent="0.35">
      <c r="A266" s="11" t="s">
        <v>1377</v>
      </c>
      <c r="B266" s="11" t="s">
        <v>11</v>
      </c>
      <c r="C266" s="11" t="s">
        <v>30</v>
      </c>
      <c r="D266" s="11" t="s">
        <v>156</v>
      </c>
      <c r="E266" s="11" t="s">
        <v>243</v>
      </c>
      <c r="F266" s="20">
        <v>5</v>
      </c>
      <c r="G266" s="21">
        <v>90.399999999999991</v>
      </c>
      <c r="H266" s="13">
        <v>61.386061946902657</v>
      </c>
      <c r="I266" s="13">
        <v>56.827986725663727</v>
      </c>
      <c r="J266" s="13">
        <v>79.328539823008853</v>
      </c>
      <c r="K266" s="7">
        <f t="shared" si="8"/>
        <v>64.455365044247799</v>
      </c>
      <c r="L266" s="7">
        <f t="shared" si="9"/>
        <v>58.316758849557523</v>
      </c>
      <c r="M266" s="3" t="s">
        <v>1148</v>
      </c>
    </row>
    <row r="267" spans="1:13" x14ac:dyDescent="0.35">
      <c r="A267" s="11" t="s">
        <v>225</v>
      </c>
      <c r="B267" s="11" t="s">
        <v>11</v>
      </c>
      <c r="C267" s="11" t="s">
        <v>30</v>
      </c>
      <c r="D267" s="11" t="s">
        <v>156</v>
      </c>
      <c r="E267" s="11" t="s">
        <v>220</v>
      </c>
      <c r="F267" s="20">
        <v>11</v>
      </c>
      <c r="G267" s="21">
        <v>132.80000000000001</v>
      </c>
      <c r="H267" s="13">
        <v>96.843952483801289</v>
      </c>
      <c r="I267" s="13">
        <v>87.367547790206629</v>
      </c>
      <c r="J267" s="13">
        <v>108.7873134328358</v>
      </c>
      <c r="K267" s="7">
        <f t="shared" si="8"/>
        <v>101.68615010799135</v>
      </c>
      <c r="L267" s="7">
        <f t="shared" si="9"/>
        <v>92.001754859611225</v>
      </c>
      <c r="M267" s="3" t="s">
        <v>1130</v>
      </c>
    </row>
    <row r="268" spans="1:13" x14ac:dyDescent="0.35">
      <c r="A268" s="11" t="s">
        <v>335</v>
      </c>
      <c r="B268" s="11" t="s">
        <v>11</v>
      </c>
      <c r="C268" s="11" t="s">
        <v>30</v>
      </c>
      <c r="D268" s="11" t="s">
        <v>156</v>
      </c>
      <c r="E268" s="11" t="s">
        <v>131</v>
      </c>
      <c r="F268" s="20">
        <v>9</v>
      </c>
      <c r="G268" s="21">
        <v>34.049999999999997</v>
      </c>
      <c r="H268" s="13">
        <v>91.976666666666674</v>
      </c>
      <c r="I268" s="13">
        <v>63.023728813559323</v>
      </c>
      <c r="J268" s="13">
        <v>108.37666666666669</v>
      </c>
      <c r="K268" s="7">
        <f t="shared" si="8"/>
        <v>96.575500000000005</v>
      </c>
      <c r="L268" s="7">
        <f t="shared" si="9"/>
        <v>87.377833333333342</v>
      </c>
      <c r="M268" s="3" t="s">
        <v>1130</v>
      </c>
    </row>
    <row r="269" spans="1:13" x14ac:dyDescent="0.35">
      <c r="A269" s="11" t="s">
        <v>1378</v>
      </c>
      <c r="B269" s="11" t="s">
        <v>11</v>
      </c>
      <c r="C269" s="11" t="s">
        <v>30</v>
      </c>
      <c r="D269" s="11" t="s">
        <v>601</v>
      </c>
      <c r="E269" s="11" t="s">
        <v>364</v>
      </c>
      <c r="F269" s="20">
        <v>3</v>
      </c>
      <c r="G269" s="21">
        <v>10.5</v>
      </c>
      <c r="H269" s="13">
        <v>105.51612903225811</v>
      </c>
      <c r="I269" s="13">
        <v>96.82657167359325</v>
      </c>
      <c r="J269" s="13">
        <v>147.67489818346371</v>
      </c>
      <c r="K269" s="7">
        <f t="shared" si="8"/>
        <v>110.79193548387101</v>
      </c>
      <c r="L269" s="7">
        <f t="shared" si="9"/>
        <v>100.2403225806452</v>
      </c>
      <c r="M269" s="3" t="s">
        <v>1157</v>
      </c>
    </row>
    <row r="270" spans="1:13" x14ac:dyDescent="0.35">
      <c r="A270" s="11" t="s">
        <v>1379</v>
      </c>
      <c r="B270" s="11" t="s">
        <v>11</v>
      </c>
      <c r="C270" s="11" t="s">
        <v>30</v>
      </c>
      <c r="D270" s="11" t="s">
        <v>601</v>
      </c>
      <c r="E270" s="11" t="s">
        <v>101</v>
      </c>
      <c r="F270" s="20">
        <v>3</v>
      </c>
      <c r="G270" s="21">
        <v>17.43</v>
      </c>
      <c r="H270" s="13">
        <v>99.549473684210525</v>
      </c>
      <c r="I270" s="13">
        <v>99.286231094978831</v>
      </c>
      <c r="J270" s="13">
        <v>108.72834508952791</v>
      </c>
      <c r="K270" s="7">
        <f t="shared" si="8"/>
        <v>104.52694736842106</v>
      </c>
      <c r="L270" s="7">
        <f t="shared" si="9"/>
        <v>94.571999999999989</v>
      </c>
      <c r="M270" s="3" t="s">
        <v>1157</v>
      </c>
    </row>
    <row r="271" spans="1:13" x14ac:dyDescent="0.35">
      <c r="A271" s="11" t="s">
        <v>1380</v>
      </c>
      <c r="B271" s="11" t="s">
        <v>11</v>
      </c>
      <c r="C271" s="11" t="s">
        <v>30</v>
      </c>
      <c r="D271" s="11" t="s">
        <v>601</v>
      </c>
      <c r="E271" s="11" t="s">
        <v>84</v>
      </c>
      <c r="F271" s="20">
        <v>2</v>
      </c>
      <c r="G271" s="21">
        <v>8.58</v>
      </c>
      <c r="H271" s="13">
        <v>123.4438176895307</v>
      </c>
      <c r="I271" s="13">
        <v>118.728226534296</v>
      </c>
      <c r="J271" s="13">
        <v>128.15940884476541</v>
      </c>
      <c r="K271" s="7">
        <f t="shared" si="8"/>
        <v>129.61600857400725</v>
      </c>
      <c r="L271" s="7">
        <f t="shared" si="9"/>
        <v>117.27162680505417</v>
      </c>
      <c r="M271" s="3" t="s">
        <v>1157</v>
      </c>
    </row>
    <row r="272" spans="1:13" x14ac:dyDescent="0.35">
      <c r="A272" s="11" t="s">
        <v>1381</v>
      </c>
      <c r="B272" s="11" t="s">
        <v>11</v>
      </c>
      <c r="C272" s="11" t="s">
        <v>30</v>
      </c>
      <c r="D272" s="11" t="s">
        <v>601</v>
      </c>
      <c r="E272" s="11" t="s">
        <v>43</v>
      </c>
      <c r="F272" s="20">
        <v>3</v>
      </c>
      <c r="G272" s="21">
        <v>27.53</v>
      </c>
      <c r="H272" s="13">
        <v>117.94503171247359</v>
      </c>
      <c r="I272" s="13">
        <v>95.418607500441638</v>
      </c>
      <c r="J272" s="13">
        <v>118.04424287573541</v>
      </c>
      <c r="K272" s="7">
        <f t="shared" si="8"/>
        <v>123.84228329809727</v>
      </c>
      <c r="L272" s="7">
        <f t="shared" si="9"/>
        <v>112.04778012684991</v>
      </c>
      <c r="M272" s="3" t="s">
        <v>1157</v>
      </c>
    </row>
    <row r="273" spans="1:13" x14ac:dyDescent="0.35">
      <c r="A273" s="11" t="s">
        <v>1382</v>
      </c>
      <c r="B273" s="11" t="s">
        <v>11</v>
      </c>
      <c r="C273" s="11" t="s">
        <v>30</v>
      </c>
      <c r="D273" s="11" t="s">
        <v>601</v>
      </c>
      <c r="E273" s="11" t="s">
        <v>332</v>
      </c>
      <c r="F273" s="20">
        <v>1</v>
      </c>
      <c r="G273" s="21">
        <v>8.6199999999999992</v>
      </c>
      <c r="H273" s="13">
        <v>108.4141531322506</v>
      </c>
      <c r="I273" s="13">
        <v>108.4141531322506</v>
      </c>
      <c r="J273" s="13">
        <v>108.4141531322506</v>
      </c>
      <c r="K273" s="7">
        <f t="shared" si="8"/>
        <v>113.83486078886314</v>
      </c>
      <c r="L273" s="7">
        <f t="shared" si="9"/>
        <v>102.99344547563807</v>
      </c>
      <c r="M273" s="3" t="s">
        <v>1157</v>
      </c>
    </row>
    <row r="274" spans="1:13" x14ac:dyDescent="0.35">
      <c r="A274" s="11" t="s">
        <v>1383</v>
      </c>
      <c r="B274" s="11" t="s">
        <v>11</v>
      </c>
      <c r="C274" s="11" t="s">
        <v>30</v>
      </c>
      <c r="D274" s="11" t="s">
        <v>601</v>
      </c>
      <c r="E274" s="11" t="s">
        <v>196</v>
      </c>
      <c r="F274" s="20">
        <v>1</v>
      </c>
      <c r="G274" s="21">
        <v>5.16</v>
      </c>
      <c r="H274" s="13">
        <v>114.8624031007752</v>
      </c>
      <c r="I274" s="13">
        <v>114.8624031007752</v>
      </c>
      <c r="J274" s="13">
        <v>114.8624031007752</v>
      </c>
      <c r="K274" s="7">
        <f t="shared" si="8"/>
        <v>120.60552325581396</v>
      </c>
      <c r="L274" s="7">
        <f t="shared" si="9"/>
        <v>109.11928294573643</v>
      </c>
      <c r="M274" s="3" t="s">
        <v>1157</v>
      </c>
    </row>
    <row r="275" spans="1:13" x14ac:dyDescent="0.35">
      <c r="A275" s="11" t="s">
        <v>1384</v>
      </c>
      <c r="B275" s="11" t="s">
        <v>11</v>
      </c>
      <c r="C275" s="11" t="s">
        <v>30</v>
      </c>
      <c r="D275" s="11" t="s">
        <v>601</v>
      </c>
      <c r="E275" s="11" t="s">
        <v>328</v>
      </c>
      <c r="F275" s="20">
        <v>1</v>
      </c>
      <c r="G275" s="21">
        <v>2.91</v>
      </c>
      <c r="H275" s="13">
        <v>120.6563573883162</v>
      </c>
      <c r="I275" s="13">
        <v>120.6563573883162</v>
      </c>
      <c r="J275" s="13">
        <v>120.6563573883162</v>
      </c>
      <c r="K275" s="7">
        <f t="shared" si="8"/>
        <v>126.689175257732</v>
      </c>
      <c r="L275" s="7">
        <f t="shared" si="9"/>
        <v>114.62353951890039</v>
      </c>
      <c r="M275" s="3" t="s">
        <v>1157</v>
      </c>
    </row>
    <row r="276" spans="1:13" x14ac:dyDescent="0.35">
      <c r="A276" s="11" t="s">
        <v>602</v>
      </c>
      <c r="B276" s="11" t="s">
        <v>11</v>
      </c>
      <c r="C276" s="11" t="s">
        <v>30</v>
      </c>
      <c r="D276" s="11" t="s">
        <v>601</v>
      </c>
      <c r="E276" s="11" t="s">
        <v>182</v>
      </c>
      <c r="F276" s="20">
        <v>6</v>
      </c>
      <c r="G276" s="21">
        <v>33.44</v>
      </c>
      <c r="H276" s="13">
        <v>122.0784988179669</v>
      </c>
      <c r="I276" s="13">
        <v>115.7172724687145</v>
      </c>
      <c r="J276" s="13">
        <v>131.52874345660251</v>
      </c>
      <c r="K276" s="7">
        <f t="shared" si="8"/>
        <v>128.18242375886524</v>
      </c>
      <c r="L276" s="7">
        <f t="shared" si="9"/>
        <v>115.97457387706855</v>
      </c>
      <c r="M276" s="3" t="s">
        <v>1154</v>
      </c>
    </row>
    <row r="277" spans="1:13" x14ac:dyDescent="0.35">
      <c r="A277" s="11" t="s">
        <v>1385</v>
      </c>
      <c r="B277" s="11" t="s">
        <v>11</v>
      </c>
      <c r="C277" s="11" t="s">
        <v>30</v>
      </c>
      <c r="D277" s="11" t="s">
        <v>601</v>
      </c>
      <c r="E277" s="11" t="s">
        <v>186</v>
      </c>
      <c r="F277" s="20">
        <v>2</v>
      </c>
      <c r="G277" s="21">
        <v>18.77</v>
      </c>
      <c r="H277" s="13">
        <v>100.040618865315</v>
      </c>
      <c r="I277" s="13">
        <v>99.687717664025698</v>
      </c>
      <c r="J277" s="13">
        <v>100.3935200666043</v>
      </c>
      <c r="K277" s="7">
        <f t="shared" si="8"/>
        <v>105.04264980858075</v>
      </c>
      <c r="L277" s="7">
        <f t="shared" si="9"/>
        <v>95.038587922049246</v>
      </c>
      <c r="M277" s="3" t="s">
        <v>1157</v>
      </c>
    </row>
    <row r="278" spans="1:13" x14ac:dyDescent="0.35">
      <c r="A278" s="11" t="s">
        <v>1386</v>
      </c>
      <c r="B278" s="11" t="s">
        <v>11</v>
      </c>
      <c r="C278" s="11" t="s">
        <v>30</v>
      </c>
      <c r="D278" s="11" t="s">
        <v>1156</v>
      </c>
      <c r="E278" s="11" t="s">
        <v>435</v>
      </c>
      <c r="F278" s="20">
        <v>1</v>
      </c>
      <c r="G278" s="21">
        <v>1.33</v>
      </c>
      <c r="H278" s="13">
        <v>142.01503759398491</v>
      </c>
      <c r="I278" s="13">
        <v>142.01503759398491</v>
      </c>
      <c r="J278" s="13">
        <v>142.01503759398491</v>
      </c>
      <c r="K278" s="7">
        <f t="shared" si="8"/>
        <v>149.11578947368417</v>
      </c>
      <c r="L278" s="7">
        <f t="shared" si="9"/>
        <v>134.91428571428565</v>
      </c>
      <c r="M278" s="3" t="s">
        <v>1157</v>
      </c>
    </row>
    <row r="279" spans="1:13" x14ac:dyDescent="0.35">
      <c r="A279" s="11" t="s">
        <v>1387</v>
      </c>
      <c r="B279" s="11" t="s">
        <v>11</v>
      </c>
      <c r="C279" s="11" t="s">
        <v>30</v>
      </c>
      <c r="D279" s="11" t="s">
        <v>604</v>
      </c>
      <c r="E279" s="11" t="s">
        <v>364</v>
      </c>
      <c r="F279" s="20">
        <v>1</v>
      </c>
      <c r="G279" s="21">
        <v>9.49</v>
      </c>
      <c r="H279" s="13">
        <v>144.14752370916759</v>
      </c>
      <c r="I279" s="13">
        <v>144.14752370916759</v>
      </c>
      <c r="J279" s="13">
        <v>144.14752370916759</v>
      </c>
      <c r="K279" s="7">
        <f t="shared" si="8"/>
        <v>151.35489989462596</v>
      </c>
      <c r="L279" s="7">
        <f t="shared" si="9"/>
        <v>136.94014752370921</v>
      </c>
      <c r="M279" s="3" t="s">
        <v>1157</v>
      </c>
    </row>
    <row r="280" spans="1:13" x14ac:dyDescent="0.35">
      <c r="A280" s="11" t="s">
        <v>618</v>
      </c>
      <c r="B280" s="11" t="s">
        <v>11</v>
      </c>
      <c r="C280" s="11" t="s">
        <v>30</v>
      </c>
      <c r="D280" s="11" t="s">
        <v>604</v>
      </c>
      <c r="E280" s="11" t="s">
        <v>101</v>
      </c>
      <c r="F280" s="20">
        <v>14</v>
      </c>
      <c r="G280" s="21">
        <v>61.8</v>
      </c>
      <c r="H280" s="13">
        <v>120.8225311570823</v>
      </c>
      <c r="I280" s="13">
        <v>110.2477893806055</v>
      </c>
      <c r="J280" s="13">
        <v>132.84376272428679</v>
      </c>
      <c r="K280" s="7">
        <f t="shared" si="8"/>
        <v>126.86365771493641</v>
      </c>
      <c r="L280" s="7">
        <f t="shared" si="9"/>
        <v>114.78140459922818</v>
      </c>
      <c r="M280" s="3" t="s">
        <v>1154</v>
      </c>
    </row>
    <row r="281" spans="1:13" x14ac:dyDescent="0.35">
      <c r="A281" s="11" t="s">
        <v>1388</v>
      </c>
      <c r="B281" s="11" t="s">
        <v>11</v>
      </c>
      <c r="C281" s="11" t="s">
        <v>30</v>
      </c>
      <c r="D281" s="11" t="s">
        <v>604</v>
      </c>
      <c r="E281" s="11" t="s">
        <v>39</v>
      </c>
      <c r="F281" s="20">
        <v>4</v>
      </c>
      <c r="G281" s="21">
        <v>31.86</v>
      </c>
      <c r="H281" s="13">
        <v>127.407087798963</v>
      </c>
      <c r="I281" s="13">
        <v>120.9568757539204</v>
      </c>
      <c r="J281" s="13">
        <v>130.28403141361261</v>
      </c>
      <c r="K281" s="7">
        <f t="shared" si="8"/>
        <v>133.77744218891115</v>
      </c>
      <c r="L281" s="7">
        <f t="shared" si="9"/>
        <v>121.03673340901484</v>
      </c>
      <c r="M281" s="3" t="s">
        <v>1154</v>
      </c>
    </row>
    <row r="282" spans="1:13" x14ac:dyDescent="0.35">
      <c r="A282" s="11" t="s">
        <v>605</v>
      </c>
      <c r="B282" s="11" t="s">
        <v>11</v>
      </c>
      <c r="C282" s="11" t="s">
        <v>30</v>
      </c>
      <c r="D282" s="11" t="s">
        <v>604</v>
      </c>
      <c r="E282" s="11" t="s">
        <v>84</v>
      </c>
      <c r="F282" s="20">
        <v>7</v>
      </c>
      <c r="G282" s="21">
        <v>88.57</v>
      </c>
      <c r="H282" s="13">
        <v>116.93966059082339</v>
      </c>
      <c r="I282" s="13">
        <v>111.8853402126273</v>
      </c>
      <c r="J282" s="13">
        <v>130.98556524432141</v>
      </c>
      <c r="K282" s="7">
        <f t="shared" si="8"/>
        <v>122.78664362036457</v>
      </c>
      <c r="L282" s="7">
        <f t="shared" si="9"/>
        <v>111.09267756128222</v>
      </c>
      <c r="M282" s="3" t="s">
        <v>1154</v>
      </c>
    </row>
    <row r="283" spans="1:13" x14ac:dyDescent="0.35">
      <c r="A283" s="11" t="s">
        <v>1389</v>
      </c>
      <c r="B283" s="11" t="s">
        <v>11</v>
      </c>
      <c r="C283" s="11" t="s">
        <v>30</v>
      </c>
      <c r="D283" s="11" t="s">
        <v>604</v>
      </c>
      <c r="E283" s="11" t="s">
        <v>43</v>
      </c>
      <c r="F283" s="20">
        <v>15</v>
      </c>
      <c r="G283" s="21">
        <v>79.08</v>
      </c>
      <c r="H283" s="13">
        <v>123.5990639625585</v>
      </c>
      <c r="I283" s="13">
        <v>115.4373886982583</v>
      </c>
      <c r="J283" s="13">
        <v>127.2866628669137</v>
      </c>
      <c r="K283" s="7">
        <f t="shared" si="8"/>
        <v>129.77901716068644</v>
      </c>
      <c r="L283" s="7">
        <f t="shared" si="9"/>
        <v>117.41911076443057</v>
      </c>
      <c r="M283" s="3" t="s">
        <v>1158</v>
      </c>
    </row>
    <row r="284" spans="1:13" x14ac:dyDescent="0.35">
      <c r="A284" s="11" t="s">
        <v>1390</v>
      </c>
      <c r="B284" s="11" t="s">
        <v>11</v>
      </c>
      <c r="C284" s="11" t="s">
        <v>30</v>
      </c>
      <c r="D284" s="11" t="s">
        <v>604</v>
      </c>
      <c r="E284" s="11" t="s">
        <v>196</v>
      </c>
      <c r="F284" s="20">
        <v>3</v>
      </c>
      <c r="G284" s="21">
        <v>24.4</v>
      </c>
      <c r="H284" s="13">
        <v>101.41468926553669</v>
      </c>
      <c r="I284" s="13">
        <v>75.460273280265696</v>
      </c>
      <c r="J284" s="13">
        <v>109.84857839900209</v>
      </c>
      <c r="K284" s="7">
        <f t="shared" si="8"/>
        <v>106.48542372881353</v>
      </c>
      <c r="L284" s="7">
        <f t="shared" si="9"/>
        <v>96.343954802259859</v>
      </c>
      <c r="M284" s="3" t="s">
        <v>1158</v>
      </c>
    </row>
    <row r="285" spans="1:13" x14ac:dyDescent="0.35">
      <c r="A285" s="11" t="s">
        <v>1391</v>
      </c>
      <c r="B285" s="11" t="s">
        <v>11</v>
      </c>
      <c r="C285" s="11" t="s">
        <v>30</v>
      </c>
      <c r="D285" s="11" t="s">
        <v>604</v>
      </c>
      <c r="E285" s="11" t="s">
        <v>328</v>
      </c>
      <c r="F285" s="20">
        <v>2</v>
      </c>
      <c r="G285" s="21">
        <v>3.36</v>
      </c>
      <c r="H285" s="13">
        <v>105.03571428571431</v>
      </c>
      <c r="I285" s="13">
        <v>101.1011904761905</v>
      </c>
      <c r="J285" s="13">
        <v>108.9702380952381</v>
      </c>
      <c r="K285" s="7">
        <f t="shared" si="8"/>
        <v>110.28750000000002</v>
      </c>
      <c r="L285" s="7">
        <f t="shared" si="9"/>
        <v>99.783928571428589</v>
      </c>
      <c r="M285" s="3" t="s">
        <v>1154</v>
      </c>
    </row>
    <row r="286" spans="1:13" x14ac:dyDescent="0.35">
      <c r="A286" s="11" t="s">
        <v>1392</v>
      </c>
      <c r="B286" s="11" t="s">
        <v>11</v>
      </c>
      <c r="C286" s="11" t="s">
        <v>30</v>
      </c>
      <c r="D286" s="11" t="s">
        <v>604</v>
      </c>
      <c r="E286" s="11" t="s">
        <v>73</v>
      </c>
      <c r="F286" s="20">
        <v>1</v>
      </c>
      <c r="G286" s="21">
        <v>5.95</v>
      </c>
      <c r="H286" s="13">
        <v>95.410084033613458</v>
      </c>
      <c r="I286" s="13">
        <v>95.410084033613458</v>
      </c>
      <c r="J286" s="13">
        <v>95.410084033613458</v>
      </c>
      <c r="K286" s="7">
        <f t="shared" si="8"/>
        <v>100.18058823529414</v>
      </c>
      <c r="L286" s="7">
        <f t="shared" si="9"/>
        <v>90.639579831932778</v>
      </c>
      <c r="M286" s="3" t="s">
        <v>1157</v>
      </c>
    </row>
    <row r="287" spans="1:13" x14ac:dyDescent="0.35">
      <c r="A287" s="11" t="s">
        <v>1393</v>
      </c>
      <c r="B287" s="11" t="s">
        <v>11</v>
      </c>
      <c r="C287" s="11" t="s">
        <v>30</v>
      </c>
      <c r="D287" s="11" t="s">
        <v>604</v>
      </c>
      <c r="E287" s="11" t="s">
        <v>147</v>
      </c>
      <c r="F287" s="20">
        <v>2</v>
      </c>
      <c r="G287" s="21">
        <v>32.380000000000003</v>
      </c>
      <c r="H287" s="13">
        <v>114.2319332921556</v>
      </c>
      <c r="I287" s="13">
        <v>112.25061766522541</v>
      </c>
      <c r="J287" s="13">
        <v>116.2132489190858</v>
      </c>
      <c r="K287" s="7">
        <f t="shared" si="8"/>
        <v>119.94352995676338</v>
      </c>
      <c r="L287" s="7">
        <f t="shared" si="9"/>
        <v>108.52033662754782</v>
      </c>
      <c r="M287" s="3" t="s">
        <v>1154</v>
      </c>
    </row>
    <row r="288" spans="1:13" x14ac:dyDescent="0.35">
      <c r="A288" s="11" t="s">
        <v>1394</v>
      </c>
      <c r="B288" s="11" t="s">
        <v>11</v>
      </c>
      <c r="C288" s="11" t="s">
        <v>30</v>
      </c>
      <c r="D288" s="11" t="s">
        <v>604</v>
      </c>
      <c r="E288" s="11" t="s">
        <v>99</v>
      </c>
      <c r="F288" s="20">
        <v>2</v>
      </c>
      <c r="G288" s="21">
        <v>10.74</v>
      </c>
      <c r="H288" s="13">
        <v>105.88108267220861</v>
      </c>
      <c r="I288" s="13">
        <v>100.0007163908089</v>
      </c>
      <c r="J288" s="13">
        <v>111.76144895360839</v>
      </c>
      <c r="K288" s="7">
        <f t="shared" si="8"/>
        <v>111.17513680581904</v>
      </c>
      <c r="L288" s="7">
        <f t="shared" si="9"/>
        <v>100.58702853859818</v>
      </c>
      <c r="M288" s="3" t="s">
        <v>1154</v>
      </c>
    </row>
    <row r="289" spans="1:13" x14ac:dyDescent="0.35">
      <c r="A289" s="11" t="s">
        <v>1395</v>
      </c>
      <c r="B289" s="11" t="s">
        <v>11</v>
      </c>
      <c r="C289" s="11" t="s">
        <v>30</v>
      </c>
      <c r="D289" s="11" t="s">
        <v>604</v>
      </c>
      <c r="E289" s="11" t="s">
        <v>625</v>
      </c>
      <c r="F289" s="20">
        <v>2</v>
      </c>
      <c r="G289" s="21">
        <v>8.75</v>
      </c>
      <c r="H289" s="13">
        <v>129.41775003909919</v>
      </c>
      <c r="I289" s="13">
        <v>128.4031196238661</v>
      </c>
      <c r="J289" s="13">
        <v>130.43238045433219</v>
      </c>
      <c r="K289" s="7">
        <f t="shared" si="8"/>
        <v>135.88863754105415</v>
      </c>
      <c r="L289" s="7">
        <f t="shared" si="9"/>
        <v>122.94686253714423</v>
      </c>
      <c r="M289" s="3" t="s">
        <v>1154</v>
      </c>
    </row>
    <row r="290" spans="1:13" x14ac:dyDescent="0.35">
      <c r="A290" s="11" t="s">
        <v>1396</v>
      </c>
      <c r="B290" s="11" t="s">
        <v>11</v>
      </c>
      <c r="C290" s="11" t="s">
        <v>30</v>
      </c>
      <c r="D290" s="11" t="s">
        <v>604</v>
      </c>
      <c r="E290" s="11" t="s">
        <v>79</v>
      </c>
      <c r="F290" s="20">
        <v>1</v>
      </c>
      <c r="G290" s="21">
        <v>9.9600000000000009</v>
      </c>
      <c r="H290" s="13">
        <v>137.4598393574297</v>
      </c>
      <c r="I290" s="13">
        <v>137.4598393574297</v>
      </c>
      <c r="J290" s="13">
        <v>137.4598393574297</v>
      </c>
      <c r="K290" s="7">
        <f t="shared" si="8"/>
        <v>144.33283132530119</v>
      </c>
      <c r="L290" s="7">
        <f t="shared" si="9"/>
        <v>130.58684738955822</v>
      </c>
      <c r="M290" s="3" t="s">
        <v>1157</v>
      </c>
    </row>
    <row r="291" spans="1:13" x14ac:dyDescent="0.35">
      <c r="A291" s="11" t="s">
        <v>1397</v>
      </c>
      <c r="B291" s="11" t="s">
        <v>11</v>
      </c>
      <c r="C291" s="11" t="s">
        <v>30</v>
      </c>
      <c r="D291" s="11" t="s">
        <v>604</v>
      </c>
      <c r="E291" s="11" t="s">
        <v>1277</v>
      </c>
      <c r="F291" s="20">
        <v>2</v>
      </c>
      <c r="G291" s="21">
        <v>8.3800000000000008</v>
      </c>
      <c r="H291" s="13">
        <v>110.2124105011933</v>
      </c>
      <c r="I291" s="13">
        <v>105.84128878281621</v>
      </c>
      <c r="J291" s="13">
        <v>114.5835322195704</v>
      </c>
      <c r="K291" s="7">
        <f t="shared" si="8"/>
        <v>115.72303102625297</v>
      </c>
      <c r="L291" s="7">
        <f t="shared" si="9"/>
        <v>104.70178997613364</v>
      </c>
      <c r="M291" s="3" t="s">
        <v>1154</v>
      </c>
    </row>
    <row r="292" spans="1:13" x14ac:dyDescent="0.35">
      <c r="A292" s="11" t="s">
        <v>1398</v>
      </c>
      <c r="B292" s="11" t="s">
        <v>11</v>
      </c>
      <c r="C292" s="11" t="s">
        <v>30</v>
      </c>
      <c r="D292" s="11" t="s">
        <v>604</v>
      </c>
      <c r="E292" s="11" t="s">
        <v>28</v>
      </c>
      <c r="F292" s="20">
        <v>2</v>
      </c>
      <c r="G292" s="21">
        <v>20.78</v>
      </c>
      <c r="H292" s="13">
        <v>105.4610202117421</v>
      </c>
      <c r="I292" s="13">
        <v>103.4571703561116</v>
      </c>
      <c r="J292" s="13">
        <v>107.4648700673725</v>
      </c>
      <c r="K292" s="7">
        <f t="shared" si="8"/>
        <v>110.73407122232921</v>
      </c>
      <c r="L292" s="7">
        <f t="shared" si="9"/>
        <v>100.18796920115498</v>
      </c>
      <c r="M292" s="3" t="s">
        <v>1154</v>
      </c>
    </row>
    <row r="293" spans="1:13" x14ac:dyDescent="0.35">
      <c r="A293" s="11" t="s">
        <v>1399</v>
      </c>
      <c r="B293" s="11" t="s">
        <v>11</v>
      </c>
      <c r="C293" s="11" t="s">
        <v>30</v>
      </c>
      <c r="D293" s="11" t="s">
        <v>604</v>
      </c>
      <c r="E293" s="11" t="s">
        <v>186</v>
      </c>
      <c r="F293" s="20">
        <v>5</v>
      </c>
      <c r="G293" s="21">
        <v>78.92</v>
      </c>
      <c r="H293" s="13">
        <v>117.9329268292683</v>
      </c>
      <c r="I293" s="13">
        <v>112.42302980808491</v>
      </c>
      <c r="J293" s="13">
        <v>125.00593031875459</v>
      </c>
      <c r="K293" s="7">
        <f t="shared" si="8"/>
        <v>123.82957317073172</v>
      </c>
      <c r="L293" s="7">
        <f t="shared" si="9"/>
        <v>112.03628048780487</v>
      </c>
      <c r="M293" s="3" t="s">
        <v>1154</v>
      </c>
    </row>
    <row r="294" spans="1:13" x14ac:dyDescent="0.35">
      <c r="A294" s="11" t="s">
        <v>1400</v>
      </c>
      <c r="B294" s="11" t="s">
        <v>11</v>
      </c>
      <c r="C294" s="11" t="s">
        <v>30</v>
      </c>
      <c r="D294" s="11" t="s">
        <v>604</v>
      </c>
      <c r="E294" s="11" t="s">
        <v>243</v>
      </c>
      <c r="F294" s="20">
        <v>1</v>
      </c>
      <c r="G294" s="21">
        <v>1.66</v>
      </c>
      <c r="H294" s="13">
        <v>102.64457831325301</v>
      </c>
      <c r="I294" s="13">
        <v>102.64457831325301</v>
      </c>
      <c r="J294" s="13">
        <v>102.64457831325301</v>
      </c>
      <c r="K294" s="7">
        <f t="shared" si="8"/>
        <v>107.77680722891566</v>
      </c>
      <c r="L294" s="7">
        <f t="shared" si="9"/>
        <v>97.512349397590356</v>
      </c>
      <c r="M294" s="3" t="s">
        <v>1157</v>
      </c>
    </row>
    <row r="295" spans="1:13" x14ac:dyDescent="0.35">
      <c r="A295" s="11" t="s">
        <v>1401</v>
      </c>
      <c r="B295" s="11" t="s">
        <v>11</v>
      </c>
      <c r="C295" s="11" t="s">
        <v>30</v>
      </c>
      <c r="D295" s="11" t="s">
        <v>604</v>
      </c>
      <c r="E295" s="11" t="s">
        <v>131</v>
      </c>
      <c r="F295" s="20">
        <v>1</v>
      </c>
      <c r="G295" s="21">
        <v>5.97</v>
      </c>
      <c r="H295" s="13">
        <v>126.51256281407029</v>
      </c>
      <c r="I295" s="13">
        <v>126.51256281407029</v>
      </c>
      <c r="J295" s="13">
        <v>126.51256281407029</v>
      </c>
      <c r="K295" s="7">
        <f t="shared" si="8"/>
        <v>132.83819095477381</v>
      </c>
      <c r="L295" s="7">
        <f t="shared" si="9"/>
        <v>120.18693467336678</v>
      </c>
      <c r="M295" s="3" t="s">
        <v>1157</v>
      </c>
    </row>
    <row r="296" spans="1:13" x14ac:dyDescent="0.35">
      <c r="A296" s="11" t="s">
        <v>1402</v>
      </c>
      <c r="B296" s="11" t="s">
        <v>11</v>
      </c>
      <c r="C296" s="11" t="s">
        <v>30</v>
      </c>
      <c r="D296" s="11" t="s">
        <v>1078</v>
      </c>
      <c r="E296" s="11" t="s">
        <v>332</v>
      </c>
      <c r="F296" s="20">
        <v>1</v>
      </c>
      <c r="G296" s="21">
        <v>4.74</v>
      </c>
      <c r="H296" s="13">
        <v>129.7426160337553</v>
      </c>
      <c r="I296" s="13">
        <v>129.7426160337553</v>
      </c>
      <c r="J296" s="13">
        <v>129.7426160337553</v>
      </c>
      <c r="K296" s="7">
        <f t="shared" si="8"/>
        <v>136.22974683544308</v>
      </c>
      <c r="L296" s="7">
        <f t="shared" si="9"/>
        <v>123.25548523206753</v>
      </c>
      <c r="M296" s="3" t="s">
        <v>1157</v>
      </c>
    </row>
    <row r="297" spans="1:13" x14ac:dyDescent="0.35">
      <c r="A297" s="11" t="s">
        <v>1403</v>
      </c>
      <c r="B297" s="11" t="s">
        <v>11</v>
      </c>
      <c r="C297" s="11" t="s">
        <v>30</v>
      </c>
      <c r="D297" s="11" t="s">
        <v>1161</v>
      </c>
      <c r="E297" s="11" t="s">
        <v>93</v>
      </c>
      <c r="F297" s="20">
        <v>1</v>
      </c>
      <c r="G297" s="21">
        <v>1</v>
      </c>
      <c r="H297" s="13">
        <v>81.7</v>
      </c>
      <c r="I297" s="13">
        <v>81.7</v>
      </c>
      <c r="J297" s="13">
        <v>81.7</v>
      </c>
      <c r="K297" s="7">
        <f t="shared" si="8"/>
        <v>85.785000000000011</v>
      </c>
      <c r="L297" s="7">
        <f t="shared" si="9"/>
        <v>77.614999999999995</v>
      </c>
      <c r="M297" s="3" t="s">
        <v>1157</v>
      </c>
    </row>
    <row r="298" spans="1:13" x14ac:dyDescent="0.35">
      <c r="A298" s="11" t="s">
        <v>1404</v>
      </c>
      <c r="B298" s="11" t="s">
        <v>11</v>
      </c>
      <c r="C298" s="11" t="s">
        <v>30</v>
      </c>
      <c r="D298" s="11" t="s">
        <v>1163</v>
      </c>
      <c r="E298" s="11" t="s">
        <v>84</v>
      </c>
      <c r="F298" s="20">
        <v>3</v>
      </c>
      <c r="G298" s="21">
        <v>4.92</v>
      </c>
      <c r="H298" s="13">
        <v>128.25</v>
      </c>
      <c r="I298" s="13">
        <v>108.53048780487811</v>
      </c>
      <c r="J298" s="13">
        <v>131.16768292682929</v>
      </c>
      <c r="K298" s="7">
        <f t="shared" si="8"/>
        <v>134.66249999999999</v>
      </c>
      <c r="L298" s="7">
        <f t="shared" si="9"/>
        <v>121.83749999999999</v>
      </c>
      <c r="M298" s="3" t="s">
        <v>1158</v>
      </c>
    </row>
    <row r="299" spans="1:13" x14ac:dyDescent="0.35">
      <c r="A299" s="11" t="s">
        <v>1405</v>
      </c>
      <c r="B299" s="11" t="s">
        <v>11</v>
      </c>
      <c r="C299" s="11" t="s">
        <v>30</v>
      </c>
      <c r="D299" s="11" t="s">
        <v>1165</v>
      </c>
      <c r="E299" s="11" t="s">
        <v>43</v>
      </c>
      <c r="F299" s="20">
        <v>3</v>
      </c>
      <c r="G299" s="21">
        <v>32.46</v>
      </c>
      <c r="H299" s="13">
        <v>113.8743068391867</v>
      </c>
      <c r="I299" s="13">
        <v>104.9426987060998</v>
      </c>
      <c r="J299" s="13">
        <v>123.1243068391867</v>
      </c>
      <c r="K299" s="7">
        <f t="shared" si="8"/>
        <v>119.56802218114605</v>
      </c>
      <c r="L299" s="7">
        <f t="shared" si="9"/>
        <v>108.18059149722735</v>
      </c>
      <c r="M299" s="3" t="s">
        <v>1158</v>
      </c>
    </row>
    <row r="300" spans="1:13" x14ac:dyDescent="0.35">
      <c r="A300" s="11" t="s">
        <v>1406</v>
      </c>
      <c r="B300" s="11" t="s">
        <v>11</v>
      </c>
      <c r="C300" s="11" t="s">
        <v>30</v>
      </c>
      <c r="D300" s="11" t="s">
        <v>1165</v>
      </c>
      <c r="E300" s="11" t="s">
        <v>186</v>
      </c>
      <c r="F300" s="20">
        <v>2</v>
      </c>
      <c r="G300" s="21">
        <v>1.23</v>
      </c>
      <c r="H300" s="13">
        <v>122.7021739130435</v>
      </c>
      <c r="I300" s="13">
        <v>118.1010869565217</v>
      </c>
      <c r="J300" s="13">
        <v>127.30326086956519</v>
      </c>
      <c r="K300" s="7">
        <f t="shared" si="8"/>
        <v>128.83728260869569</v>
      </c>
      <c r="L300" s="7">
        <f t="shared" si="9"/>
        <v>116.56706521739132</v>
      </c>
      <c r="M300" s="3" t="s">
        <v>1154</v>
      </c>
    </row>
    <row r="301" spans="1:13" x14ac:dyDescent="0.35">
      <c r="A301" s="11" t="s">
        <v>1407</v>
      </c>
      <c r="B301" s="11" t="s">
        <v>11</v>
      </c>
      <c r="C301" s="11" t="s">
        <v>30</v>
      </c>
      <c r="D301" s="11" t="s">
        <v>1167</v>
      </c>
      <c r="E301" s="11" t="s">
        <v>332</v>
      </c>
      <c r="F301" s="20">
        <v>1</v>
      </c>
      <c r="G301" s="21">
        <v>5.69</v>
      </c>
      <c r="H301" s="13">
        <v>128.1528998242531</v>
      </c>
      <c r="I301" s="13">
        <v>128.1528998242531</v>
      </c>
      <c r="J301" s="13">
        <v>128.1528998242531</v>
      </c>
      <c r="K301" s="7">
        <f t="shared" si="8"/>
        <v>134.56054481546576</v>
      </c>
      <c r="L301" s="7">
        <f t="shared" si="9"/>
        <v>121.74525483304043</v>
      </c>
      <c r="M301" s="3" t="s">
        <v>1157</v>
      </c>
    </row>
    <row r="302" spans="1:13" x14ac:dyDescent="0.35">
      <c r="A302" s="11" t="s">
        <v>1408</v>
      </c>
      <c r="B302" s="11" t="s">
        <v>11</v>
      </c>
      <c r="C302" s="11" t="s">
        <v>30</v>
      </c>
      <c r="D302" s="11" t="s">
        <v>1169</v>
      </c>
      <c r="E302" s="11" t="s">
        <v>62</v>
      </c>
      <c r="F302" s="20">
        <v>3</v>
      </c>
      <c r="G302" s="21">
        <v>11.05</v>
      </c>
      <c r="H302" s="13">
        <v>94.678670360110814</v>
      </c>
      <c r="I302" s="13">
        <v>91</v>
      </c>
      <c r="J302" s="13">
        <v>97.794948757078913</v>
      </c>
      <c r="K302" s="7">
        <f t="shared" si="8"/>
        <v>99.412603878116357</v>
      </c>
      <c r="L302" s="7">
        <f t="shared" si="9"/>
        <v>89.944736842105272</v>
      </c>
      <c r="M302" s="3" t="s">
        <v>1158</v>
      </c>
    </row>
    <row r="303" spans="1:13" x14ac:dyDescent="0.35">
      <c r="A303" s="11" t="s">
        <v>1409</v>
      </c>
      <c r="B303" s="11" t="s">
        <v>11</v>
      </c>
      <c r="C303" s="11" t="s">
        <v>30</v>
      </c>
      <c r="D303" s="11" t="s">
        <v>1171</v>
      </c>
      <c r="E303" s="11" t="s">
        <v>54</v>
      </c>
      <c r="F303" s="20">
        <v>1</v>
      </c>
      <c r="G303" s="21">
        <v>0.8</v>
      </c>
      <c r="H303" s="13">
        <v>90.262499999999989</v>
      </c>
      <c r="I303" s="13">
        <v>90.262499999999989</v>
      </c>
      <c r="J303" s="13">
        <v>90.262499999999989</v>
      </c>
      <c r="K303" s="7">
        <f t="shared" si="8"/>
        <v>94.775624999999991</v>
      </c>
      <c r="L303" s="7">
        <f t="shared" si="9"/>
        <v>85.749374999999986</v>
      </c>
      <c r="M303" s="3" t="s">
        <v>1157</v>
      </c>
    </row>
    <row r="304" spans="1:13" x14ac:dyDescent="0.35">
      <c r="A304" s="11" t="s">
        <v>1410</v>
      </c>
      <c r="B304" s="11" t="s">
        <v>11</v>
      </c>
      <c r="C304" s="11" t="s">
        <v>30</v>
      </c>
      <c r="D304" s="11" t="s">
        <v>1173</v>
      </c>
      <c r="E304" s="11" t="s">
        <v>84</v>
      </c>
      <c r="F304" s="20">
        <v>1</v>
      </c>
      <c r="G304" s="21">
        <v>1.06</v>
      </c>
      <c r="H304" s="13">
        <v>119.8679245283019</v>
      </c>
      <c r="I304" s="13">
        <v>119.8679245283019</v>
      </c>
      <c r="J304" s="13">
        <v>119.8679245283019</v>
      </c>
      <c r="K304" s="7">
        <f t="shared" si="8"/>
        <v>125.861320754717</v>
      </c>
      <c r="L304" s="7">
        <f t="shared" si="9"/>
        <v>113.8745283018868</v>
      </c>
      <c r="M304" s="3" t="s">
        <v>1157</v>
      </c>
    </row>
    <row r="305" spans="1:13" x14ac:dyDescent="0.35">
      <c r="A305" s="11" t="s">
        <v>1411</v>
      </c>
      <c r="B305" s="11" t="s">
        <v>11</v>
      </c>
      <c r="C305" s="11" t="s">
        <v>30</v>
      </c>
      <c r="D305" s="11" t="s">
        <v>1175</v>
      </c>
      <c r="E305" s="11" t="s">
        <v>328</v>
      </c>
      <c r="F305" s="20">
        <v>1</v>
      </c>
      <c r="G305" s="21">
        <v>3.01</v>
      </c>
      <c r="H305" s="13">
        <v>118.4883720930233</v>
      </c>
      <c r="I305" s="13">
        <v>118.4883720930233</v>
      </c>
      <c r="J305" s="13">
        <v>118.4883720930233</v>
      </c>
      <c r="K305" s="7">
        <f t="shared" si="8"/>
        <v>124.41279069767447</v>
      </c>
      <c r="L305" s="7">
        <f t="shared" si="9"/>
        <v>112.56395348837214</v>
      </c>
      <c r="M305" s="3" t="s">
        <v>1157</v>
      </c>
    </row>
    <row r="306" spans="1:13" x14ac:dyDescent="0.35">
      <c r="A306" s="11" t="s">
        <v>1412</v>
      </c>
      <c r="B306" s="11" t="s">
        <v>11</v>
      </c>
      <c r="C306" s="11" t="s">
        <v>30</v>
      </c>
      <c r="D306" s="11" t="s">
        <v>612</v>
      </c>
      <c r="E306" s="11" t="s">
        <v>43</v>
      </c>
      <c r="F306" s="20">
        <v>1</v>
      </c>
      <c r="G306" s="21">
        <v>7.7</v>
      </c>
      <c r="H306" s="13">
        <v>82.975324675324671</v>
      </c>
      <c r="I306" s="13">
        <v>82.975324675324671</v>
      </c>
      <c r="J306" s="13">
        <v>82.975324675324671</v>
      </c>
      <c r="K306" s="7">
        <f t="shared" si="8"/>
        <v>87.12409090909091</v>
      </c>
      <c r="L306" s="7">
        <f t="shared" si="9"/>
        <v>78.826558441558433</v>
      </c>
      <c r="M306" s="3" t="s">
        <v>1157</v>
      </c>
    </row>
    <row r="307" spans="1:13" x14ac:dyDescent="0.35">
      <c r="A307" s="11" t="s">
        <v>1413</v>
      </c>
      <c r="B307" s="11" t="s">
        <v>11</v>
      </c>
      <c r="C307" s="11" t="s">
        <v>30</v>
      </c>
      <c r="D307" s="11" t="s">
        <v>612</v>
      </c>
      <c r="E307" s="11" t="s">
        <v>328</v>
      </c>
      <c r="F307" s="20">
        <v>1</v>
      </c>
      <c r="G307" s="21">
        <v>5.53</v>
      </c>
      <c r="H307" s="13">
        <v>77.115732368896914</v>
      </c>
      <c r="I307" s="13">
        <v>77.115732368896914</v>
      </c>
      <c r="J307" s="13">
        <v>77.115732368896914</v>
      </c>
      <c r="K307" s="7">
        <f t="shared" si="8"/>
        <v>80.971518987341767</v>
      </c>
      <c r="L307" s="7">
        <f t="shared" si="9"/>
        <v>73.259945750452061</v>
      </c>
      <c r="M307" s="3" t="s">
        <v>1157</v>
      </c>
    </row>
    <row r="308" spans="1:13" x14ac:dyDescent="0.35">
      <c r="A308" s="11" t="s">
        <v>1414</v>
      </c>
      <c r="B308" s="11" t="s">
        <v>11</v>
      </c>
      <c r="C308" s="11" t="s">
        <v>30</v>
      </c>
      <c r="D308" s="11" t="s">
        <v>612</v>
      </c>
      <c r="E308" s="11" t="s">
        <v>73</v>
      </c>
      <c r="F308" s="20">
        <v>1</v>
      </c>
      <c r="G308" s="21">
        <v>0.28999999999999998</v>
      </c>
      <c r="H308" s="13">
        <v>84.724137931034491</v>
      </c>
      <c r="I308" s="13">
        <v>84.724137931034491</v>
      </c>
      <c r="J308" s="13">
        <v>84.724137931034491</v>
      </c>
      <c r="K308" s="7">
        <f t="shared" si="8"/>
        <v>88.960344827586226</v>
      </c>
      <c r="L308" s="7">
        <f t="shared" si="9"/>
        <v>80.487931034482756</v>
      </c>
      <c r="M308" s="3" t="s">
        <v>1157</v>
      </c>
    </row>
    <row r="309" spans="1:13" x14ac:dyDescent="0.35">
      <c r="A309" s="11" t="s">
        <v>1415</v>
      </c>
      <c r="B309" s="11" t="s">
        <v>11</v>
      </c>
      <c r="C309" s="11" t="s">
        <v>30</v>
      </c>
      <c r="D309" s="11" t="s">
        <v>1178</v>
      </c>
      <c r="E309" s="11" t="s">
        <v>364</v>
      </c>
      <c r="F309" s="20">
        <v>2</v>
      </c>
      <c r="G309" s="21">
        <v>10.34</v>
      </c>
      <c r="H309" s="13">
        <v>135.0290135396518</v>
      </c>
      <c r="I309" s="13">
        <v>129.92166344294</v>
      </c>
      <c r="J309" s="13">
        <v>140.1363636363636</v>
      </c>
      <c r="K309" s="7">
        <f t="shared" si="8"/>
        <v>141.78046421663439</v>
      </c>
      <c r="L309" s="7">
        <f t="shared" si="9"/>
        <v>128.27756286266921</v>
      </c>
      <c r="M309" s="3" t="s">
        <v>1185</v>
      </c>
    </row>
    <row r="310" spans="1:13" x14ac:dyDescent="0.35">
      <c r="A310" s="11" t="s">
        <v>1416</v>
      </c>
      <c r="B310" s="11" t="s">
        <v>11</v>
      </c>
      <c r="C310" s="11" t="s">
        <v>30</v>
      </c>
      <c r="D310" s="11" t="s">
        <v>1178</v>
      </c>
      <c r="E310" s="11" t="s">
        <v>101</v>
      </c>
      <c r="F310" s="20">
        <v>1</v>
      </c>
      <c r="G310" s="21">
        <v>5.92</v>
      </c>
      <c r="H310" s="13">
        <v>100.6418918918919</v>
      </c>
      <c r="I310" s="13">
        <v>100.6418918918919</v>
      </c>
      <c r="J310" s="13">
        <v>100.6418918918919</v>
      </c>
      <c r="K310" s="7">
        <f t="shared" si="8"/>
        <v>105.6739864864865</v>
      </c>
      <c r="L310" s="7">
        <f t="shared" si="9"/>
        <v>95.609797297297305</v>
      </c>
      <c r="M310" s="3" t="s">
        <v>1189</v>
      </c>
    </row>
    <row r="311" spans="1:13" x14ac:dyDescent="0.35">
      <c r="A311" s="11" t="s">
        <v>1417</v>
      </c>
      <c r="B311" s="11" t="s">
        <v>11</v>
      </c>
      <c r="C311" s="11" t="s">
        <v>30</v>
      </c>
      <c r="D311" s="11" t="s">
        <v>1178</v>
      </c>
      <c r="E311" s="11" t="s">
        <v>39</v>
      </c>
      <c r="F311" s="20">
        <v>23</v>
      </c>
      <c r="G311" s="21">
        <v>305.62999999999988</v>
      </c>
      <c r="H311" s="13">
        <v>121.1458451102318</v>
      </c>
      <c r="I311" s="13">
        <v>107.1232500694954</v>
      </c>
      <c r="J311" s="13">
        <v>127.52507641064339</v>
      </c>
      <c r="K311" s="7">
        <f t="shared" si="8"/>
        <v>127.2031373657434</v>
      </c>
      <c r="L311" s="7">
        <f t="shared" si="9"/>
        <v>115.08855285472021</v>
      </c>
      <c r="M311" s="3" t="s">
        <v>1140</v>
      </c>
    </row>
    <row r="312" spans="1:13" x14ac:dyDescent="0.35">
      <c r="A312" s="11" t="s">
        <v>1418</v>
      </c>
      <c r="B312" s="11" t="s">
        <v>11</v>
      </c>
      <c r="C312" s="11" t="s">
        <v>30</v>
      </c>
      <c r="D312" s="11" t="s">
        <v>1178</v>
      </c>
      <c r="E312" s="11" t="s">
        <v>84</v>
      </c>
      <c r="F312" s="20">
        <v>6</v>
      </c>
      <c r="G312" s="21">
        <v>121.64</v>
      </c>
      <c r="H312" s="13">
        <v>117.6169177546101</v>
      </c>
      <c r="I312" s="13">
        <v>102.8394183024952</v>
      </c>
      <c r="J312" s="13">
        <v>126.5638292476754</v>
      </c>
      <c r="K312" s="7">
        <f t="shared" si="8"/>
        <v>123.49776364234062</v>
      </c>
      <c r="L312" s="7">
        <f t="shared" si="9"/>
        <v>111.73607186687958</v>
      </c>
      <c r="M312" s="3" t="s">
        <v>1231</v>
      </c>
    </row>
    <row r="313" spans="1:13" x14ac:dyDescent="0.35">
      <c r="A313" s="11" t="s">
        <v>1419</v>
      </c>
      <c r="B313" s="11" t="s">
        <v>11</v>
      </c>
      <c r="C313" s="11" t="s">
        <v>30</v>
      </c>
      <c r="D313" s="11" t="s">
        <v>1178</v>
      </c>
      <c r="E313" s="11" t="s">
        <v>196</v>
      </c>
      <c r="F313" s="20">
        <v>1</v>
      </c>
      <c r="G313" s="21">
        <v>8.56</v>
      </c>
      <c r="H313" s="13">
        <v>126.60771028037379</v>
      </c>
      <c r="I313" s="13">
        <v>126.60771028037379</v>
      </c>
      <c r="J313" s="13">
        <v>126.60771028037379</v>
      </c>
      <c r="K313" s="7">
        <f t="shared" si="8"/>
        <v>132.9380957943925</v>
      </c>
      <c r="L313" s="7">
        <f t="shared" si="9"/>
        <v>120.27732476635509</v>
      </c>
      <c r="M313" s="3" t="s">
        <v>1189</v>
      </c>
    </row>
    <row r="314" spans="1:13" x14ac:dyDescent="0.35">
      <c r="A314" s="11" t="s">
        <v>1420</v>
      </c>
      <c r="B314" s="11" t="s">
        <v>11</v>
      </c>
      <c r="C314" s="11" t="s">
        <v>30</v>
      </c>
      <c r="D314" s="11" t="s">
        <v>1178</v>
      </c>
      <c r="E314" s="11" t="s">
        <v>1256</v>
      </c>
      <c r="F314" s="20">
        <v>1</v>
      </c>
      <c r="G314" s="21">
        <v>3.09</v>
      </c>
      <c r="H314" s="13">
        <v>118.4724919093851</v>
      </c>
      <c r="I314" s="13">
        <v>118.4724919093851</v>
      </c>
      <c r="J314" s="13">
        <v>118.4724919093851</v>
      </c>
      <c r="K314" s="7">
        <f t="shared" si="8"/>
        <v>124.39611650485436</v>
      </c>
      <c r="L314" s="7">
        <f t="shared" si="9"/>
        <v>112.54886731391584</v>
      </c>
      <c r="M314" s="3" t="s">
        <v>1189</v>
      </c>
    </row>
    <row r="315" spans="1:13" x14ac:dyDescent="0.35">
      <c r="A315" s="11" t="s">
        <v>1421</v>
      </c>
      <c r="B315" s="11" t="s">
        <v>11</v>
      </c>
      <c r="C315" s="11" t="s">
        <v>30</v>
      </c>
      <c r="D315" s="11" t="s">
        <v>1178</v>
      </c>
      <c r="E315" s="11" t="s">
        <v>147</v>
      </c>
      <c r="F315" s="20">
        <v>3</v>
      </c>
      <c r="G315" s="21">
        <v>24.06</v>
      </c>
      <c r="H315" s="13">
        <v>106.5748344370861</v>
      </c>
      <c r="I315" s="13">
        <v>91.920433845621432</v>
      </c>
      <c r="J315" s="13">
        <v>112.8394497388682</v>
      </c>
      <c r="K315" s="7">
        <f t="shared" si="8"/>
        <v>111.90357615894041</v>
      </c>
      <c r="L315" s="7">
        <f t="shared" si="9"/>
        <v>101.24609271523178</v>
      </c>
      <c r="M315" s="3" t="s">
        <v>1189</v>
      </c>
    </row>
    <row r="316" spans="1:13" x14ac:dyDescent="0.35">
      <c r="A316" s="11" t="s">
        <v>1422</v>
      </c>
      <c r="B316" s="11" t="s">
        <v>11</v>
      </c>
      <c r="C316" s="11" t="s">
        <v>30</v>
      </c>
      <c r="D316" s="11" t="s">
        <v>1178</v>
      </c>
      <c r="E316" s="11" t="s">
        <v>182</v>
      </c>
      <c r="F316" s="20">
        <v>1</v>
      </c>
      <c r="G316" s="21">
        <v>8.77</v>
      </c>
      <c r="H316" s="13">
        <v>103.55302166476621</v>
      </c>
      <c r="I316" s="13">
        <v>103.55302166476621</v>
      </c>
      <c r="J316" s="13">
        <v>103.55302166476621</v>
      </c>
      <c r="K316" s="7">
        <f t="shared" si="8"/>
        <v>108.73067274800452</v>
      </c>
      <c r="L316" s="7">
        <f t="shared" si="9"/>
        <v>98.375370581527889</v>
      </c>
      <c r="M316" s="3" t="s">
        <v>1189</v>
      </c>
    </row>
    <row r="317" spans="1:13" x14ac:dyDescent="0.35">
      <c r="A317" s="11" t="s">
        <v>1423</v>
      </c>
      <c r="B317" s="11" t="s">
        <v>11</v>
      </c>
      <c r="C317" s="11" t="s">
        <v>30</v>
      </c>
      <c r="D317" s="11" t="s">
        <v>1178</v>
      </c>
      <c r="E317" s="11" t="s">
        <v>59</v>
      </c>
      <c r="F317" s="20">
        <v>2</v>
      </c>
      <c r="G317" s="21">
        <v>26.79</v>
      </c>
      <c r="H317" s="13">
        <v>115.6724019463873</v>
      </c>
      <c r="I317" s="13">
        <v>110.7228469359266</v>
      </c>
      <c r="J317" s="13">
        <v>120.62195695684809</v>
      </c>
      <c r="K317" s="7">
        <f t="shared" si="8"/>
        <v>121.45602204370667</v>
      </c>
      <c r="L317" s="7">
        <f t="shared" si="9"/>
        <v>109.88878184906793</v>
      </c>
      <c r="M317" s="3" t="s">
        <v>1189</v>
      </c>
    </row>
    <row r="318" spans="1:13" x14ac:dyDescent="0.35">
      <c r="A318" s="11" t="s">
        <v>1424</v>
      </c>
      <c r="B318" s="11" t="s">
        <v>11</v>
      </c>
      <c r="C318" s="11" t="s">
        <v>30</v>
      </c>
      <c r="D318" s="11" t="s">
        <v>1178</v>
      </c>
      <c r="E318" s="11" t="s">
        <v>479</v>
      </c>
      <c r="F318" s="20">
        <v>1</v>
      </c>
      <c r="G318" s="21">
        <v>5.61</v>
      </c>
      <c r="H318" s="13">
        <v>132.75935828876999</v>
      </c>
      <c r="I318" s="13">
        <v>132.75935828876999</v>
      </c>
      <c r="J318" s="13">
        <v>132.75935828876999</v>
      </c>
      <c r="K318" s="7">
        <f t="shared" si="8"/>
        <v>139.39732620320851</v>
      </c>
      <c r="L318" s="7">
        <f t="shared" si="9"/>
        <v>126.12139037433148</v>
      </c>
      <c r="M318" s="3" t="s">
        <v>1189</v>
      </c>
    </row>
    <row r="319" spans="1:13" x14ac:dyDescent="0.35">
      <c r="A319" s="11" t="s">
        <v>1425</v>
      </c>
      <c r="B319" s="11" t="s">
        <v>11</v>
      </c>
      <c r="C319" s="11" t="s">
        <v>30</v>
      </c>
      <c r="D319" s="11" t="s">
        <v>1178</v>
      </c>
      <c r="E319" s="11" t="s">
        <v>28</v>
      </c>
      <c r="F319" s="20">
        <v>1</v>
      </c>
      <c r="G319" s="21">
        <v>8.8000000000000007</v>
      </c>
      <c r="H319" s="13">
        <v>125.77272727272729</v>
      </c>
      <c r="I319" s="13">
        <v>125.77272727272729</v>
      </c>
      <c r="J319" s="13">
        <v>125.77272727272729</v>
      </c>
      <c r="K319" s="7">
        <f t="shared" si="8"/>
        <v>132.06136363636367</v>
      </c>
      <c r="L319" s="7">
        <f t="shared" si="9"/>
        <v>119.48409090909092</v>
      </c>
      <c r="M319" s="3" t="s">
        <v>1189</v>
      </c>
    </row>
    <row r="320" spans="1:13" x14ac:dyDescent="0.35">
      <c r="A320" s="11" t="s">
        <v>1426</v>
      </c>
      <c r="B320" s="11" t="s">
        <v>11</v>
      </c>
      <c r="C320" s="11" t="s">
        <v>30</v>
      </c>
      <c r="D320" s="11" t="s">
        <v>1178</v>
      </c>
      <c r="E320" s="11" t="s">
        <v>186</v>
      </c>
      <c r="F320" s="20">
        <v>4</v>
      </c>
      <c r="G320" s="21">
        <v>52.82</v>
      </c>
      <c r="H320" s="13">
        <v>114.29212433257059</v>
      </c>
      <c r="I320" s="13">
        <v>111.4928904923599</v>
      </c>
      <c r="J320" s="13">
        <v>122.9054028602439</v>
      </c>
      <c r="K320" s="7">
        <f t="shared" si="8"/>
        <v>120.00673054919913</v>
      </c>
      <c r="L320" s="7">
        <f t="shared" si="9"/>
        <v>108.57751811594206</v>
      </c>
      <c r="M320" s="3" t="s">
        <v>1226</v>
      </c>
    </row>
    <row r="321" spans="1:13" x14ac:dyDescent="0.35">
      <c r="A321" s="11" t="s">
        <v>1427</v>
      </c>
      <c r="B321" s="11" t="s">
        <v>11</v>
      </c>
      <c r="C321" s="11" t="s">
        <v>30</v>
      </c>
      <c r="D321" s="11" t="s">
        <v>1178</v>
      </c>
      <c r="E321" s="11" t="s">
        <v>93</v>
      </c>
      <c r="F321" s="20">
        <v>4</v>
      </c>
      <c r="G321" s="21">
        <v>37.380000000000003</v>
      </c>
      <c r="H321" s="13">
        <v>117.488833017292</v>
      </c>
      <c r="I321" s="13">
        <v>109.4572665056361</v>
      </c>
      <c r="J321" s="13">
        <v>121.9618003383042</v>
      </c>
      <c r="K321" s="7">
        <f t="shared" si="8"/>
        <v>123.36327466815661</v>
      </c>
      <c r="L321" s="7">
        <f t="shared" si="9"/>
        <v>111.61439136642738</v>
      </c>
      <c r="M321" s="3" t="s">
        <v>1226</v>
      </c>
    </row>
    <row r="322" spans="1:13" x14ac:dyDescent="0.35">
      <c r="A322" s="11" t="s">
        <v>1428</v>
      </c>
      <c r="B322" s="11" t="s">
        <v>11</v>
      </c>
      <c r="C322" s="11" t="s">
        <v>30</v>
      </c>
      <c r="D322" s="11" t="s">
        <v>1178</v>
      </c>
      <c r="E322" s="11" t="s">
        <v>131</v>
      </c>
      <c r="F322" s="20">
        <v>11</v>
      </c>
      <c r="G322" s="21">
        <v>51.28</v>
      </c>
      <c r="H322" s="13">
        <v>113.0565068493151</v>
      </c>
      <c r="I322" s="13">
        <v>103.9680134680135</v>
      </c>
      <c r="J322" s="13">
        <v>120.4987373737374</v>
      </c>
      <c r="K322" s="7">
        <f t="shared" si="8"/>
        <v>118.70933219178086</v>
      </c>
      <c r="L322" s="7">
        <f t="shared" si="9"/>
        <v>107.40368150684934</v>
      </c>
      <c r="M322" s="3" t="s">
        <v>1140</v>
      </c>
    </row>
    <row r="323" spans="1:13" x14ac:dyDescent="0.35">
      <c r="A323" s="11" t="s">
        <v>1429</v>
      </c>
      <c r="B323" s="11" t="s">
        <v>11</v>
      </c>
      <c r="C323" s="11" t="s">
        <v>30</v>
      </c>
      <c r="D323" s="11" t="s">
        <v>114</v>
      </c>
      <c r="E323" s="11" t="s">
        <v>360</v>
      </c>
      <c r="F323" s="20">
        <v>2</v>
      </c>
      <c r="G323" s="21">
        <v>12.25</v>
      </c>
      <c r="H323" s="13">
        <v>97.062966141904383</v>
      </c>
      <c r="I323" s="13">
        <v>96.70737883642451</v>
      </c>
      <c r="J323" s="13">
        <v>97.418553447384269</v>
      </c>
      <c r="K323" s="7">
        <f t="shared" si="8"/>
        <v>101.91611444899961</v>
      </c>
      <c r="L323" s="7">
        <f t="shared" si="9"/>
        <v>92.209817834809158</v>
      </c>
      <c r="M323" s="3" t="s">
        <v>1226</v>
      </c>
    </row>
    <row r="324" spans="1:13" x14ac:dyDescent="0.35">
      <c r="A324" s="11" t="s">
        <v>1430</v>
      </c>
      <c r="B324" s="11" t="s">
        <v>11</v>
      </c>
      <c r="C324" s="11" t="s">
        <v>30</v>
      </c>
      <c r="D324" s="11" t="s">
        <v>114</v>
      </c>
      <c r="E324" s="11" t="s">
        <v>364</v>
      </c>
      <c r="F324" s="20">
        <v>15</v>
      </c>
      <c r="G324" s="21">
        <v>183.4</v>
      </c>
      <c r="H324" s="13">
        <v>104.9704225352113</v>
      </c>
      <c r="I324" s="13">
        <v>93.45232172470979</v>
      </c>
      <c r="J324" s="13">
        <v>121.5228252572753</v>
      </c>
      <c r="K324" s="7">
        <f t="shared" si="8"/>
        <v>110.21894366197186</v>
      </c>
      <c r="L324" s="7">
        <f t="shared" si="9"/>
        <v>99.721901408450734</v>
      </c>
      <c r="M324" s="3" t="s">
        <v>1240</v>
      </c>
    </row>
    <row r="325" spans="1:13" x14ac:dyDescent="0.35">
      <c r="A325" s="11" t="s">
        <v>1431</v>
      </c>
      <c r="B325" s="11" t="s">
        <v>11</v>
      </c>
      <c r="C325" s="11" t="s">
        <v>30</v>
      </c>
      <c r="D325" s="11" t="s">
        <v>114</v>
      </c>
      <c r="E325" s="11" t="s">
        <v>101</v>
      </c>
      <c r="F325" s="20">
        <v>30</v>
      </c>
      <c r="G325" s="21">
        <v>243.45</v>
      </c>
      <c r="H325" s="13">
        <v>108.17471172931219</v>
      </c>
      <c r="I325" s="13">
        <v>91.306939123726849</v>
      </c>
      <c r="J325" s="13">
        <v>117.0622964922009</v>
      </c>
      <c r="K325" s="7">
        <f t="shared" ref="K325:K388" si="10">H325*(1+$B$2)</f>
        <v>113.5834473157778</v>
      </c>
      <c r="L325" s="7">
        <f t="shared" ref="L325:L388" si="11">H325*(1-$B$2)</f>
        <v>102.76597614284658</v>
      </c>
      <c r="M325" s="3" t="s">
        <v>1182</v>
      </c>
    </row>
    <row r="326" spans="1:13" x14ac:dyDescent="0.35">
      <c r="A326" s="11" t="s">
        <v>1432</v>
      </c>
      <c r="B326" s="11" t="s">
        <v>11</v>
      </c>
      <c r="C326" s="11" t="s">
        <v>30</v>
      </c>
      <c r="D326" s="11" t="s">
        <v>114</v>
      </c>
      <c r="E326" s="11" t="s">
        <v>393</v>
      </c>
      <c r="F326" s="20">
        <v>2</v>
      </c>
      <c r="G326" s="21">
        <v>17.420000000000002</v>
      </c>
      <c r="H326" s="13">
        <v>124.6492085029398</v>
      </c>
      <c r="I326" s="13">
        <v>120.5504748982361</v>
      </c>
      <c r="J326" s="13">
        <v>128.74794210764361</v>
      </c>
      <c r="K326" s="7">
        <f t="shared" si="10"/>
        <v>130.88166892808678</v>
      </c>
      <c r="L326" s="7">
        <f t="shared" si="11"/>
        <v>118.4167480777928</v>
      </c>
      <c r="M326" s="3" t="s">
        <v>1189</v>
      </c>
    </row>
    <row r="327" spans="1:13" x14ac:dyDescent="0.35">
      <c r="A327" s="11" t="s">
        <v>1433</v>
      </c>
      <c r="B327" s="11" t="s">
        <v>11</v>
      </c>
      <c r="C327" s="11" t="s">
        <v>30</v>
      </c>
      <c r="D327" s="11" t="s">
        <v>114</v>
      </c>
      <c r="E327" s="11" t="s">
        <v>62</v>
      </c>
      <c r="F327" s="20">
        <v>21</v>
      </c>
      <c r="G327" s="21">
        <v>180.50000000000011</v>
      </c>
      <c r="H327" s="13">
        <v>112.3878205128205</v>
      </c>
      <c r="I327" s="13">
        <v>106.7445742904841</v>
      </c>
      <c r="J327" s="13">
        <v>130.35096153846149</v>
      </c>
      <c r="K327" s="7">
        <f t="shared" si="10"/>
        <v>118.00721153846153</v>
      </c>
      <c r="L327" s="7">
        <f t="shared" si="11"/>
        <v>106.76842948717946</v>
      </c>
      <c r="M327" s="3" t="s">
        <v>1240</v>
      </c>
    </row>
    <row r="328" spans="1:13" x14ac:dyDescent="0.35">
      <c r="A328" s="11" t="s">
        <v>1434</v>
      </c>
      <c r="B328" s="11" t="s">
        <v>11</v>
      </c>
      <c r="C328" s="11" t="s">
        <v>30</v>
      </c>
      <c r="D328" s="11" t="s">
        <v>114</v>
      </c>
      <c r="E328" s="11" t="s">
        <v>39</v>
      </c>
      <c r="F328" s="20">
        <v>56</v>
      </c>
      <c r="G328" s="21">
        <v>492.20999999999992</v>
      </c>
      <c r="H328" s="13">
        <v>121.6647701268983</v>
      </c>
      <c r="I328" s="13">
        <v>109.0194832315816</v>
      </c>
      <c r="J328" s="13">
        <v>132.5443759115216</v>
      </c>
      <c r="K328" s="7">
        <f t="shared" si="10"/>
        <v>127.74800863324323</v>
      </c>
      <c r="L328" s="7">
        <f t="shared" si="11"/>
        <v>115.58153162055338</v>
      </c>
      <c r="M328" s="3" t="s">
        <v>1182</v>
      </c>
    </row>
    <row r="329" spans="1:13" x14ac:dyDescent="0.35">
      <c r="A329" s="11" t="s">
        <v>1435</v>
      </c>
      <c r="B329" s="11" t="s">
        <v>11</v>
      </c>
      <c r="C329" s="11" t="s">
        <v>30</v>
      </c>
      <c r="D329" s="11" t="s">
        <v>114</v>
      </c>
      <c r="E329" s="11" t="s">
        <v>84</v>
      </c>
      <c r="F329" s="20">
        <v>83</v>
      </c>
      <c r="G329" s="21">
        <v>729.30999999999983</v>
      </c>
      <c r="H329" s="13">
        <v>113.9805269186712</v>
      </c>
      <c r="I329" s="13">
        <v>100.3470768319178</v>
      </c>
      <c r="J329" s="13">
        <v>123.10682085876429</v>
      </c>
      <c r="K329" s="7">
        <f t="shared" si="10"/>
        <v>119.67955326460476</v>
      </c>
      <c r="L329" s="7">
        <f t="shared" si="11"/>
        <v>108.28150057273764</v>
      </c>
      <c r="M329" s="3" t="s">
        <v>1125</v>
      </c>
    </row>
    <row r="330" spans="1:13" x14ac:dyDescent="0.35">
      <c r="A330" s="11" t="s">
        <v>115</v>
      </c>
      <c r="B330" s="11" t="s">
        <v>11</v>
      </c>
      <c r="C330" s="11" t="s">
        <v>30</v>
      </c>
      <c r="D330" s="11" t="s">
        <v>114</v>
      </c>
      <c r="E330" s="11" t="s">
        <v>43</v>
      </c>
      <c r="F330" s="20">
        <v>81</v>
      </c>
      <c r="G330" s="21">
        <v>622.16000000000008</v>
      </c>
      <c r="H330" s="13">
        <v>107.31196581196581</v>
      </c>
      <c r="I330" s="13">
        <v>94.486524822695031</v>
      </c>
      <c r="J330" s="13">
        <v>125.5203562340967</v>
      </c>
      <c r="K330" s="7">
        <f t="shared" si="10"/>
        <v>112.67756410256411</v>
      </c>
      <c r="L330" s="7">
        <f t="shared" si="11"/>
        <v>101.94636752136751</v>
      </c>
      <c r="M330" s="3" t="s">
        <v>1125</v>
      </c>
    </row>
    <row r="331" spans="1:13" x14ac:dyDescent="0.35">
      <c r="A331" s="11" t="s">
        <v>1436</v>
      </c>
      <c r="B331" s="11" t="s">
        <v>11</v>
      </c>
      <c r="C331" s="11" t="s">
        <v>30</v>
      </c>
      <c r="D331" s="11" t="s">
        <v>114</v>
      </c>
      <c r="E331" s="11" t="s">
        <v>196</v>
      </c>
      <c r="F331" s="20">
        <v>23</v>
      </c>
      <c r="G331" s="21">
        <v>152.01</v>
      </c>
      <c r="H331" s="13">
        <v>111.4221374045802</v>
      </c>
      <c r="I331" s="13">
        <v>102.3600309807339</v>
      </c>
      <c r="J331" s="13">
        <v>133.65387205387199</v>
      </c>
      <c r="K331" s="7">
        <f t="shared" si="10"/>
        <v>116.99324427480921</v>
      </c>
      <c r="L331" s="7">
        <f t="shared" si="11"/>
        <v>105.85103053435118</v>
      </c>
      <c r="M331" s="3" t="s">
        <v>1240</v>
      </c>
    </row>
    <row r="332" spans="1:13" x14ac:dyDescent="0.35">
      <c r="A332" s="11" t="s">
        <v>1437</v>
      </c>
      <c r="B332" s="11" t="s">
        <v>11</v>
      </c>
      <c r="C332" s="11" t="s">
        <v>30</v>
      </c>
      <c r="D332" s="11" t="s">
        <v>114</v>
      </c>
      <c r="E332" s="11" t="s">
        <v>35</v>
      </c>
      <c r="F332" s="20">
        <v>16</v>
      </c>
      <c r="G332" s="21">
        <v>59.67</v>
      </c>
      <c r="H332" s="13">
        <v>118.6417431788142</v>
      </c>
      <c r="I332" s="13">
        <v>105.6484375</v>
      </c>
      <c r="J332" s="13">
        <v>129.620857484879</v>
      </c>
      <c r="K332" s="7">
        <f t="shared" si="10"/>
        <v>124.57383033775491</v>
      </c>
      <c r="L332" s="7">
        <f t="shared" si="11"/>
        <v>112.70965601987348</v>
      </c>
      <c r="M332" s="3" t="s">
        <v>1240</v>
      </c>
    </row>
    <row r="333" spans="1:13" x14ac:dyDescent="0.35">
      <c r="A333" s="11" t="s">
        <v>1438</v>
      </c>
      <c r="B333" s="11" t="s">
        <v>11</v>
      </c>
      <c r="C333" s="11" t="s">
        <v>30</v>
      </c>
      <c r="D333" s="11" t="s">
        <v>114</v>
      </c>
      <c r="E333" s="11" t="s">
        <v>89</v>
      </c>
      <c r="F333" s="20">
        <v>5</v>
      </c>
      <c r="G333" s="21">
        <v>48</v>
      </c>
      <c r="H333" s="13">
        <v>112.4209621993127</v>
      </c>
      <c r="I333" s="13">
        <v>100.9345121152587</v>
      </c>
      <c r="J333" s="13">
        <v>125.9855926653569</v>
      </c>
      <c r="K333" s="7">
        <f t="shared" si="10"/>
        <v>118.04201030927834</v>
      </c>
      <c r="L333" s="7">
        <f t="shared" si="11"/>
        <v>106.79991408934706</v>
      </c>
      <c r="M333" s="3" t="s">
        <v>1140</v>
      </c>
    </row>
    <row r="334" spans="1:13" x14ac:dyDescent="0.35">
      <c r="A334" s="11" t="s">
        <v>1439</v>
      </c>
      <c r="B334" s="11" t="s">
        <v>11</v>
      </c>
      <c r="C334" s="11" t="s">
        <v>30</v>
      </c>
      <c r="D334" s="11" t="s">
        <v>114</v>
      </c>
      <c r="E334" s="11" t="s">
        <v>73</v>
      </c>
      <c r="F334" s="20">
        <v>3</v>
      </c>
      <c r="G334" s="21">
        <v>11.64</v>
      </c>
      <c r="H334" s="13">
        <v>135.9432989690722</v>
      </c>
      <c r="I334" s="13">
        <v>119.7474226804124</v>
      </c>
      <c r="J334" s="13">
        <v>141.09278350515461</v>
      </c>
      <c r="K334" s="7">
        <f t="shared" si="10"/>
        <v>142.74046391752583</v>
      </c>
      <c r="L334" s="7">
        <f t="shared" si="11"/>
        <v>129.14613402061858</v>
      </c>
      <c r="M334" s="3" t="s">
        <v>1226</v>
      </c>
    </row>
    <row r="335" spans="1:13" x14ac:dyDescent="0.35">
      <c r="A335" s="11" t="s">
        <v>1440</v>
      </c>
      <c r="B335" s="11" t="s">
        <v>11</v>
      </c>
      <c r="C335" s="11" t="s">
        <v>30</v>
      </c>
      <c r="D335" s="11" t="s">
        <v>114</v>
      </c>
      <c r="E335" s="11" t="s">
        <v>147</v>
      </c>
      <c r="F335" s="20">
        <v>1</v>
      </c>
      <c r="G335" s="21">
        <v>16.68</v>
      </c>
      <c r="H335" s="13">
        <v>86.661270983213427</v>
      </c>
      <c r="I335" s="13">
        <v>86.661270983213427</v>
      </c>
      <c r="J335" s="13">
        <v>86.661270983213427</v>
      </c>
      <c r="K335" s="7">
        <f t="shared" si="10"/>
        <v>90.994334532374097</v>
      </c>
      <c r="L335" s="7">
        <f t="shared" si="11"/>
        <v>82.328207434052757</v>
      </c>
      <c r="M335" s="3" t="s">
        <v>1292</v>
      </c>
    </row>
    <row r="336" spans="1:13" x14ac:dyDescent="0.35">
      <c r="A336" s="11" t="s">
        <v>1441</v>
      </c>
      <c r="B336" s="11" t="s">
        <v>11</v>
      </c>
      <c r="C336" s="11" t="s">
        <v>30</v>
      </c>
      <c r="D336" s="11" t="s">
        <v>114</v>
      </c>
      <c r="E336" s="11" t="s">
        <v>169</v>
      </c>
      <c r="F336" s="20">
        <v>12</v>
      </c>
      <c r="G336" s="21">
        <v>66.540000000000006</v>
      </c>
      <c r="H336" s="13">
        <v>119.1184210526316</v>
      </c>
      <c r="I336" s="13">
        <v>114.98043093047799</v>
      </c>
      <c r="J336" s="13">
        <v>125.2036344442769</v>
      </c>
      <c r="K336" s="7">
        <f t="shared" si="10"/>
        <v>125.07434210526318</v>
      </c>
      <c r="L336" s="7">
        <f t="shared" si="11"/>
        <v>113.16250000000002</v>
      </c>
      <c r="M336" s="3" t="s">
        <v>1240</v>
      </c>
    </row>
    <row r="337" spans="1:13" x14ac:dyDescent="0.35">
      <c r="A337" s="11" t="s">
        <v>1442</v>
      </c>
      <c r="B337" s="11" t="s">
        <v>11</v>
      </c>
      <c r="C337" s="11" t="s">
        <v>30</v>
      </c>
      <c r="D337" s="11" t="s">
        <v>114</v>
      </c>
      <c r="E337" s="11" t="s">
        <v>122</v>
      </c>
      <c r="F337" s="20">
        <v>6</v>
      </c>
      <c r="G337" s="21">
        <v>26.9</v>
      </c>
      <c r="H337" s="13">
        <v>125.98596938775511</v>
      </c>
      <c r="I337" s="13">
        <v>113.3464047997502</v>
      </c>
      <c r="J337" s="13">
        <v>143.18303571428569</v>
      </c>
      <c r="K337" s="7">
        <f t="shared" si="10"/>
        <v>132.28526785714286</v>
      </c>
      <c r="L337" s="7">
        <f t="shared" si="11"/>
        <v>119.68667091836734</v>
      </c>
      <c r="M337" s="3" t="s">
        <v>1140</v>
      </c>
    </row>
    <row r="338" spans="1:13" x14ac:dyDescent="0.35">
      <c r="A338" s="11" t="s">
        <v>1443</v>
      </c>
      <c r="B338" s="11" t="s">
        <v>11</v>
      </c>
      <c r="C338" s="11" t="s">
        <v>30</v>
      </c>
      <c r="D338" s="11" t="s">
        <v>114</v>
      </c>
      <c r="E338" s="11" t="s">
        <v>582</v>
      </c>
      <c r="F338" s="20">
        <v>4</v>
      </c>
      <c r="G338" s="21">
        <v>51.56</v>
      </c>
      <c r="H338" s="13">
        <v>91.262994569433658</v>
      </c>
      <c r="I338" s="13">
        <v>86.810124127230409</v>
      </c>
      <c r="J338" s="13">
        <v>97.411365399534517</v>
      </c>
      <c r="K338" s="7">
        <f t="shared" si="10"/>
        <v>95.826144297905344</v>
      </c>
      <c r="L338" s="7">
        <f t="shared" si="11"/>
        <v>86.699844840961973</v>
      </c>
      <c r="M338" s="3" t="s">
        <v>1231</v>
      </c>
    </row>
    <row r="339" spans="1:13" x14ac:dyDescent="0.35">
      <c r="A339" s="11" t="s">
        <v>1444</v>
      </c>
      <c r="B339" s="11" t="s">
        <v>11</v>
      </c>
      <c r="C339" s="11" t="s">
        <v>30</v>
      </c>
      <c r="D339" s="11" t="s">
        <v>114</v>
      </c>
      <c r="E339" s="11" t="s">
        <v>99</v>
      </c>
      <c r="F339" s="20">
        <v>7</v>
      </c>
      <c r="G339" s="21">
        <v>28.17</v>
      </c>
      <c r="H339" s="13">
        <v>85.855978260869563</v>
      </c>
      <c r="I339" s="13">
        <v>80.590132268203249</v>
      </c>
      <c r="J339" s="13">
        <v>93.966981814603869</v>
      </c>
      <c r="K339" s="7">
        <f t="shared" si="10"/>
        <v>90.148777173913047</v>
      </c>
      <c r="L339" s="7">
        <f t="shared" si="11"/>
        <v>81.563179347826079</v>
      </c>
      <c r="M339" s="3" t="s">
        <v>1231</v>
      </c>
    </row>
    <row r="340" spans="1:13" x14ac:dyDescent="0.35">
      <c r="A340" s="11" t="s">
        <v>1445</v>
      </c>
      <c r="B340" s="11" t="s">
        <v>11</v>
      </c>
      <c r="C340" s="11" t="s">
        <v>30</v>
      </c>
      <c r="D340" s="11" t="s">
        <v>114</v>
      </c>
      <c r="E340" s="11" t="s">
        <v>230</v>
      </c>
      <c r="F340" s="20">
        <v>2</v>
      </c>
      <c r="G340" s="21">
        <v>9.6999999999999993</v>
      </c>
      <c r="H340" s="13">
        <v>88.78247422680414</v>
      </c>
      <c r="I340" s="13">
        <v>83.917010309278353</v>
      </c>
      <c r="J340" s="13">
        <v>93.647938144329913</v>
      </c>
      <c r="K340" s="7">
        <f t="shared" si="10"/>
        <v>93.221597938144356</v>
      </c>
      <c r="L340" s="7">
        <f t="shared" si="11"/>
        <v>84.343350515463925</v>
      </c>
      <c r="M340" s="3" t="s">
        <v>1185</v>
      </c>
    </row>
    <row r="341" spans="1:13" x14ac:dyDescent="0.35">
      <c r="A341" s="11" t="s">
        <v>1446</v>
      </c>
      <c r="B341" s="11" t="s">
        <v>11</v>
      </c>
      <c r="C341" s="11" t="s">
        <v>30</v>
      </c>
      <c r="D341" s="11" t="s">
        <v>114</v>
      </c>
      <c r="E341" s="11" t="s">
        <v>625</v>
      </c>
      <c r="F341" s="20">
        <v>13</v>
      </c>
      <c r="G341" s="21">
        <v>145.32</v>
      </c>
      <c r="H341" s="13">
        <v>122.07309941520469</v>
      </c>
      <c r="I341" s="13">
        <v>101.36799999999999</v>
      </c>
      <c r="J341" s="13">
        <v>127.1547811993517</v>
      </c>
      <c r="K341" s="7">
        <f t="shared" si="10"/>
        <v>128.17675438596493</v>
      </c>
      <c r="L341" s="7">
        <f t="shared" si="11"/>
        <v>115.96944444444445</v>
      </c>
      <c r="M341" s="3" t="s">
        <v>1231</v>
      </c>
    </row>
    <row r="342" spans="1:13" x14ac:dyDescent="0.35">
      <c r="A342" s="11" t="s">
        <v>1447</v>
      </c>
      <c r="B342" s="11" t="s">
        <v>11</v>
      </c>
      <c r="C342" s="11" t="s">
        <v>30</v>
      </c>
      <c r="D342" s="11" t="s">
        <v>114</v>
      </c>
      <c r="E342" s="11" t="s">
        <v>59</v>
      </c>
      <c r="F342" s="20">
        <v>5</v>
      </c>
      <c r="G342" s="21">
        <v>54.210000000000008</v>
      </c>
      <c r="H342" s="13">
        <v>124.1860816944024</v>
      </c>
      <c r="I342" s="13">
        <v>122.0037688442211</v>
      </c>
      <c r="J342" s="13">
        <v>135.43697478991601</v>
      </c>
      <c r="K342" s="7">
        <f t="shared" si="10"/>
        <v>130.39538577912253</v>
      </c>
      <c r="L342" s="7">
        <f t="shared" si="11"/>
        <v>117.97677760968227</v>
      </c>
      <c r="M342" s="3" t="s">
        <v>1185</v>
      </c>
    </row>
    <row r="343" spans="1:13" x14ac:dyDescent="0.35">
      <c r="A343" s="11" t="s">
        <v>1448</v>
      </c>
      <c r="B343" s="11" t="s">
        <v>11</v>
      </c>
      <c r="C343" s="11" t="s">
        <v>30</v>
      </c>
      <c r="D343" s="11" t="s">
        <v>114</v>
      </c>
      <c r="E343" s="11" t="s">
        <v>107</v>
      </c>
      <c r="F343" s="20">
        <v>4</v>
      </c>
      <c r="G343" s="21">
        <v>36.840000000000003</v>
      </c>
      <c r="H343" s="13">
        <v>93.475570032573287</v>
      </c>
      <c r="I343" s="13">
        <v>78.632193268186754</v>
      </c>
      <c r="J343" s="13">
        <v>109.0882193268187</v>
      </c>
      <c r="K343" s="7">
        <f t="shared" si="10"/>
        <v>98.149348534201962</v>
      </c>
      <c r="L343" s="7">
        <f t="shared" si="11"/>
        <v>88.801791530944612</v>
      </c>
      <c r="M343" s="3" t="s">
        <v>1231</v>
      </c>
    </row>
    <row r="344" spans="1:13" x14ac:dyDescent="0.35">
      <c r="A344" s="11" t="s">
        <v>1449</v>
      </c>
      <c r="B344" s="11" t="s">
        <v>11</v>
      </c>
      <c r="C344" s="11" t="s">
        <v>30</v>
      </c>
      <c r="D344" s="11" t="s">
        <v>114</v>
      </c>
      <c r="E344" s="11" t="s">
        <v>338</v>
      </c>
      <c r="F344" s="20">
        <v>2</v>
      </c>
      <c r="G344" s="21">
        <v>11.43</v>
      </c>
      <c r="H344" s="13">
        <v>90.368691112044644</v>
      </c>
      <c r="I344" s="13">
        <v>87.131713977074952</v>
      </c>
      <c r="J344" s="13">
        <v>93.60566824701435</v>
      </c>
      <c r="K344" s="7">
        <f t="shared" si="10"/>
        <v>94.887125667646885</v>
      </c>
      <c r="L344" s="7">
        <f t="shared" si="11"/>
        <v>85.850256556442403</v>
      </c>
      <c r="M344" s="3" t="s">
        <v>1189</v>
      </c>
    </row>
    <row r="345" spans="1:13" x14ac:dyDescent="0.35">
      <c r="A345" s="11" t="s">
        <v>1450</v>
      </c>
      <c r="B345" s="11" t="s">
        <v>11</v>
      </c>
      <c r="C345" s="11" t="s">
        <v>30</v>
      </c>
      <c r="D345" s="11" t="s">
        <v>114</v>
      </c>
      <c r="E345" s="11" t="s">
        <v>1277</v>
      </c>
      <c r="F345" s="20">
        <v>2</v>
      </c>
      <c r="G345" s="21">
        <v>8.3800000000000008</v>
      </c>
      <c r="H345" s="13">
        <v>102.054892601432</v>
      </c>
      <c r="I345" s="13">
        <v>101.5918854415274</v>
      </c>
      <c r="J345" s="13">
        <v>102.51789976133649</v>
      </c>
      <c r="K345" s="7">
        <f t="shared" si="10"/>
        <v>107.1576372315036</v>
      </c>
      <c r="L345" s="7">
        <f t="shared" si="11"/>
        <v>96.952147971360404</v>
      </c>
      <c r="M345" s="3" t="s">
        <v>1185</v>
      </c>
    </row>
    <row r="346" spans="1:13" x14ac:dyDescent="0.35">
      <c r="A346" s="11" t="s">
        <v>1451</v>
      </c>
      <c r="B346" s="11" t="s">
        <v>11</v>
      </c>
      <c r="C346" s="11" t="s">
        <v>30</v>
      </c>
      <c r="D346" s="11" t="s">
        <v>114</v>
      </c>
      <c r="E346" s="11" t="s">
        <v>28</v>
      </c>
      <c r="F346" s="20">
        <v>10</v>
      </c>
      <c r="G346" s="21">
        <v>52.35</v>
      </c>
      <c r="H346" s="13">
        <v>101.36565451410461</v>
      </c>
      <c r="I346" s="13">
        <v>92.833546042003221</v>
      </c>
      <c r="J346" s="13">
        <v>113.891204815872</v>
      </c>
      <c r="K346" s="7">
        <f t="shared" si="10"/>
        <v>106.43393723980984</v>
      </c>
      <c r="L346" s="7">
        <f t="shared" si="11"/>
        <v>96.297371788399374</v>
      </c>
      <c r="M346" s="3" t="s">
        <v>1226</v>
      </c>
    </row>
    <row r="347" spans="1:13" x14ac:dyDescent="0.35">
      <c r="A347" s="11" t="s">
        <v>1452</v>
      </c>
      <c r="B347" s="11" t="s">
        <v>11</v>
      </c>
      <c r="C347" s="11" t="s">
        <v>30</v>
      </c>
      <c r="D347" s="11" t="s">
        <v>114</v>
      </c>
      <c r="E347" s="11" t="s">
        <v>93</v>
      </c>
      <c r="F347" s="20">
        <v>46</v>
      </c>
      <c r="G347" s="21">
        <v>415.27</v>
      </c>
      <c r="H347" s="13">
        <v>97.665626949469754</v>
      </c>
      <c r="I347" s="13">
        <v>86.148020680779325</v>
      </c>
      <c r="J347" s="13">
        <v>115.163292837311</v>
      </c>
      <c r="K347" s="7">
        <f t="shared" si="10"/>
        <v>102.54890829694325</v>
      </c>
      <c r="L347" s="7">
        <f t="shared" si="11"/>
        <v>92.782345601996255</v>
      </c>
      <c r="M347" s="3" t="s">
        <v>1140</v>
      </c>
    </row>
    <row r="348" spans="1:13" x14ac:dyDescent="0.35">
      <c r="A348" s="11" t="s">
        <v>1453</v>
      </c>
      <c r="B348" s="11" t="s">
        <v>11</v>
      </c>
      <c r="C348" s="11" t="s">
        <v>30</v>
      </c>
      <c r="D348" s="11" t="s">
        <v>114</v>
      </c>
      <c r="E348" s="11" t="s">
        <v>220</v>
      </c>
      <c r="F348" s="20">
        <v>6</v>
      </c>
      <c r="G348" s="21">
        <v>57.65</v>
      </c>
      <c r="H348" s="13">
        <v>99.107580087872719</v>
      </c>
      <c r="I348" s="13">
        <v>87.464508724714108</v>
      </c>
      <c r="J348" s="13">
        <v>114.0266336514072</v>
      </c>
      <c r="K348" s="7">
        <f t="shared" si="10"/>
        <v>104.06295909226635</v>
      </c>
      <c r="L348" s="7">
        <f t="shared" si="11"/>
        <v>94.152201083479085</v>
      </c>
      <c r="M348" s="3" t="s">
        <v>1231</v>
      </c>
    </row>
    <row r="349" spans="1:13" x14ac:dyDescent="0.35">
      <c r="A349" s="11" t="s">
        <v>1454</v>
      </c>
      <c r="B349" s="11" t="s">
        <v>11</v>
      </c>
      <c r="C349" s="11" t="s">
        <v>30</v>
      </c>
      <c r="D349" s="11" t="s">
        <v>114</v>
      </c>
      <c r="E349" s="11" t="s">
        <v>131</v>
      </c>
      <c r="F349" s="20">
        <v>76</v>
      </c>
      <c r="G349" s="21">
        <v>532.3399999999998</v>
      </c>
      <c r="H349" s="13">
        <v>95.881780092049183</v>
      </c>
      <c r="I349" s="13">
        <v>77.94435033245162</v>
      </c>
      <c r="J349" s="13">
        <v>113.6735173868136</v>
      </c>
      <c r="K349" s="7">
        <f t="shared" si="10"/>
        <v>100.67586909665165</v>
      </c>
      <c r="L349" s="7">
        <f t="shared" si="11"/>
        <v>91.087691087446714</v>
      </c>
      <c r="M349" s="3" t="s">
        <v>1152</v>
      </c>
    </row>
    <row r="350" spans="1:13" x14ac:dyDescent="0.35">
      <c r="A350" s="11" t="s">
        <v>1455</v>
      </c>
      <c r="B350" s="11" t="s">
        <v>11</v>
      </c>
      <c r="C350" s="11" t="s">
        <v>30</v>
      </c>
      <c r="D350" s="11" t="s">
        <v>1181</v>
      </c>
      <c r="E350" s="11" t="s">
        <v>43</v>
      </c>
      <c r="F350" s="20">
        <v>1</v>
      </c>
      <c r="G350" s="21">
        <v>7.05</v>
      </c>
      <c r="H350" s="13">
        <v>107.0992907801418</v>
      </c>
      <c r="I350" s="13">
        <v>107.0992907801418</v>
      </c>
      <c r="J350" s="13">
        <v>107.0992907801418</v>
      </c>
      <c r="K350" s="7">
        <f t="shared" si="10"/>
        <v>112.4542553191489</v>
      </c>
      <c r="L350" s="7">
        <f t="shared" si="11"/>
        <v>101.7443262411347</v>
      </c>
      <c r="M350" s="3" t="s">
        <v>1327</v>
      </c>
    </row>
    <row r="351" spans="1:13" x14ac:dyDescent="0.35">
      <c r="A351" s="11" t="s">
        <v>1456</v>
      </c>
      <c r="B351" s="11" t="s">
        <v>11</v>
      </c>
      <c r="C351" s="11" t="s">
        <v>30</v>
      </c>
      <c r="D351" s="11" t="s">
        <v>1181</v>
      </c>
      <c r="E351" s="11" t="s">
        <v>332</v>
      </c>
      <c r="F351" s="20">
        <v>1</v>
      </c>
      <c r="G351" s="21">
        <v>4.32</v>
      </c>
      <c r="H351" s="13">
        <v>97.092592592592581</v>
      </c>
      <c r="I351" s="13">
        <v>97.092592592592581</v>
      </c>
      <c r="J351" s="13">
        <v>97.092592592592581</v>
      </c>
      <c r="K351" s="7">
        <f t="shared" si="10"/>
        <v>101.94722222222221</v>
      </c>
      <c r="L351" s="7">
        <f t="shared" si="11"/>
        <v>92.237962962962953</v>
      </c>
      <c r="M351" s="3" t="s">
        <v>1189</v>
      </c>
    </row>
    <row r="352" spans="1:13" x14ac:dyDescent="0.35">
      <c r="A352" s="11" t="s">
        <v>1457</v>
      </c>
      <c r="B352" s="11" t="s">
        <v>11</v>
      </c>
      <c r="C352" s="11" t="s">
        <v>30</v>
      </c>
      <c r="D352" s="11" t="s">
        <v>1184</v>
      </c>
      <c r="E352" s="11" t="s">
        <v>39</v>
      </c>
      <c r="F352" s="20">
        <v>2</v>
      </c>
      <c r="G352" s="21">
        <v>20.56</v>
      </c>
      <c r="H352" s="13">
        <v>108.86624513618681</v>
      </c>
      <c r="I352" s="13">
        <v>107.58292801556421</v>
      </c>
      <c r="J352" s="13">
        <v>110.1495622568093</v>
      </c>
      <c r="K352" s="7">
        <f t="shared" si="10"/>
        <v>114.30955739299615</v>
      </c>
      <c r="L352" s="7">
        <f t="shared" si="11"/>
        <v>103.42293287937746</v>
      </c>
      <c r="M352" s="3" t="s">
        <v>1185</v>
      </c>
    </row>
    <row r="353" spans="1:13" x14ac:dyDescent="0.35">
      <c r="A353" s="11" t="s">
        <v>1458</v>
      </c>
      <c r="B353" s="11" t="s">
        <v>11</v>
      </c>
      <c r="C353" s="11" t="s">
        <v>30</v>
      </c>
      <c r="D353" s="11" t="s">
        <v>972</v>
      </c>
      <c r="E353" s="11" t="s">
        <v>101</v>
      </c>
      <c r="F353" s="20">
        <v>9</v>
      </c>
      <c r="G353" s="21">
        <v>25.56</v>
      </c>
      <c r="H353" s="13">
        <v>107.56</v>
      </c>
      <c r="I353" s="13">
        <v>103.68</v>
      </c>
      <c r="J353" s="13">
        <v>111.024</v>
      </c>
      <c r="K353" s="7">
        <f t="shared" si="10"/>
        <v>112.938</v>
      </c>
      <c r="L353" s="7">
        <f t="shared" si="11"/>
        <v>102.182</v>
      </c>
      <c r="M353" s="3" t="s">
        <v>1182</v>
      </c>
    </row>
    <row r="354" spans="1:13" x14ac:dyDescent="0.35">
      <c r="A354" s="11" t="s">
        <v>1459</v>
      </c>
      <c r="B354" s="11" t="s">
        <v>11</v>
      </c>
      <c r="C354" s="11" t="s">
        <v>30</v>
      </c>
      <c r="D354" s="11" t="s">
        <v>972</v>
      </c>
      <c r="E354" s="11" t="s">
        <v>84</v>
      </c>
      <c r="F354" s="20">
        <v>2</v>
      </c>
      <c r="G354" s="21">
        <v>14.8</v>
      </c>
      <c r="H354" s="13">
        <v>112.4277027027027</v>
      </c>
      <c r="I354" s="13">
        <v>107.5679054054054</v>
      </c>
      <c r="J354" s="13">
        <v>117.28749999999999</v>
      </c>
      <c r="K354" s="7">
        <f t="shared" si="10"/>
        <v>118.04908783783785</v>
      </c>
      <c r="L354" s="7">
        <f t="shared" si="11"/>
        <v>106.80631756756756</v>
      </c>
      <c r="M354" s="3" t="s">
        <v>1185</v>
      </c>
    </row>
    <row r="355" spans="1:13" x14ac:dyDescent="0.35">
      <c r="A355" s="11" t="s">
        <v>1460</v>
      </c>
      <c r="B355" s="11" t="s">
        <v>11</v>
      </c>
      <c r="C355" s="11" t="s">
        <v>30</v>
      </c>
      <c r="D355" s="11" t="s">
        <v>1188</v>
      </c>
      <c r="E355" s="11" t="s">
        <v>43</v>
      </c>
      <c r="F355" s="20">
        <v>1</v>
      </c>
      <c r="G355" s="21">
        <v>4.03</v>
      </c>
      <c r="H355" s="13">
        <v>108.1935483870968</v>
      </c>
      <c r="I355" s="13">
        <v>108.1935483870968</v>
      </c>
      <c r="J355" s="13">
        <v>108.1935483870968</v>
      </c>
      <c r="K355" s="7">
        <f t="shared" si="10"/>
        <v>113.60322580645165</v>
      </c>
      <c r="L355" s="7">
        <f t="shared" si="11"/>
        <v>102.78387096774195</v>
      </c>
      <c r="M355" s="3" t="s">
        <v>1189</v>
      </c>
    </row>
    <row r="356" spans="1:13" x14ac:dyDescent="0.35">
      <c r="A356" s="11" t="s">
        <v>1461</v>
      </c>
      <c r="B356" s="11" t="s">
        <v>11</v>
      </c>
      <c r="C356" s="11" t="s">
        <v>30</v>
      </c>
      <c r="D356" s="11" t="s">
        <v>1188</v>
      </c>
      <c r="E356" s="11" t="s">
        <v>131</v>
      </c>
      <c r="F356" s="20">
        <v>2</v>
      </c>
      <c r="G356" s="21">
        <v>7.82</v>
      </c>
      <c r="H356" s="13">
        <v>113.0742752907918</v>
      </c>
      <c r="I356" s="13">
        <v>111.0589717065313</v>
      </c>
      <c r="J356" s="13">
        <v>115.0895788750523</v>
      </c>
      <c r="K356" s="7">
        <f t="shared" si="10"/>
        <v>118.72798905533139</v>
      </c>
      <c r="L356" s="7">
        <f t="shared" si="11"/>
        <v>107.42056152625221</v>
      </c>
      <c r="M356" s="3" t="s">
        <v>1189</v>
      </c>
    </row>
    <row r="357" spans="1:13" x14ac:dyDescent="0.35">
      <c r="A357" s="11" t="s">
        <v>1462</v>
      </c>
      <c r="B357" s="11" t="s">
        <v>11</v>
      </c>
      <c r="C357" s="11" t="s">
        <v>30</v>
      </c>
      <c r="D357" s="11" t="s">
        <v>1005</v>
      </c>
      <c r="E357" s="11" t="s">
        <v>101</v>
      </c>
      <c r="F357" s="20">
        <v>2</v>
      </c>
      <c r="G357" s="21">
        <v>19.2</v>
      </c>
      <c r="H357" s="13">
        <v>91.413541666666674</v>
      </c>
      <c r="I357" s="13">
        <v>86.506770833333348</v>
      </c>
      <c r="J357" s="13">
        <v>96.3203125</v>
      </c>
      <c r="K357" s="7">
        <f t="shared" si="10"/>
        <v>95.984218750000011</v>
      </c>
      <c r="L357" s="7">
        <f t="shared" si="11"/>
        <v>86.842864583333338</v>
      </c>
      <c r="M357" s="3" t="s">
        <v>1185</v>
      </c>
    </row>
    <row r="358" spans="1:13" x14ac:dyDescent="0.35">
      <c r="A358" s="11" t="s">
        <v>1463</v>
      </c>
      <c r="B358" s="11" t="s">
        <v>11</v>
      </c>
      <c r="C358" s="11" t="s">
        <v>30</v>
      </c>
      <c r="D358" s="11" t="s">
        <v>1005</v>
      </c>
      <c r="E358" s="11" t="s">
        <v>62</v>
      </c>
      <c r="F358" s="20">
        <v>8</v>
      </c>
      <c r="G358" s="21">
        <v>46.16</v>
      </c>
      <c r="H358" s="13">
        <v>129.87380469429149</v>
      </c>
      <c r="I358" s="13">
        <v>109.8579035062301</v>
      </c>
      <c r="J358" s="13">
        <v>140.06947368421049</v>
      </c>
      <c r="K358" s="7">
        <f t="shared" si="10"/>
        <v>136.36749492900609</v>
      </c>
      <c r="L358" s="7">
        <f t="shared" si="11"/>
        <v>123.38011445957692</v>
      </c>
      <c r="M358" s="3" t="s">
        <v>1226</v>
      </c>
    </row>
    <row r="359" spans="1:13" x14ac:dyDescent="0.35">
      <c r="A359" s="11" t="s">
        <v>1464</v>
      </c>
      <c r="B359" s="11" t="s">
        <v>11</v>
      </c>
      <c r="C359" s="11" t="s">
        <v>30</v>
      </c>
      <c r="D359" s="11" t="s">
        <v>1005</v>
      </c>
      <c r="E359" s="11" t="s">
        <v>39</v>
      </c>
      <c r="F359" s="20">
        <v>37</v>
      </c>
      <c r="G359" s="21">
        <v>395.12999999999988</v>
      </c>
      <c r="H359" s="13">
        <v>121.450184501845</v>
      </c>
      <c r="I359" s="13">
        <v>107.7258566978193</v>
      </c>
      <c r="J359" s="13">
        <v>131.09419496166481</v>
      </c>
      <c r="K359" s="7">
        <f t="shared" si="10"/>
        <v>127.52269372693726</v>
      </c>
      <c r="L359" s="7">
        <f t="shared" si="11"/>
        <v>115.37767527675274</v>
      </c>
      <c r="M359" s="3" t="s">
        <v>1193</v>
      </c>
    </row>
    <row r="360" spans="1:13" x14ac:dyDescent="0.35">
      <c r="A360" s="11" t="s">
        <v>1465</v>
      </c>
      <c r="B360" s="11" t="s">
        <v>11</v>
      </c>
      <c r="C360" s="11" t="s">
        <v>30</v>
      </c>
      <c r="D360" s="11" t="s">
        <v>1005</v>
      </c>
      <c r="E360" s="11" t="s">
        <v>84</v>
      </c>
      <c r="F360" s="20">
        <v>4</v>
      </c>
      <c r="G360" s="21">
        <v>18</v>
      </c>
      <c r="H360" s="13">
        <v>86.161111111111111</v>
      </c>
      <c r="I360" s="13">
        <v>82.00611111111111</v>
      </c>
      <c r="J360" s="13">
        <v>96.99222222222221</v>
      </c>
      <c r="K360" s="7">
        <f t="shared" si="10"/>
        <v>90.469166666666666</v>
      </c>
      <c r="L360" s="7">
        <f t="shared" si="11"/>
        <v>81.853055555555557</v>
      </c>
      <c r="M360" s="3" t="s">
        <v>1466</v>
      </c>
    </row>
    <row r="361" spans="1:13" x14ac:dyDescent="0.35">
      <c r="A361" s="11" t="s">
        <v>1467</v>
      </c>
      <c r="B361" s="11" t="s">
        <v>11</v>
      </c>
      <c r="C361" s="11" t="s">
        <v>30</v>
      </c>
      <c r="D361" s="11" t="s">
        <v>1005</v>
      </c>
      <c r="E361" s="11" t="s">
        <v>43</v>
      </c>
      <c r="F361" s="20">
        <v>1</v>
      </c>
      <c r="G361" s="21">
        <v>2.15</v>
      </c>
      <c r="H361" s="13">
        <v>91.511627906976742</v>
      </c>
      <c r="I361" s="13">
        <v>91.511627906976742</v>
      </c>
      <c r="J361" s="13">
        <v>91.511627906976742</v>
      </c>
      <c r="K361" s="7">
        <f t="shared" si="10"/>
        <v>96.087209302325576</v>
      </c>
      <c r="L361" s="7">
        <f t="shared" si="11"/>
        <v>86.936046511627907</v>
      </c>
      <c r="M361" s="3" t="s">
        <v>1189</v>
      </c>
    </row>
    <row r="362" spans="1:13" x14ac:dyDescent="0.35">
      <c r="A362" s="11" t="s">
        <v>1468</v>
      </c>
      <c r="B362" s="11" t="s">
        <v>11</v>
      </c>
      <c r="C362" s="11" t="s">
        <v>30</v>
      </c>
      <c r="D362" s="11" t="s">
        <v>1005</v>
      </c>
      <c r="E362" s="11" t="s">
        <v>35</v>
      </c>
      <c r="F362" s="20">
        <v>6</v>
      </c>
      <c r="G362" s="21">
        <v>48.15863572274548</v>
      </c>
      <c r="H362" s="13">
        <v>134.67805374163049</v>
      </c>
      <c r="I362" s="13">
        <v>131.76050138596969</v>
      </c>
      <c r="J362" s="13">
        <v>137.5160993149228</v>
      </c>
      <c r="K362" s="7">
        <f t="shared" si="10"/>
        <v>141.41195642871202</v>
      </c>
      <c r="L362" s="7">
        <f t="shared" si="11"/>
        <v>127.94415105454897</v>
      </c>
      <c r="M362" s="3" t="s">
        <v>1226</v>
      </c>
    </row>
    <row r="363" spans="1:13" x14ac:dyDescent="0.35">
      <c r="A363" s="11" t="s">
        <v>1469</v>
      </c>
      <c r="B363" s="11" t="s">
        <v>11</v>
      </c>
      <c r="C363" s="11" t="s">
        <v>30</v>
      </c>
      <c r="D363" s="11" t="s">
        <v>1005</v>
      </c>
      <c r="E363" s="11" t="s">
        <v>73</v>
      </c>
      <c r="F363" s="20">
        <v>3</v>
      </c>
      <c r="G363" s="21">
        <v>61.17</v>
      </c>
      <c r="H363" s="13">
        <v>113.8955370279549</v>
      </c>
      <c r="I363" s="13">
        <v>101.5191270230505</v>
      </c>
      <c r="J363" s="13">
        <v>120.5117704757234</v>
      </c>
      <c r="K363" s="7">
        <f t="shared" si="10"/>
        <v>119.59031387935265</v>
      </c>
      <c r="L363" s="7">
        <f t="shared" si="11"/>
        <v>108.20076017655715</v>
      </c>
      <c r="M363" s="3" t="s">
        <v>1226</v>
      </c>
    </row>
    <row r="364" spans="1:13" x14ac:dyDescent="0.35">
      <c r="A364" s="11" t="s">
        <v>1470</v>
      </c>
      <c r="B364" s="11" t="s">
        <v>11</v>
      </c>
      <c r="C364" s="11" t="s">
        <v>30</v>
      </c>
      <c r="D364" s="11" t="s">
        <v>1005</v>
      </c>
      <c r="E364" s="11" t="s">
        <v>1267</v>
      </c>
      <c r="F364" s="20">
        <v>2</v>
      </c>
      <c r="G364" s="21">
        <v>25.88</v>
      </c>
      <c r="H364" s="13">
        <v>119.98415765069549</v>
      </c>
      <c r="I364" s="13">
        <v>115.32631375579599</v>
      </c>
      <c r="J364" s="13">
        <v>124.64200154559509</v>
      </c>
      <c r="K364" s="7">
        <f t="shared" si="10"/>
        <v>125.98336553323027</v>
      </c>
      <c r="L364" s="7">
        <f t="shared" si="11"/>
        <v>113.98494976816072</v>
      </c>
      <c r="M364" s="3" t="s">
        <v>1226</v>
      </c>
    </row>
    <row r="365" spans="1:13" x14ac:dyDescent="0.35">
      <c r="A365" s="11" t="s">
        <v>1471</v>
      </c>
      <c r="B365" s="11" t="s">
        <v>11</v>
      </c>
      <c r="C365" s="11" t="s">
        <v>30</v>
      </c>
      <c r="D365" s="11" t="s">
        <v>1005</v>
      </c>
      <c r="E365" s="11" t="s">
        <v>59</v>
      </c>
      <c r="F365" s="20">
        <v>1</v>
      </c>
      <c r="G365" s="21">
        <v>2.67</v>
      </c>
      <c r="H365" s="13">
        <v>102.1460674157303</v>
      </c>
      <c r="I365" s="13">
        <v>102.1460674157303</v>
      </c>
      <c r="J365" s="13">
        <v>102.1460674157303</v>
      </c>
      <c r="K365" s="7">
        <f t="shared" si="10"/>
        <v>107.25337078651683</v>
      </c>
      <c r="L365" s="7">
        <f t="shared" si="11"/>
        <v>97.038764044943775</v>
      </c>
      <c r="M365" s="3" t="s">
        <v>1189</v>
      </c>
    </row>
    <row r="366" spans="1:13" x14ac:dyDescent="0.35">
      <c r="A366" s="11" t="s">
        <v>1472</v>
      </c>
      <c r="B366" s="11" t="s">
        <v>11</v>
      </c>
      <c r="C366" s="11" t="s">
        <v>30</v>
      </c>
      <c r="D366" s="11" t="s">
        <v>1005</v>
      </c>
      <c r="E366" s="11" t="s">
        <v>54</v>
      </c>
      <c r="F366" s="20">
        <v>13</v>
      </c>
      <c r="G366" s="21">
        <v>89.259999999999991</v>
      </c>
      <c r="H366" s="13">
        <v>114.6929316338354</v>
      </c>
      <c r="I366" s="13">
        <v>97.586337760910823</v>
      </c>
      <c r="J366" s="13">
        <v>120.876660341556</v>
      </c>
      <c r="K366" s="7">
        <f t="shared" si="10"/>
        <v>120.42757821552718</v>
      </c>
      <c r="L366" s="7">
        <f t="shared" si="11"/>
        <v>108.95828505214362</v>
      </c>
      <c r="M366" s="3" t="s">
        <v>1152</v>
      </c>
    </row>
    <row r="367" spans="1:13" x14ac:dyDescent="0.35">
      <c r="A367" s="11" t="s">
        <v>1473</v>
      </c>
      <c r="B367" s="11" t="s">
        <v>11</v>
      </c>
      <c r="C367" s="11" t="s">
        <v>30</v>
      </c>
      <c r="D367" s="11" t="s">
        <v>1005</v>
      </c>
      <c r="E367" s="11" t="s">
        <v>107</v>
      </c>
      <c r="F367" s="20">
        <v>1</v>
      </c>
      <c r="G367" s="21">
        <v>19.27</v>
      </c>
      <c r="H367" s="13">
        <v>71.752983912817854</v>
      </c>
      <c r="I367" s="13">
        <v>71.752983912817854</v>
      </c>
      <c r="J367" s="13">
        <v>71.752983912817854</v>
      </c>
      <c r="K367" s="7">
        <f t="shared" si="10"/>
        <v>75.340633108458746</v>
      </c>
      <c r="L367" s="7">
        <f t="shared" si="11"/>
        <v>68.165334717176961</v>
      </c>
      <c r="M367" s="3" t="s">
        <v>1189</v>
      </c>
    </row>
    <row r="368" spans="1:13" x14ac:dyDescent="0.35">
      <c r="A368" s="11" t="s">
        <v>1474</v>
      </c>
      <c r="B368" s="11" t="s">
        <v>11</v>
      </c>
      <c r="C368" s="11" t="s">
        <v>30</v>
      </c>
      <c r="D368" s="11" t="s">
        <v>1005</v>
      </c>
      <c r="E368" s="11" t="s">
        <v>28</v>
      </c>
      <c r="F368" s="20">
        <v>16</v>
      </c>
      <c r="G368" s="21">
        <v>69.180000000000007</v>
      </c>
      <c r="H368" s="13">
        <v>100.03113533834581</v>
      </c>
      <c r="I368" s="13">
        <v>91.173148148148144</v>
      </c>
      <c r="J368" s="13">
        <v>110.7770530523256</v>
      </c>
      <c r="K368" s="7">
        <f t="shared" si="10"/>
        <v>105.0326921052631</v>
      </c>
      <c r="L368" s="7">
        <f t="shared" si="11"/>
        <v>95.029578571428516</v>
      </c>
      <c r="M368" s="3" t="s">
        <v>1152</v>
      </c>
    </row>
    <row r="369" spans="1:13" x14ac:dyDescent="0.35">
      <c r="A369" s="11" t="s">
        <v>1475</v>
      </c>
      <c r="B369" s="11" t="s">
        <v>11</v>
      </c>
      <c r="C369" s="11" t="s">
        <v>30</v>
      </c>
      <c r="D369" s="11" t="s">
        <v>1005</v>
      </c>
      <c r="E369" s="11" t="s">
        <v>131</v>
      </c>
      <c r="F369" s="20">
        <v>10</v>
      </c>
      <c r="G369" s="21">
        <v>35.26</v>
      </c>
      <c r="H369" s="13">
        <v>102.764705882353</v>
      </c>
      <c r="I369" s="13">
        <v>99.539107950872662</v>
      </c>
      <c r="J369" s="13">
        <v>110.89357958324101</v>
      </c>
      <c r="K369" s="7">
        <f t="shared" si="10"/>
        <v>107.90294117647065</v>
      </c>
      <c r="L369" s="7">
        <f t="shared" si="11"/>
        <v>97.62647058823535</v>
      </c>
      <c r="M369" s="3" t="s">
        <v>1125</v>
      </c>
    </row>
    <row r="370" spans="1:13" x14ac:dyDescent="0.35">
      <c r="A370" s="11" t="s">
        <v>1476</v>
      </c>
      <c r="B370" s="11" t="s">
        <v>11</v>
      </c>
      <c r="C370" s="11" t="s">
        <v>30</v>
      </c>
      <c r="D370" s="11" t="s">
        <v>1192</v>
      </c>
      <c r="E370" s="11" t="s">
        <v>62</v>
      </c>
      <c r="F370" s="20">
        <v>6</v>
      </c>
      <c r="G370" s="21">
        <v>56.040000000000013</v>
      </c>
      <c r="H370" s="13">
        <v>128.6678832116788</v>
      </c>
      <c r="I370" s="13">
        <v>102.8359754901455</v>
      </c>
      <c r="J370" s="13">
        <v>129.894123863017</v>
      </c>
      <c r="K370" s="7">
        <f t="shared" si="10"/>
        <v>135.10127737226276</v>
      </c>
      <c r="L370" s="7">
        <f t="shared" si="11"/>
        <v>122.23448905109485</v>
      </c>
      <c r="M370" s="3" t="s">
        <v>1137</v>
      </c>
    </row>
    <row r="371" spans="1:13" x14ac:dyDescent="0.35">
      <c r="A371" s="11" t="s">
        <v>1477</v>
      </c>
      <c r="B371" s="11" t="s">
        <v>11</v>
      </c>
      <c r="C371" s="11" t="s">
        <v>30</v>
      </c>
      <c r="D371" s="11" t="s">
        <v>1192</v>
      </c>
      <c r="E371" s="11" t="s">
        <v>39</v>
      </c>
      <c r="F371" s="20">
        <v>2</v>
      </c>
      <c r="G371" s="21">
        <v>9.9600000000000009</v>
      </c>
      <c r="H371" s="13">
        <v>126.7530120481928</v>
      </c>
      <c r="I371" s="13">
        <v>120.89357429718871</v>
      </c>
      <c r="J371" s="13">
        <v>132.61244979919681</v>
      </c>
      <c r="K371" s="7">
        <f t="shared" si="10"/>
        <v>133.09066265060244</v>
      </c>
      <c r="L371" s="7">
        <f t="shared" si="11"/>
        <v>120.41536144578316</v>
      </c>
      <c r="M371" s="3" t="s">
        <v>1185</v>
      </c>
    </row>
    <row r="372" spans="1:13" x14ac:dyDescent="0.35">
      <c r="A372" s="11" t="s">
        <v>1478</v>
      </c>
      <c r="B372" s="11" t="s">
        <v>11</v>
      </c>
      <c r="C372" s="11" t="s">
        <v>30</v>
      </c>
      <c r="D372" s="11" t="s">
        <v>1192</v>
      </c>
      <c r="E372" s="11" t="s">
        <v>84</v>
      </c>
      <c r="F372" s="20">
        <v>4</v>
      </c>
      <c r="G372" s="21">
        <v>19.88</v>
      </c>
      <c r="H372" s="13">
        <v>101.57042253521131</v>
      </c>
      <c r="I372" s="13">
        <v>87.327967806841059</v>
      </c>
      <c r="J372" s="13">
        <v>115.364185110664</v>
      </c>
      <c r="K372" s="7">
        <f t="shared" si="10"/>
        <v>106.64894366197187</v>
      </c>
      <c r="L372" s="7">
        <f t="shared" si="11"/>
        <v>96.491901408450744</v>
      </c>
      <c r="M372" s="3" t="s">
        <v>1231</v>
      </c>
    </row>
    <row r="373" spans="1:13" x14ac:dyDescent="0.35">
      <c r="A373" s="11" t="s">
        <v>1479</v>
      </c>
      <c r="B373" s="11" t="s">
        <v>11</v>
      </c>
      <c r="C373" s="11" t="s">
        <v>30</v>
      </c>
      <c r="D373" s="11" t="s">
        <v>1192</v>
      </c>
      <c r="E373" s="11" t="s">
        <v>43</v>
      </c>
      <c r="F373" s="20">
        <v>9</v>
      </c>
      <c r="G373" s="21">
        <v>33.880000000000003</v>
      </c>
      <c r="H373" s="13">
        <v>76.274939172749384</v>
      </c>
      <c r="I373" s="13">
        <v>65.474452554744531</v>
      </c>
      <c r="J373" s="13">
        <v>86.077858880778578</v>
      </c>
      <c r="K373" s="7">
        <f t="shared" si="10"/>
        <v>80.088686131386851</v>
      </c>
      <c r="L373" s="7">
        <f t="shared" si="11"/>
        <v>72.461192214111918</v>
      </c>
      <c r="M373" s="3" t="s">
        <v>1193</v>
      </c>
    </row>
    <row r="374" spans="1:13" x14ac:dyDescent="0.35">
      <c r="A374" s="11" t="s">
        <v>1480</v>
      </c>
      <c r="B374" s="11" t="s">
        <v>11</v>
      </c>
      <c r="C374" s="11" t="s">
        <v>30</v>
      </c>
      <c r="D374" s="11" t="s">
        <v>1192</v>
      </c>
      <c r="E374" s="11" t="s">
        <v>147</v>
      </c>
      <c r="F374" s="20">
        <v>1</v>
      </c>
      <c r="G374" s="21">
        <v>3.07</v>
      </c>
      <c r="H374" s="13">
        <v>111.4071661237785</v>
      </c>
      <c r="I374" s="13">
        <v>111.4071661237785</v>
      </c>
      <c r="J374" s="13">
        <v>111.4071661237785</v>
      </c>
      <c r="K374" s="7">
        <f t="shared" si="10"/>
        <v>116.97752442996743</v>
      </c>
      <c r="L374" s="7">
        <f t="shared" si="11"/>
        <v>105.83680781758956</v>
      </c>
      <c r="M374" s="3" t="s">
        <v>1189</v>
      </c>
    </row>
    <row r="375" spans="1:13" x14ac:dyDescent="0.35">
      <c r="A375" s="11" t="s">
        <v>1481</v>
      </c>
      <c r="B375" s="11" t="s">
        <v>11</v>
      </c>
      <c r="C375" s="11" t="s">
        <v>30</v>
      </c>
      <c r="D375" s="11" t="s">
        <v>1192</v>
      </c>
      <c r="E375" s="11" t="s">
        <v>59</v>
      </c>
      <c r="F375" s="20">
        <v>4</v>
      </c>
      <c r="G375" s="21">
        <v>48.92</v>
      </c>
      <c r="H375" s="13">
        <v>115.7530662305805</v>
      </c>
      <c r="I375" s="13">
        <v>88.741005723630423</v>
      </c>
      <c r="J375" s="13">
        <v>141.7757563368765</v>
      </c>
      <c r="K375" s="7">
        <f t="shared" si="10"/>
        <v>121.54071954210953</v>
      </c>
      <c r="L375" s="7">
        <f t="shared" si="11"/>
        <v>109.96541291905147</v>
      </c>
      <c r="M375" s="3" t="s">
        <v>1231</v>
      </c>
    </row>
    <row r="376" spans="1:13" x14ac:dyDescent="0.35">
      <c r="A376" s="11" t="s">
        <v>1482</v>
      </c>
      <c r="B376" s="11" t="s">
        <v>11</v>
      </c>
      <c r="C376" s="11" t="s">
        <v>30</v>
      </c>
      <c r="D376" s="11" t="s">
        <v>1192</v>
      </c>
      <c r="E376" s="11" t="s">
        <v>54</v>
      </c>
      <c r="F376" s="20">
        <v>1</v>
      </c>
      <c r="G376" s="21">
        <v>1.92</v>
      </c>
      <c r="H376" s="13">
        <v>117.640625</v>
      </c>
      <c r="I376" s="13">
        <v>117.640625</v>
      </c>
      <c r="J376" s="13">
        <v>117.640625</v>
      </c>
      <c r="K376" s="7">
        <f t="shared" si="10"/>
        <v>123.52265625000001</v>
      </c>
      <c r="L376" s="7">
        <f t="shared" si="11"/>
        <v>111.75859374999999</v>
      </c>
      <c r="M376" s="3" t="s">
        <v>1189</v>
      </c>
    </row>
    <row r="377" spans="1:13" x14ac:dyDescent="0.35">
      <c r="A377" s="11" t="s">
        <v>1483</v>
      </c>
      <c r="B377" s="11" t="s">
        <v>11</v>
      </c>
      <c r="C377" s="11" t="s">
        <v>30</v>
      </c>
      <c r="D377" s="11" t="s">
        <v>1192</v>
      </c>
      <c r="E377" s="11" t="s">
        <v>28</v>
      </c>
      <c r="F377" s="20">
        <v>5</v>
      </c>
      <c r="G377" s="21">
        <v>25.19</v>
      </c>
      <c r="H377" s="13">
        <v>131.05154639175259</v>
      </c>
      <c r="I377" s="13">
        <v>101.7542955326461</v>
      </c>
      <c r="J377" s="13">
        <v>158.52061855670101</v>
      </c>
      <c r="K377" s="7">
        <f t="shared" si="10"/>
        <v>137.60412371134024</v>
      </c>
      <c r="L377" s="7">
        <f t="shared" si="11"/>
        <v>124.49896907216495</v>
      </c>
      <c r="M377" s="3" t="s">
        <v>1231</v>
      </c>
    </row>
    <row r="378" spans="1:13" x14ac:dyDescent="0.35">
      <c r="A378" s="11" t="s">
        <v>1484</v>
      </c>
      <c r="B378" s="11" t="s">
        <v>11</v>
      </c>
      <c r="C378" s="11" t="s">
        <v>30</v>
      </c>
      <c r="D378" s="11" t="s">
        <v>1192</v>
      </c>
      <c r="E378" s="11" t="s">
        <v>186</v>
      </c>
      <c r="F378" s="20">
        <v>2</v>
      </c>
      <c r="G378" s="21">
        <v>34.020000000000003</v>
      </c>
      <c r="H378" s="13">
        <v>83.423280423280403</v>
      </c>
      <c r="I378" s="13">
        <v>74.547031158142261</v>
      </c>
      <c r="J378" s="13">
        <v>92.299529688418559</v>
      </c>
      <c r="K378" s="7">
        <f t="shared" si="10"/>
        <v>87.59444444444442</v>
      </c>
      <c r="L378" s="7">
        <f t="shared" si="11"/>
        <v>79.252116402116386</v>
      </c>
      <c r="M378" s="3" t="s">
        <v>1226</v>
      </c>
    </row>
    <row r="379" spans="1:13" x14ac:dyDescent="0.35">
      <c r="A379" s="11" t="s">
        <v>1485</v>
      </c>
      <c r="B379" s="11" t="s">
        <v>11</v>
      </c>
      <c r="C379" s="11" t="s">
        <v>30</v>
      </c>
      <c r="D379" s="11" t="s">
        <v>1192</v>
      </c>
      <c r="E379" s="11" t="s">
        <v>131</v>
      </c>
      <c r="F379" s="20">
        <v>9</v>
      </c>
      <c r="G379" s="21">
        <v>31.32</v>
      </c>
      <c r="H379" s="13">
        <v>94.956989247311824</v>
      </c>
      <c r="I379" s="13">
        <v>94.265957446808514</v>
      </c>
      <c r="J379" s="13">
        <v>108.1595744680851</v>
      </c>
      <c r="K379" s="7">
        <f t="shared" si="10"/>
        <v>99.704838709677418</v>
      </c>
      <c r="L379" s="7">
        <f t="shared" si="11"/>
        <v>90.209139784946231</v>
      </c>
      <c r="M379" s="3" t="s">
        <v>1240</v>
      </c>
    </row>
    <row r="380" spans="1:13" x14ac:dyDescent="0.35">
      <c r="A380" s="11" t="s">
        <v>1486</v>
      </c>
      <c r="B380" s="11" t="s">
        <v>11</v>
      </c>
      <c r="C380" s="11" t="s">
        <v>30</v>
      </c>
      <c r="D380" s="11" t="s">
        <v>489</v>
      </c>
      <c r="E380" s="11" t="s">
        <v>360</v>
      </c>
      <c r="F380" s="20">
        <v>1</v>
      </c>
      <c r="G380" s="21">
        <v>9.1199999999999992</v>
      </c>
      <c r="H380" s="13">
        <v>68.263157894736835</v>
      </c>
      <c r="I380" s="13">
        <v>68.263157894736835</v>
      </c>
      <c r="J380" s="13">
        <v>68.263157894736835</v>
      </c>
      <c r="K380" s="7">
        <f t="shared" si="10"/>
        <v>71.676315789473676</v>
      </c>
      <c r="L380" s="7">
        <f t="shared" si="11"/>
        <v>64.849999999999994</v>
      </c>
      <c r="M380" s="3" t="s">
        <v>1189</v>
      </c>
    </row>
    <row r="381" spans="1:13" x14ac:dyDescent="0.35">
      <c r="A381" s="11" t="s">
        <v>1487</v>
      </c>
      <c r="B381" s="11" t="s">
        <v>11</v>
      </c>
      <c r="C381" s="11" t="s">
        <v>30</v>
      </c>
      <c r="D381" s="11" t="s">
        <v>489</v>
      </c>
      <c r="E381" s="11" t="s">
        <v>364</v>
      </c>
      <c r="F381" s="20">
        <v>2</v>
      </c>
      <c r="G381" s="21">
        <v>25.5</v>
      </c>
      <c r="H381" s="13">
        <v>105.9517647058823</v>
      </c>
      <c r="I381" s="13">
        <v>105.7256862745098</v>
      </c>
      <c r="J381" s="13">
        <v>106.1778431372549</v>
      </c>
      <c r="K381" s="7">
        <f t="shared" si="10"/>
        <v>111.24935294117641</v>
      </c>
      <c r="L381" s="7">
        <f t="shared" si="11"/>
        <v>100.65417647058818</v>
      </c>
      <c r="M381" s="3" t="s">
        <v>1226</v>
      </c>
    </row>
    <row r="382" spans="1:13" x14ac:dyDescent="0.35">
      <c r="A382" s="11" t="s">
        <v>1488</v>
      </c>
      <c r="B382" s="11" t="s">
        <v>11</v>
      </c>
      <c r="C382" s="11" t="s">
        <v>30</v>
      </c>
      <c r="D382" s="11" t="s">
        <v>489</v>
      </c>
      <c r="E382" s="11" t="s">
        <v>101</v>
      </c>
      <c r="F382" s="20">
        <v>12</v>
      </c>
      <c r="G382" s="21">
        <v>67.16</v>
      </c>
      <c r="H382" s="13">
        <v>116.67156862745099</v>
      </c>
      <c r="I382" s="13">
        <v>98.034413048261698</v>
      </c>
      <c r="J382" s="13">
        <v>124.0316259172381</v>
      </c>
      <c r="K382" s="7">
        <f t="shared" si="10"/>
        <v>122.50514705882355</v>
      </c>
      <c r="L382" s="7">
        <f t="shared" si="11"/>
        <v>110.83799019607844</v>
      </c>
      <c r="M382" s="3" t="s">
        <v>1182</v>
      </c>
    </row>
    <row r="383" spans="1:13" x14ac:dyDescent="0.35">
      <c r="A383" s="11" t="s">
        <v>1489</v>
      </c>
      <c r="B383" s="11" t="s">
        <v>11</v>
      </c>
      <c r="C383" s="11" t="s">
        <v>30</v>
      </c>
      <c r="D383" s="11" t="s">
        <v>489</v>
      </c>
      <c r="E383" s="11" t="s">
        <v>62</v>
      </c>
      <c r="F383" s="20">
        <v>27</v>
      </c>
      <c r="G383" s="21">
        <v>438.88</v>
      </c>
      <c r="H383" s="13">
        <v>122.57271906052399</v>
      </c>
      <c r="I383" s="13">
        <v>111.4923389300925</v>
      </c>
      <c r="J383" s="13">
        <v>131.76966578510221</v>
      </c>
      <c r="K383" s="7">
        <f t="shared" si="10"/>
        <v>128.7013550135502</v>
      </c>
      <c r="L383" s="7">
        <f t="shared" si="11"/>
        <v>116.44408310749779</v>
      </c>
      <c r="M383" s="3" t="s">
        <v>1182</v>
      </c>
    </row>
    <row r="384" spans="1:13" x14ac:dyDescent="0.35">
      <c r="A384" s="11" t="s">
        <v>1490</v>
      </c>
      <c r="B384" s="11" t="s">
        <v>11</v>
      </c>
      <c r="C384" s="11" t="s">
        <v>30</v>
      </c>
      <c r="D384" s="11" t="s">
        <v>489</v>
      </c>
      <c r="E384" s="11" t="s">
        <v>39</v>
      </c>
      <c r="F384" s="20">
        <v>164</v>
      </c>
      <c r="G384" s="21">
        <v>1853.75</v>
      </c>
      <c r="H384" s="13">
        <v>120.2747123490805</v>
      </c>
      <c r="I384" s="13">
        <v>104.90920714799221</v>
      </c>
      <c r="J384" s="13">
        <v>133.5223472290343</v>
      </c>
      <c r="K384" s="7">
        <f t="shared" si="10"/>
        <v>126.28844796653453</v>
      </c>
      <c r="L384" s="7">
        <f t="shared" si="11"/>
        <v>114.26097673162647</v>
      </c>
      <c r="M384" s="3" t="s">
        <v>1152</v>
      </c>
    </row>
    <row r="385" spans="1:13" x14ac:dyDescent="0.35">
      <c r="A385" s="11" t="s">
        <v>1491</v>
      </c>
      <c r="B385" s="11" t="s">
        <v>11</v>
      </c>
      <c r="C385" s="11" t="s">
        <v>30</v>
      </c>
      <c r="D385" s="11" t="s">
        <v>489</v>
      </c>
      <c r="E385" s="11" t="s">
        <v>84</v>
      </c>
      <c r="F385" s="20">
        <v>56</v>
      </c>
      <c r="G385" s="21">
        <v>490.98</v>
      </c>
      <c r="H385" s="13">
        <v>106.0105051773367</v>
      </c>
      <c r="I385" s="13">
        <v>93.764007936507937</v>
      </c>
      <c r="J385" s="13">
        <v>123.16716796134899</v>
      </c>
      <c r="K385" s="7">
        <f t="shared" si="10"/>
        <v>111.31103043620354</v>
      </c>
      <c r="L385" s="7">
        <f t="shared" si="11"/>
        <v>100.70997991846986</v>
      </c>
      <c r="M385" s="3" t="s">
        <v>1193</v>
      </c>
    </row>
    <row r="386" spans="1:13" x14ac:dyDescent="0.35">
      <c r="A386" s="11" t="s">
        <v>1492</v>
      </c>
      <c r="B386" s="11" t="s">
        <v>11</v>
      </c>
      <c r="C386" s="11" t="s">
        <v>30</v>
      </c>
      <c r="D386" s="11" t="s">
        <v>489</v>
      </c>
      <c r="E386" s="11" t="s">
        <v>43</v>
      </c>
      <c r="F386" s="20">
        <v>39</v>
      </c>
      <c r="G386" s="21">
        <v>524.74</v>
      </c>
      <c r="H386" s="13">
        <v>108.4665012406948</v>
      </c>
      <c r="I386" s="13">
        <v>97.674660633484166</v>
      </c>
      <c r="J386" s="13">
        <v>118.5965368432409</v>
      </c>
      <c r="K386" s="7">
        <f t="shared" si="10"/>
        <v>113.88982630272955</v>
      </c>
      <c r="L386" s="7">
        <f t="shared" si="11"/>
        <v>103.04317617866005</v>
      </c>
      <c r="M386" s="3" t="s">
        <v>1182</v>
      </c>
    </row>
    <row r="387" spans="1:13" x14ac:dyDescent="0.35">
      <c r="A387" s="11" t="s">
        <v>1493</v>
      </c>
      <c r="B387" s="11" t="s">
        <v>11</v>
      </c>
      <c r="C387" s="11" t="s">
        <v>30</v>
      </c>
      <c r="D387" s="11" t="s">
        <v>489</v>
      </c>
      <c r="E387" s="11" t="s">
        <v>332</v>
      </c>
      <c r="F387" s="20">
        <v>8</v>
      </c>
      <c r="G387" s="21">
        <v>104.19</v>
      </c>
      <c r="H387" s="13">
        <v>88.228849406740892</v>
      </c>
      <c r="I387" s="13">
        <v>76.189534883720938</v>
      </c>
      <c r="J387" s="13">
        <v>108.8483412322275</v>
      </c>
      <c r="K387" s="7">
        <f t="shared" si="10"/>
        <v>92.640291877077942</v>
      </c>
      <c r="L387" s="7">
        <f t="shared" si="11"/>
        <v>83.817406936403842</v>
      </c>
      <c r="M387" s="3" t="s">
        <v>1231</v>
      </c>
    </row>
    <row r="388" spans="1:13" x14ac:dyDescent="0.35">
      <c r="A388" s="11" t="s">
        <v>1494</v>
      </c>
      <c r="B388" s="11" t="s">
        <v>11</v>
      </c>
      <c r="C388" s="11" t="s">
        <v>30</v>
      </c>
      <c r="D388" s="11" t="s">
        <v>489</v>
      </c>
      <c r="E388" s="11" t="s">
        <v>196</v>
      </c>
      <c r="F388" s="20">
        <v>6</v>
      </c>
      <c r="G388" s="21">
        <v>29.32</v>
      </c>
      <c r="H388" s="13">
        <v>120.8384849486703</v>
      </c>
      <c r="I388" s="13">
        <v>112.95829392397491</v>
      </c>
      <c r="J388" s="13">
        <v>126.30260823309</v>
      </c>
      <c r="K388" s="7">
        <f t="shared" si="10"/>
        <v>126.88040919610381</v>
      </c>
      <c r="L388" s="7">
        <f t="shared" si="11"/>
        <v>114.79656070123679</v>
      </c>
      <c r="M388" s="3" t="s">
        <v>1231</v>
      </c>
    </row>
    <row r="389" spans="1:13" x14ac:dyDescent="0.35">
      <c r="A389" s="11" t="s">
        <v>1495</v>
      </c>
      <c r="B389" s="11" t="s">
        <v>11</v>
      </c>
      <c r="C389" s="11" t="s">
        <v>30</v>
      </c>
      <c r="D389" s="11" t="s">
        <v>489</v>
      </c>
      <c r="E389" s="11" t="s">
        <v>502</v>
      </c>
      <c r="F389" s="20">
        <v>1</v>
      </c>
      <c r="G389" s="21">
        <v>19.100000000000001</v>
      </c>
      <c r="H389" s="13">
        <v>117.0225130890052</v>
      </c>
      <c r="I389" s="13">
        <v>117.0225130890052</v>
      </c>
      <c r="J389" s="13">
        <v>117.0225130890052</v>
      </c>
      <c r="K389" s="7">
        <f t="shared" ref="K389:K452" si="12">H389*(1+$B$2)</f>
        <v>122.87363874345547</v>
      </c>
      <c r="L389" s="7">
        <f t="shared" ref="L389:L452" si="13">H389*(1-$B$2)</f>
        <v>111.17138743455493</v>
      </c>
      <c r="M389" s="3" t="s">
        <v>1189</v>
      </c>
    </row>
    <row r="390" spans="1:13" x14ac:dyDescent="0.35">
      <c r="A390" s="11" t="s">
        <v>1496</v>
      </c>
      <c r="B390" s="11" t="s">
        <v>11</v>
      </c>
      <c r="C390" s="11" t="s">
        <v>30</v>
      </c>
      <c r="D390" s="11" t="s">
        <v>489</v>
      </c>
      <c r="E390" s="11" t="s">
        <v>35</v>
      </c>
      <c r="F390" s="20">
        <v>14</v>
      </c>
      <c r="G390" s="21">
        <v>140.84</v>
      </c>
      <c r="H390" s="13">
        <v>121.9396306818182</v>
      </c>
      <c r="I390" s="13">
        <v>117.1155865687457</v>
      </c>
      <c r="J390" s="13">
        <v>132.7131476792743</v>
      </c>
      <c r="K390" s="7">
        <f t="shared" si="12"/>
        <v>128.03661221590912</v>
      </c>
      <c r="L390" s="7">
        <f t="shared" si="13"/>
        <v>115.84264914772729</v>
      </c>
      <c r="M390" s="3" t="s">
        <v>1240</v>
      </c>
    </row>
    <row r="391" spans="1:13" x14ac:dyDescent="0.35">
      <c r="A391" s="11" t="s">
        <v>1497</v>
      </c>
      <c r="B391" s="11" t="s">
        <v>11</v>
      </c>
      <c r="C391" s="11" t="s">
        <v>30</v>
      </c>
      <c r="D391" s="11" t="s">
        <v>489</v>
      </c>
      <c r="E391" s="11" t="s">
        <v>89</v>
      </c>
      <c r="F391" s="20">
        <v>4</v>
      </c>
      <c r="G391" s="21">
        <v>67.319999999999993</v>
      </c>
      <c r="H391" s="13">
        <v>102.69310754604869</v>
      </c>
      <c r="I391" s="13">
        <v>97.446524064171129</v>
      </c>
      <c r="J391" s="13">
        <v>109.9896019013666</v>
      </c>
      <c r="K391" s="7">
        <f t="shared" si="12"/>
        <v>107.82776292335113</v>
      </c>
      <c r="L391" s="7">
        <f t="shared" si="13"/>
        <v>97.558452168746257</v>
      </c>
      <c r="M391" s="3" t="s">
        <v>1498</v>
      </c>
    </row>
    <row r="392" spans="1:13" x14ac:dyDescent="0.35">
      <c r="A392" s="11" t="s">
        <v>1499</v>
      </c>
      <c r="B392" s="11" t="s">
        <v>11</v>
      </c>
      <c r="C392" s="11" t="s">
        <v>30</v>
      </c>
      <c r="D392" s="11" t="s">
        <v>489</v>
      </c>
      <c r="E392" s="11" t="s">
        <v>73</v>
      </c>
      <c r="F392" s="20">
        <v>18</v>
      </c>
      <c r="G392" s="21">
        <v>63.61999999999999</v>
      </c>
      <c r="H392" s="13">
        <v>107.23333333333331</v>
      </c>
      <c r="I392" s="13">
        <v>89.431294389204538</v>
      </c>
      <c r="J392" s="13">
        <v>128.08665105386419</v>
      </c>
      <c r="K392" s="7">
        <f t="shared" si="12"/>
        <v>112.59499999999997</v>
      </c>
      <c r="L392" s="7">
        <f t="shared" si="13"/>
        <v>101.87166666666664</v>
      </c>
      <c r="M392" s="3" t="s">
        <v>1193</v>
      </c>
    </row>
    <row r="393" spans="1:13" x14ac:dyDescent="0.35">
      <c r="A393" s="11" t="s">
        <v>1500</v>
      </c>
      <c r="B393" s="11" t="s">
        <v>11</v>
      </c>
      <c r="C393" s="11" t="s">
        <v>30</v>
      </c>
      <c r="D393" s="11" t="s">
        <v>489</v>
      </c>
      <c r="E393" s="11" t="s">
        <v>147</v>
      </c>
      <c r="F393" s="20">
        <v>14</v>
      </c>
      <c r="G393" s="21">
        <v>187.88</v>
      </c>
      <c r="H393" s="13">
        <v>99.849976076821207</v>
      </c>
      <c r="I393" s="13">
        <v>82.059954848996966</v>
      </c>
      <c r="J393" s="13">
        <v>104.06785525309481</v>
      </c>
      <c r="K393" s="7">
        <f t="shared" si="12"/>
        <v>104.84247488066227</v>
      </c>
      <c r="L393" s="7">
        <f t="shared" si="13"/>
        <v>94.857477272980148</v>
      </c>
      <c r="M393" s="3" t="s">
        <v>1279</v>
      </c>
    </row>
    <row r="394" spans="1:13" x14ac:dyDescent="0.35">
      <c r="A394" s="11" t="s">
        <v>1501</v>
      </c>
      <c r="B394" s="11" t="s">
        <v>11</v>
      </c>
      <c r="C394" s="11" t="s">
        <v>30</v>
      </c>
      <c r="D394" s="11" t="s">
        <v>489</v>
      </c>
      <c r="E394" s="11" t="s">
        <v>182</v>
      </c>
      <c r="F394" s="20">
        <v>8</v>
      </c>
      <c r="G394" s="21">
        <v>86.08</v>
      </c>
      <c r="H394" s="13">
        <v>94.330390334572499</v>
      </c>
      <c r="I394" s="13">
        <v>69.579228624535318</v>
      </c>
      <c r="J394" s="13">
        <v>100.3282992565056</v>
      </c>
      <c r="K394" s="7">
        <f t="shared" si="12"/>
        <v>99.046909851301123</v>
      </c>
      <c r="L394" s="7">
        <f t="shared" si="13"/>
        <v>89.613870817843875</v>
      </c>
      <c r="M394" s="3" t="s">
        <v>1193</v>
      </c>
    </row>
    <row r="395" spans="1:13" x14ac:dyDescent="0.35">
      <c r="A395" s="11" t="s">
        <v>1502</v>
      </c>
      <c r="B395" s="11" t="s">
        <v>11</v>
      </c>
      <c r="C395" s="11" t="s">
        <v>30</v>
      </c>
      <c r="D395" s="11" t="s">
        <v>489</v>
      </c>
      <c r="E395" s="11" t="s">
        <v>169</v>
      </c>
      <c r="F395" s="20">
        <v>19</v>
      </c>
      <c r="G395" s="21">
        <v>147.31</v>
      </c>
      <c r="H395" s="13">
        <v>126.1434426229508</v>
      </c>
      <c r="I395" s="13">
        <v>116.9988711234211</v>
      </c>
      <c r="J395" s="13">
        <v>130.3698224852071</v>
      </c>
      <c r="K395" s="7">
        <f t="shared" si="12"/>
        <v>132.45061475409835</v>
      </c>
      <c r="L395" s="7">
        <f t="shared" si="13"/>
        <v>119.83627049180326</v>
      </c>
      <c r="M395" s="3" t="s">
        <v>1193</v>
      </c>
    </row>
    <row r="396" spans="1:13" x14ac:dyDescent="0.35">
      <c r="A396" s="11" t="s">
        <v>1503</v>
      </c>
      <c r="B396" s="11" t="s">
        <v>11</v>
      </c>
      <c r="C396" s="11" t="s">
        <v>30</v>
      </c>
      <c r="D396" s="11" t="s">
        <v>489</v>
      </c>
      <c r="E396" s="11" t="s">
        <v>1267</v>
      </c>
      <c r="F396" s="20">
        <v>5</v>
      </c>
      <c r="G396" s="21">
        <v>58.419999999999987</v>
      </c>
      <c r="H396" s="13">
        <v>114.3064516129032</v>
      </c>
      <c r="I396" s="13">
        <v>107.028596187175</v>
      </c>
      <c r="J396" s="13">
        <v>135.59168081494059</v>
      </c>
      <c r="K396" s="7">
        <f t="shared" si="12"/>
        <v>120.02177419354837</v>
      </c>
      <c r="L396" s="7">
        <f t="shared" si="13"/>
        <v>108.59112903225804</v>
      </c>
      <c r="M396" s="3" t="s">
        <v>1140</v>
      </c>
    </row>
    <row r="397" spans="1:13" x14ac:dyDescent="0.35">
      <c r="A397" s="11" t="s">
        <v>1504</v>
      </c>
      <c r="B397" s="11" t="s">
        <v>11</v>
      </c>
      <c r="C397" s="11" t="s">
        <v>30</v>
      </c>
      <c r="D397" s="11" t="s">
        <v>489</v>
      </c>
      <c r="E397" s="11" t="s">
        <v>435</v>
      </c>
      <c r="F397" s="20">
        <v>2</v>
      </c>
      <c r="G397" s="21">
        <v>26.3</v>
      </c>
      <c r="H397" s="13">
        <v>126.5513307984791</v>
      </c>
      <c r="I397" s="13">
        <v>125.0368821292776</v>
      </c>
      <c r="J397" s="13">
        <v>128.06577946768061</v>
      </c>
      <c r="K397" s="7">
        <f t="shared" si="12"/>
        <v>132.87889733840305</v>
      </c>
      <c r="L397" s="7">
        <f t="shared" si="13"/>
        <v>120.22376425855514</v>
      </c>
      <c r="M397" s="3" t="s">
        <v>1185</v>
      </c>
    </row>
    <row r="398" spans="1:13" x14ac:dyDescent="0.35">
      <c r="A398" s="11" t="s">
        <v>1505</v>
      </c>
      <c r="B398" s="11" t="s">
        <v>11</v>
      </c>
      <c r="C398" s="11" t="s">
        <v>30</v>
      </c>
      <c r="D398" s="11" t="s">
        <v>489</v>
      </c>
      <c r="E398" s="11" t="s">
        <v>122</v>
      </c>
      <c r="F398" s="20">
        <v>6</v>
      </c>
      <c r="G398" s="21">
        <v>29.62</v>
      </c>
      <c r="H398" s="13">
        <v>130.61538461538461</v>
      </c>
      <c r="I398" s="13">
        <v>121.5490788623142</v>
      </c>
      <c r="J398" s="13">
        <v>134.85623249299721</v>
      </c>
      <c r="K398" s="7">
        <f t="shared" si="12"/>
        <v>137.14615384615385</v>
      </c>
      <c r="L398" s="7">
        <f t="shared" si="13"/>
        <v>124.08461538461538</v>
      </c>
      <c r="M398" s="3" t="s">
        <v>1231</v>
      </c>
    </row>
    <row r="399" spans="1:13" x14ac:dyDescent="0.35">
      <c r="A399" s="11" t="s">
        <v>1506</v>
      </c>
      <c r="B399" s="11" t="s">
        <v>11</v>
      </c>
      <c r="C399" s="11" t="s">
        <v>30</v>
      </c>
      <c r="D399" s="11" t="s">
        <v>489</v>
      </c>
      <c r="E399" s="11" t="s">
        <v>99</v>
      </c>
      <c r="F399" s="20">
        <v>12</v>
      </c>
      <c r="G399" s="21">
        <v>143.22</v>
      </c>
      <c r="H399" s="13">
        <v>83.238636363636346</v>
      </c>
      <c r="I399" s="13">
        <v>77.282616633465935</v>
      </c>
      <c r="J399" s="13">
        <v>107.9447895322611</v>
      </c>
      <c r="K399" s="7">
        <f t="shared" si="12"/>
        <v>87.400568181818173</v>
      </c>
      <c r="L399" s="7">
        <f t="shared" si="13"/>
        <v>79.076704545454518</v>
      </c>
      <c r="M399" s="3" t="s">
        <v>1231</v>
      </c>
    </row>
    <row r="400" spans="1:13" x14ac:dyDescent="0.35">
      <c r="A400" s="11" t="s">
        <v>1507</v>
      </c>
      <c r="B400" s="11" t="s">
        <v>11</v>
      </c>
      <c r="C400" s="11" t="s">
        <v>30</v>
      </c>
      <c r="D400" s="11" t="s">
        <v>489</v>
      </c>
      <c r="E400" s="11" t="s">
        <v>230</v>
      </c>
      <c r="F400" s="20">
        <v>3</v>
      </c>
      <c r="G400" s="21">
        <v>18.27</v>
      </c>
      <c r="H400" s="13">
        <v>77.110016420361248</v>
      </c>
      <c r="I400" s="13">
        <v>74.285714285714278</v>
      </c>
      <c r="J400" s="13">
        <v>81.816091954022994</v>
      </c>
      <c r="K400" s="7">
        <f t="shared" si="12"/>
        <v>80.965517241379317</v>
      </c>
      <c r="L400" s="7">
        <f t="shared" si="13"/>
        <v>73.254515599343179</v>
      </c>
      <c r="M400" s="3" t="s">
        <v>1226</v>
      </c>
    </row>
    <row r="401" spans="1:13" x14ac:dyDescent="0.35">
      <c r="A401" s="11" t="s">
        <v>490</v>
      </c>
      <c r="B401" s="11" t="s">
        <v>11</v>
      </c>
      <c r="C401" s="11" t="s">
        <v>30</v>
      </c>
      <c r="D401" s="11" t="s">
        <v>489</v>
      </c>
      <c r="E401" s="11" t="s">
        <v>59</v>
      </c>
      <c r="F401" s="20">
        <v>29</v>
      </c>
      <c r="G401" s="21">
        <v>117.75</v>
      </c>
      <c r="H401" s="13">
        <v>118.9701834862385</v>
      </c>
      <c r="I401" s="13">
        <v>107.6892201834862</v>
      </c>
      <c r="J401" s="13">
        <v>129.4386617100372</v>
      </c>
      <c r="K401" s="7">
        <f t="shared" si="12"/>
        <v>124.91869266055043</v>
      </c>
      <c r="L401" s="7">
        <f t="shared" si="13"/>
        <v>113.02167431192656</v>
      </c>
      <c r="M401" s="3" t="s">
        <v>1125</v>
      </c>
    </row>
    <row r="402" spans="1:13" x14ac:dyDescent="0.35">
      <c r="A402" s="11" t="s">
        <v>1508</v>
      </c>
      <c r="B402" s="11" t="s">
        <v>11</v>
      </c>
      <c r="C402" s="11" t="s">
        <v>30</v>
      </c>
      <c r="D402" s="11" t="s">
        <v>489</v>
      </c>
      <c r="E402" s="11" t="s">
        <v>54</v>
      </c>
      <c r="F402" s="20">
        <v>19</v>
      </c>
      <c r="G402" s="21">
        <v>204.1</v>
      </c>
      <c r="H402" s="13">
        <v>100.69239500567539</v>
      </c>
      <c r="I402" s="13">
        <v>89.690063768870388</v>
      </c>
      <c r="J402" s="13">
        <v>112.13308740068101</v>
      </c>
      <c r="K402" s="7">
        <f t="shared" si="12"/>
        <v>105.72701475595917</v>
      </c>
      <c r="L402" s="7">
        <f t="shared" si="13"/>
        <v>95.657775255391613</v>
      </c>
      <c r="M402" s="3" t="s">
        <v>1140</v>
      </c>
    </row>
    <row r="403" spans="1:13" x14ac:dyDescent="0.35">
      <c r="A403" s="11" t="s">
        <v>1509</v>
      </c>
      <c r="B403" s="11" t="s">
        <v>11</v>
      </c>
      <c r="C403" s="11" t="s">
        <v>30</v>
      </c>
      <c r="D403" s="11" t="s">
        <v>489</v>
      </c>
      <c r="E403" s="11" t="s">
        <v>107</v>
      </c>
      <c r="F403" s="20">
        <v>3</v>
      </c>
      <c r="G403" s="21">
        <v>56.77</v>
      </c>
      <c r="H403" s="13">
        <v>121.6147138964578</v>
      </c>
      <c r="I403" s="13">
        <v>119.3490019248036</v>
      </c>
      <c r="J403" s="13">
        <v>128.73708105025909</v>
      </c>
      <c r="K403" s="7">
        <f t="shared" si="12"/>
        <v>127.69544959128069</v>
      </c>
      <c r="L403" s="7">
        <f t="shared" si="13"/>
        <v>115.53397820163491</v>
      </c>
      <c r="M403" s="3" t="s">
        <v>1226</v>
      </c>
    </row>
    <row r="404" spans="1:13" x14ac:dyDescent="0.35">
      <c r="A404" s="11" t="s">
        <v>1510</v>
      </c>
      <c r="B404" s="11" t="s">
        <v>11</v>
      </c>
      <c r="C404" s="11" t="s">
        <v>30</v>
      </c>
      <c r="D404" s="11" t="s">
        <v>489</v>
      </c>
      <c r="E404" s="11" t="s">
        <v>338</v>
      </c>
      <c r="F404" s="20">
        <v>2</v>
      </c>
      <c r="G404" s="21">
        <v>19.82</v>
      </c>
      <c r="H404" s="13">
        <v>107.6705348133199</v>
      </c>
      <c r="I404" s="13">
        <v>103.4159939455096</v>
      </c>
      <c r="J404" s="13">
        <v>111.9250756811302</v>
      </c>
      <c r="K404" s="7">
        <f t="shared" si="12"/>
        <v>113.0540615539859</v>
      </c>
      <c r="L404" s="7">
        <f t="shared" si="13"/>
        <v>102.2870080726539</v>
      </c>
      <c r="M404" s="3" t="s">
        <v>1511</v>
      </c>
    </row>
    <row r="405" spans="1:13" x14ac:dyDescent="0.35">
      <c r="A405" s="11" t="s">
        <v>1512</v>
      </c>
      <c r="B405" s="11" t="s">
        <v>11</v>
      </c>
      <c r="C405" s="11" t="s">
        <v>30</v>
      </c>
      <c r="D405" s="11" t="s">
        <v>489</v>
      </c>
      <c r="E405" s="11" t="s">
        <v>28</v>
      </c>
      <c r="F405" s="20">
        <v>36</v>
      </c>
      <c r="G405" s="21">
        <v>218.58</v>
      </c>
      <c r="H405" s="13">
        <v>110.3959041416869</v>
      </c>
      <c r="I405" s="13">
        <v>99.11687116564417</v>
      </c>
      <c r="J405" s="13">
        <v>119.4596429543962</v>
      </c>
      <c r="K405" s="7">
        <f t="shared" si="12"/>
        <v>115.91569934877124</v>
      </c>
      <c r="L405" s="7">
        <f t="shared" si="13"/>
        <v>104.87610893460256</v>
      </c>
      <c r="M405" s="3" t="s">
        <v>1125</v>
      </c>
    </row>
    <row r="406" spans="1:13" x14ac:dyDescent="0.35">
      <c r="A406" s="11" t="s">
        <v>1513</v>
      </c>
      <c r="B406" s="11" t="s">
        <v>11</v>
      </c>
      <c r="C406" s="11" t="s">
        <v>30</v>
      </c>
      <c r="D406" s="11" t="s">
        <v>489</v>
      </c>
      <c r="E406" s="11" t="s">
        <v>186</v>
      </c>
      <c r="F406" s="20">
        <v>2</v>
      </c>
      <c r="G406" s="21">
        <v>26.96</v>
      </c>
      <c r="H406" s="13">
        <v>120.901706231454</v>
      </c>
      <c r="I406" s="13">
        <v>108.6214762611276</v>
      </c>
      <c r="J406" s="13">
        <v>133.18193620178039</v>
      </c>
      <c r="K406" s="7">
        <f t="shared" si="12"/>
        <v>126.94679154302671</v>
      </c>
      <c r="L406" s="7">
        <f t="shared" si="13"/>
        <v>114.85662091988129</v>
      </c>
      <c r="M406" s="3" t="s">
        <v>1511</v>
      </c>
    </row>
    <row r="407" spans="1:13" x14ac:dyDescent="0.35">
      <c r="A407" s="11" t="s">
        <v>1514</v>
      </c>
      <c r="B407" s="11" t="s">
        <v>11</v>
      </c>
      <c r="C407" s="11" t="s">
        <v>30</v>
      </c>
      <c r="D407" s="11" t="s">
        <v>489</v>
      </c>
      <c r="E407" s="11" t="s">
        <v>93</v>
      </c>
      <c r="F407" s="20">
        <v>1</v>
      </c>
      <c r="G407" s="21">
        <v>14.34</v>
      </c>
      <c r="H407" s="13">
        <v>59.567642956764303</v>
      </c>
      <c r="I407" s="13">
        <v>59.567642956764303</v>
      </c>
      <c r="J407" s="13">
        <v>59.567642956764303</v>
      </c>
      <c r="K407" s="7">
        <f t="shared" si="12"/>
        <v>62.546025104602521</v>
      </c>
      <c r="L407" s="7">
        <f t="shared" si="13"/>
        <v>56.589260808926085</v>
      </c>
      <c r="M407" s="3" t="s">
        <v>1189</v>
      </c>
    </row>
    <row r="408" spans="1:13" x14ac:dyDescent="0.35">
      <c r="A408" s="11" t="s">
        <v>1515</v>
      </c>
      <c r="B408" s="11" t="s">
        <v>11</v>
      </c>
      <c r="C408" s="11" t="s">
        <v>30</v>
      </c>
      <c r="D408" s="11" t="s">
        <v>489</v>
      </c>
      <c r="E408" s="11" t="s">
        <v>220</v>
      </c>
      <c r="F408" s="20">
        <v>8</v>
      </c>
      <c r="G408" s="21">
        <v>100.88</v>
      </c>
      <c r="H408" s="13">
        <v>100.4323321298475</v>
      </c>
      <c r="I408" s="13">
        <v>83.605831533477328</v>
      </c>
      <c r="J408" s="13">
        <v>116.88784210695979</v>
      </c>
      <c r="K408" s="7">
        <f t="shared" si="12"/>
        <v>105.45394873633987</v>
      </c>
      <c r="L408" s="7">
        <f t="shared" si="13"/>
        <v>95.410715523355123</v>
      </c>
      <c r="M408" s="3" t="s">
        <v>1231</v>
      </c>
    </row>
    <row r="409" spans="1:13" x14ac:dyDescent="0.35">
      <c r="A409" s="11" t="s">
        <v>1516</v>
      </c>
      <c r="B409" s="11" t="s">
        <v>11</v>
      </c>
      <c r="C409" s="11" t="s">
        <v>30</v>
      </c>
      <c r="D409" s="11" t="s">
        <v>489</v>
      </c>
      <c r="E409" s="11" t="s">
        <v>131</v>
      </c>
      <c r="F409" s="20">
        <v>54</v>
      </c>
      <c r="G409" s="21">
        <v>399.33999999999992</v>
      </c>
      <c r="H409" s="13">
        <v>107.95148098614401</v>
      </c>
      <c r="I409" s="13">
        <v>91.638937390870552</v>
      </c>
      <c r="J409" s="13">
        <v>130.93876249323731</v>
      </c>
      <c r="K409" s="7">
        <f t="shared" si="12"/>
        <v>113.34905503545122</v>
      </c>
      <c r="L409" s="7">
        <f t="shared" si="13"/>
        <v>102.5539069368368</v>
      </c>
      <c r="M409" s="3" t="s">
        <v>1152</v>
      </c>
    </row>
    <row r="410" spans="1:13" x14ac:dyDescent="0.35">
      <c r="A410" s="11" t="s">
        <v>1517</v>
      </c>
      <c r="B410" s="11" t="s">
        <v>11</v>
      </c>
      <c r="C410" s="11" t="s">
        <v>30</v>
      </c>
      <c r="D410" s="11" t="s">
        <v>146</v>
      </c>
      <c r="E410" s="11" t="s">
        <v>101</v>
      </c>
      <c r="F410" s="20">
        <v>6</v>
      </c>
      <c r="G410" s="21">
        <v>22.44</v>
      </c>
      <c r="H410" s="13">
        <v>94.343582887700535</v>
      </c>
      <c r="I410" s="13">
        <v>84.030080213903744</v>
      </c>
      <c r="J410" s="13">
        <v>108.302807486631</v>
      </c>
      <c r="K410" s="7">
        <f t="shared" si="12"/>
        <v>99.060762032085563</v>
      </c>
      <c r="L410" s="7">
        <f t="shared" si="13"/>
        <v>89.626403743315507</v>
      </c>
      <c r="M410" s="3" t="s">
        <v>1137</v>
      </c>
    </row>
    <row r="411" spans="1:13" x14ac:dyDescent="0.35">
      <c r="A411" s="11" t="s">
        <v>1518</v>
      </c>
      <c r="B411" s="11" t="s">
        <v>11</v>
      </c>
      <c r="C411" s="11" t="s">
        <v>30</v>
      </c>
      <c r="D411" s="11" t="s">
        <v>146</v>
      </c>
      <c r="E411" s="11" t="s">
        <v>62</v>
      </c>
      <c r="F411" s="20">
        <v>8</v>
      </c>
      <c r="G411" s="21">
        <v>57.34</v>
      </c>
      <c r="H411" s="13">
        <v>96.627249357326491</v>
      </c>
      <c r="I411" s="13">
        <v>87.450835475578401</v>
      </c>
      <c r="J411" s="13">
        <v>117.5981014353042</v>
      </c>
      <c r="K411" s="7">
        <f t="shared" si="12"/>
        <v>101.45861182519282</v>
      </c>
      <c r="L411" s="7">
        <f t="shared" si="13"/>
        <v>91.795886889460164</v>
      </c>
      <c r="M411" s="3" t="s">
        <v>1152</v>
      </c>
    </row>
    <row r="412" spans="1:13" x14ac:dyDescent="0.35">
      <c r="A412" s="11" t="s">
        <v>1519</v>
      </c>
      <c r="B412" s="11" t="s">
        <v>11</v>
      </c>
      <c r="C412" s="11" t="s">
        <v>30</v>
      </c>
      <c r="D412" s="11" t="s">
        <v>146</v>
      </c>
      <c r="E412" s="11" t="s">
        <v>39</v>
      </c>
      <c r="F412" s="20">
        <v>12</v>
      </c>
      <c r="G412" s="21">
        <v>130.05000000000001</v>
      </c>
      <c r="H412" s="13">
        <v>125.03824557570459</v>
      </c>
      <c r="I412" s="13">
        <v>103.6533673803802</v>
      </c>
      <c r="J412" s="13">
        <v>130.23161459471271</v>
      </c>
      <c r="K412" s="7">
        <f t="shared" si="12"/>
        <v>131.29015785448982</v>
      </c>
      <c r="L412" s="7">
        <f t="shared" si="13"/>
        <v>118.78633329691935</v>
      </c>
      <c r="M412" s="3" t="s">
        <v>1207</v>
      </c>
    </row>
    <row r="413" spans="1:13" x14ac:dyDescent="0.35">
      <c r="A413" s="11" t="s">
        <v>1520</v>
      </c>
      <c r="B413" s="11" t="s">
        <v>11</v>
      </c>
      <c r="C413" s="11" t="s">
        <v>30</v>
      </c>
      <c r="D413" s="11" t="s">
        <v>146</v>
      </c>
      <c r="E413" s="11" t="s">
        <v>84</v>
      </c>
      <c r="F413" s="20">
        <v>11</v>
      </c>
      <c r="G413" s="21">
        <v>99.05</v>
      </c>
      <c r="H413" s="13">
        <v>104.66906474820139</v>
      </c>
      <c r="I413" s="13">
        <v>85.546048722519316</v>
      </c>
      <c r="J413" s="13">
        <v>117.33153690950979</v>
      </c>
      <c r="K413" s="7">
        <f t="shared" si="12"/>
        <v>109.90251798561147</v>
      </c>
      <c r="L413" s="7">
        <f t="shared" si="13"/>
        <v>99.435611510791318</v>
      </c>
      <c r="M413" s="3" t="s">
        <v>1137</v>
      </c>
    </row>
    <row r="414" spans="1:13" x14ac:dyDescent="0.35">
      <c r="A414" s="11" t="s">
        <v>1521</v>
      </c>
      <c r="B414" s="11" t="s">
        <v>11</v>
      </c>
      <c r="C414" s="11" t="s">
        <v>30</v>
      </c>
      <c r="D414" s="11" t="s">
        <v>146</v>
      </c>
      <c r="E414" s="11" t="s">
        <v>43</v>
      </c>
      <c r="F414" s="20">
        <v>7</v>
      </c>
      <c r="G414" s="21">
        <v>67.52</v>
      </c>
      <c r="H414" s="13">
        <v>122.36896551724141</v>
      </c>
      <c r="I414" s="13">
        <v>107.3987217960926</v>
      </c>
      <c r="J414" s="13">
        <v>142.83729797132031</v>
      </c>
      <c r="K414" s="7">
        <f t="shared" si="12"/>
        <v>128.48741379310349</v>
      </c>
      <c r="L414" s="7">
        <f t="shared" si="13"/>
        <v>116.25051724137933</v>
      </c>
      <c r="M414" s="3" t="s">
        <v>1231</v>
      </c>
    </row>
    <row r="415" spans="1:13" x14ac:dyDescent="0.35">
      <c r="A415" s="11" t="s">
        <v>266</v>
      </c>
      <c r="B415" s="11" t="s">
        <v>11</v>
      </c>
      <c r="C415" s="11" t="s">
        <v>30</v>
      </c>
      <c r="D415" s="11" t="s">
        <v>146</v>
      </c>
      <c r="E415" s="11" t="s">
        <v>35</v>
      </c>
      <c r="F415" s="20">
        <v>14</v>
      </c>
      <c r="G415" s="21">
        <v>36.67</v>
      </c>
      <c r="H415" s="13">
        <v>132.7931843591856</v>
      </c>
      <c r="I415" s="13">
        <v>126.5392638578322</v>
      </c>
      <c r="J415" s="13">
        <v>142.40517241379311</v>
      </c>
      <c r="K415" s="7">
        <f t="shared" si="12"/>
        <v>139.43284357714489</v>
      </c>
      <c r="L415" s="7">
        <f t="shared" si="13"/>
        <v>126.15352514122631</v>
      </c>
      <c r="M415" s="3" t="s">
        <v>1208</v>
      </c>
    </row>
    <row r="416" spans="1:13" x14ac:dyDescent="0.35">
      <c r="A416" s="11" t="s">
        <v>1522</v>
      </c>
      <c r="B416" s="11" t="s">
        <v>11</v>
      </c>
      <c r="C416" s="11" t="s">
        <v>30</v>
      </c>
      <c r="D416" s="11" t="s">
        <v>146</v>
      </c>
      <c r="E416" s="11" t="s">
        <v>1314</v>
      </c>
      <c r="F416" s="20">
        <v>7</v>
      </c>
      <c r="G416" s="21">
        <v>23.98</v>
      </c>
      <c r="H416" s="13">
        <v>96.44908616187989</v>
      </c>
      <c r="I416" s="13">
        <v>89.490861618798959</v>
      </c>
      <c r="J416" s="13">
        <v>121.0291906005222</v>
      </c>
      <c r="K416" s="7">
        <f t="shared" si="12"/>
        <v>101.27154046997389</v>
      </c>
      <c r="L416" s="7">
        <f t="shared" si="13"/>
        <v>91.626631853785895</v>
      </c>
      <c r="M416" s="3" t="s">
        <v>1193</v>
      </c>
    </row>
    <row r="417" spans="1:13" x14ac:dyDescent="0.35">
      <c r="A417" s="11" t="s">
        <v>1523</v>
      </c>
      <c r="B417" s="11" t="s">
        <v>11</v>
      </c>
      <c r="C417" s="11" t="s">
        <v>30</v>
      </c>
      <c r="D417" s="11" t="s">
        <v>146</v>
      </c>
      <c r="E417" s="11" t="s">
        <v>73</v>
      </c>
      <c r="F417" s="20">
        <v>5</v>
      </c>
      <c r="G417" s="21">
        <v>65.25</v>
      </c>
      <c r="H417" s="13">
        <v>118.7900383141762</v>
      </c>
      <c r="I417" s="13">
        <v>112.3509578544061</v>
      </c>
      <c r="J417" s="13">
        <v>121.4697318007663</v>
      </c>
      <c r="K417" s="7">
        <f t="shared" si="12"/>
        <v>124.72954022988502</v>
      </c>
      <c r="L417" s="7">
        <f t="shared" si="13"/>
        <v>112.85053639846738</v>
      </c>
      <c r="M417" s="3" t="s">
        <v>1140</v>
      </c>
    </row>
    <row r="418" spans="1:13" x14ac:dyDescent="0.35">
      <c r="A418" s="11" t="s">
        <v>148</v>
      </c>
      <c r="B418" s="11" t="s">
        <v>11</v>
      </c>
      <c r="C418" s="11" t="s">
        <v>30</v>
      </c>
      <c r="D418" s="11" t="s">
        <v>146</v>
      </c>
      <c r="E418" s="11" t="s">
        <v>147</v>
      </c>
      <c r="F418" s="20">
        <v>9</v>
      </c>
      <c r="G418" s="21">
        <v>48.44</v>
      </c>
      <c r="H418" s="13">
        <v>86.754464285714278</v>
      </c>
      <c r="I418" s="13">
        <v>68.835034013605437</v>
      </c>
      <c r="J418" s="13">
        <v>92.888095238095232</v>
      </c>
      <c r="K418" s="7">
        <f t="shared" si="12"/>
        <v>91.092187499999994</v>
      </c>
      <c r="L418" s="7">
        <f t="shared" si="13"/>
        <v>82.416741071428561</v>
      </c>
      <c r="M418" s="3" t="s">
        <v>1125</v>
      </c>
    </row>
    <row r="419" spans="1:13" x14ac:dyDescent="0.35">
      <c r="A419" s="11" t="s">
        <v>1524</v>
      </c>
      <c r="B419" s="11" t="s">
        <v>11</v>
      </c>
      <c r="C419" s="11" t="s">
        <v>30</v>
      </c>
      <c r="D419" s="11" t="s">
        <v>146</v>
      </c>
      <c r="E419" s="11" t="s">
        <v>435</v>
      </c>
      <c r="F419" s="20">
        <v>16</v>
      </c>
      <c r="G419" s="21">
        <v>84.11</v>
      </c>
      <c r="H419" s="13">
        <v>119.0165304707686</v>
      </c>
      <c r="I419" s="13">
        <v>95.311693598637476</v>
      </c>
      <c r="J419" s="13">
        <v>138.90873592821831</v>
      </c>
      <c r="K419" s="7">
        <f t="shared" si="12"/>
        <v>124.96735699430704</v>
      </c>
      <c r="L419" s="7">
        <f t="shared" si="13"/>
        <v>113.06570394723016</v>
      </c>
      <c r="M419" s="3" t="s">
        <v>1525</v>
      </c>
    </row>
    <row r="420" spans="1:13" x14ac:dyDescent="0.35">
      <c r="A420" s="11" t="s">
        <v>1526</v>
      </c>
      <c r="B420" s="11" t="s">
        <v>11</v>
      </c>
      <c r="C420" s="11" t="s">
        <v>30</v>
      </c>
      <c r="D420" s="11" t="s">
        <v>146</v>
      </c>
      <c r="E420" s="11" t="s">
        <v>59</v>
      </c>
      <c r="F420" s="20">
        <v>8</v>
      </c>
      <c r="G420" s="21">
        <v>63.68</v>
      </c>
      <c r="H420" s="13">
        <v>125.08354271356779</v>
      </c>
      <c r="I420" s="13">
        <v>118.1369346733668</v>
      </c>
      <c r="J420" s="13">
        <v>130.1441582914573</v>
      </c>
      <c r="K420" s="7">
        <f t="shared" si="12"/>
        <v>131.33771984924618</v>
      </c>
      <c r="L420" s="7">
        <f t="shared" si="13"/>
        <v>118.8293655778894</v>
      </c>
      <c r="M420" s="3" t="s">
        <v>1208</v>
      </c>
    </row>
    <row r="421" spans="1:13" x14ac:dyDescent="0.35">
      <c r="A421" s="11" t="s">
        <v>1527</v>
      </c>
      <c r="B421" s="11" t="s">
        <v>11</v>
      </c>
      <c r="C421" s="11" t="s">
        <v>30</v>
      </c>
      <c r="D421" s="11" t="s">
        <v>146</v>
      </c>
      <c r="E421" s="11" t="s">
        <v>338</v>
      </c>
      <c r="F421" s="20">
        <v>4</v>
      </c>
      <c r="G421" s="21">
        <v>18.12</v>
      </c>
      <c r="H421" s="13">
        <v>76.147139034814131</v>
      </c>
      <c r="I421" s="13">
        <v>73.260958999448377</v>
      </c>
      <c r="J421" s="13">
        <v>86.154426131471908</v>
      </c>
      <c r="K421" s="7">
        <f t="shared" si="12"/>
        <v>79.954495986554846</v>
      </c>
      <c r="L421" s="7">
        <f t="shared" si="13"/>
        <v>72.339782083073416</v>
      </c>
      <c r="M421" s="3" t="s">
        <v>1185</v>
      </c>
    </row>
    <row r="422" spans="1:13" x14ac:dyDescent="0.35">
      <c r="A422" s="11" t="s">
        <v>1528</v>
      </c>
      <c r="B422" s="11" t="s">
        <v>11</v>
      </c>
      <c r="C422" s="11" t="s">
        <v>30</v>
      </c>
      <c r="D422" s="11" t="s">
        <v>146</v>
      </c>
      <c r="E422" s="11" t="s">
        <v>28</v>
      </c>
      <c r="F422" s="20">
        <v>13</v>
      </c>
      <c r="G422" s="21">
        <v>73.539999999999992</v>
      </c>
      <c r="H422" s="13">
        <v>123.3508541392904</v>
      </c>
      <c r="I422" s="13">
        <v>118.9053876478318</v>
      </c>
      <c r="J422" s="13">
        <v>133.02413273001511</v>
      </c>
      <c r="K422" s="7">
        <f t="shared" si="12"/>
        <v>129.51839684625494</v>
      </c>
      <c r="L422" s="7">
        <f t="shared" si="13"/>
        <v>117.18331143232588</v>
      </c>
      <c r="M422" s="3" t="s">
        <v>1208</v>
      </c>
    </row>
    <row r="423" spans="1:13" x14ac:dyDescent="0.35">
      <c r="A423" s="11" t="s">
        <v>1529</v>
      </c>
      <c r="B423" s="11" t="s">
        <v>11</v>
      </c>
      <c r="C423" s="11" t="s">
        <v>30</v>
      </c>
      <c r="D423" s="11" t="s">
        <v>146</v>
      </c>
      <c r="E423" s="11" t="s">
        <v>131</v>
      </c>
      <c r="F423" s="20">
        <v>2</v>
      </c>
      <c r="G423" s="21">
        <v>3.3</v>
      </c>
      <c r="H423" s="13">
        <v>73.699376947040491</v>
      </c>
      <c r="I423" s="13">
        <v>64.016355140186917</v>
      </c>
      <c r="J423" s="13">
        <v>83.38239875389408</v>
      </c>
      <c r="K423" s="7">
        <f t="shared" si="12"/>
        <v>77.384345794392516</v>
      </c>
      <c r="L423" s="7">
        <f t="shared" si="13"/>
        <v>70.014408099688467</v>
      </c>
      <c r="M423" s="3" t="s">
        <v>1257</v>
      </c>
    </row>
    <row r="424" spans="1:13" x14ac:dyDescent="0.35">
      <c r="A424" s="11" t="s">
        <v>1530</v>
      </c>
      <c r="B424" s="11" t="s">
        <v>11</v>
      </c>
      <c r="C424" s="11" t="s">
        <v>30</v>
      </c>
      <c r="D424" s="11" t="s">
        <v>1197</v>
      </c>
      <c r="E424" s="11" t="s">
        <v>39</v>
      </c>
      <c r="F424" s="20">
        <v>4</v>
      </c>
      <c r="G424" s="21">
        <v>13.88</v>
      </c>
      <c r="H424" s="13">
        <v>117.60230547550429</v>
      </c>
      <c r="I424" s="13">
        <v>109.078530259366</v>
      </c>
      <c r="J424" s="13">
        <v>125.6404899135447</v>
      </c>
      <c r="K424" s="7">
        <f t="shared" si="12"/>
        <v>123.48242074927951</v>
      </c>
      <c r="L424" s="7">
        <f t="shared" si="13"/>
        <v>111.72219020172908</v>
      </c>
      <c r="M424" s="3" t="s">
        <v>1198</v>
      </c>
    </row>
    <row r="425" spans="1:13" x14ac:dyDescent="0.35">
      <c r="A425" s="11" t="s">
        <v>1531</v>
      </c>
      <c r="B425" s="11" t="s">
        <v>11</v>
      </c>
      <c r="C425" s="11" t="s">
        <v>30</v>
      </c>
      <c r="D425" s="11" t="s">
        <v>1200</v>
      </c>
      <c r="E425" s="11" t="s">
        <v>62</v>
      </c>
      <c r="F425" s="20">
        <v>2</v>
      </c>
      <c r="G425" s="21">
        <v>20.149999999999999</v>
      </c>
      <c r="H425" s="13">
        <v>112.1924259110933</v>
      </c>
      <c r="I425" s="13">
        <v>108.9291675010012</v>
      </c>
      <c r="J425" s="13">
        <v>115.4556843211854</v>
      </c>
      <c r="K425" s="7">
        <f t="shared" si="12"/>
        <v>117.80204720664797</v>
      </c>
      <c r="L425" s="7">
        <f t="shared" si="13"/>
        <v>106.58280461553862</v>
      </c>
      <c r="M425" s="3" t="s">
        <v>1189</v>
      </c>
    </row>
    <row r="426" spans="1:13" x14ac:dyDescent="0.35">
      <c r="A426" s="11" t="s">
        <v>1532</v>
      </c>
      <c r="B426" s="11" t="s">
        <v>11</v>
      </c>
      <c r="C426" s="11" t="s">
        <v>30</v>
      </c>
      <c r="D426" s="11" t="s">
        <v>1200</v>
      </c>
      <c r="E426" s="11" t="s">
        <v>39</v>
      </c>
      <c r="F426" s="20">
        <v>1</v>
      </c>
      <c r="G426" s="21">
        <v>12.05</v>
      </c>
      <c r="H426" s="13">
        <v>91.945228215767628</v>
      </c>
      <c r="I426" s="13">
        <v>91.945228215767628</v>
      </c>
      <c r="J426" s="13">
        <v>91.945228215767628</v>
      </c>
      <c r="K426" s="7">
        <f t="shared" si="12"/>
        <v>96.542489626556019</v>
      </c>
      <c r="L426" s="7">
        <f t="shared" si="13"/>
        <v>87.347966804979237</v>
      </c>
      <c r="M426" s="3" t="s">
        <v>1189</v>
      </c>
    </row>
    <row r="427" spans="1:13" x14ac:dyDescent="0.35">
      <c r="A427" s="11" t="s">
        <v>1533</v>
      </c>
      <c r="B427" s="11" t="s">
        <v>11</v>
      </c>
      <c r="C427" s="11" t="s">
        <v>30</v>
      </c>
      <c r="D427" s="11" t="s">
        <v>1202</v>
      </c>
      <c r="E427" s="11" t="s">
        <v>131</v>
      </c>
      <c r="F427" s="20">
        <v>1</v>
      </c>
      <c r="G427" s="21">
        <v>3.21</v>
      </c>
      <c r="H427" s="13">
        <v>92.436137071651103</v>
      </c>
      <c r="I427" s="13">
        <v>92.436137071651103</v>
      </c>
      <c r="J427" s="13">
        <v>92.436137071651103</v>
      </c>
      <c r="K427" s="7">
        <f t="shared" si="12"/>
        <v>97.057943925233658</v>
      </c>
      <c r="L427" s="7">
        <f t="shared" si="13"/>
        <v>87.814330218068548</v>
      </c>
      <c r="M427" s="3" t="s">
        <v>1189</v>
      </c>
    </row>
    <row r="428" spans="1:13" x14ac:dyDescent="0.35">
      <c r="A428" s="11" t="s">
        <v>1534</v>
      </c>
      <c r="B428" s="11" t="s">
        <v>11</v>
      </c>
      <c r="C428" s="11" t="s">
        <v>30</v>
      </c>
      <c r="D428" s="11" t="s">
        <v>1204</v>
      </c>
      <c r="E428" s="11" t="s">
        <v>84</v>
      </c>
      <c r="F428" s="20">
        <v>3</v>
      </c>
      <c r="G428" s="21">
        <v>8.2200000000000006</v>
      </c>
      <c r="H428" s="13">
        <v>69.072992700729912</v>
      </c>
      <c r="I428" s="13">
        <v>60.0419708029197</v>
      </c>
      <c r="J428" s="13">
        <v>85.872262773722611</v>
      </c>
      <c r="K428" s="7">
        <f t="shared" si="12"/>
        <v>72.526642335766411</v>
      </c>
      <c r="L428" s="7">
        <f t="shared" si="13"/>
        <v>65.619343065693414</v>
      </c>
      <c r="M428" s="3" t="s">
        <v>1158</v>
      </c>
    </row>
    <row r="429" spans="1:13" x14ac:dyDescent="0.35">
      <c r="A429" s="11" t="s">
        <v>1535</v>
      </c>
      <c r="B429" s="11" t="s">
        <v>11</v>
      </c>
      <c r="C429" s="11" t="s">
        <v>30</v>
      </c>
      <c r="D429" s="11" t="s">
        <v>78</v>
      </c>
      <c r="E429" s="11" t="s">
        <v>364</v>
      </c>
      <c r="F429" s="20">
        <v>2</v>
      </c>
      <c r="G429" s="21">
        <v>8.32</v>
      </c>
      <c r="H429" s="13">
        <v>70.278674948240166</v>
      </c>
      <c r="I429" s="13">
        <v>65.223266045548655</v>
      </c>
      <c r="J429" s="13">
        <v>75.334083850931677</v>
      </c>
      <c r="K429" s="7">
        <f t="shared" si="12"/>
        <v>73.792608695652177</v>
      </c>
      <c r="L429" s="7">
        <f t="shared" si="13"/>
        <v>66.764741200828155</v>
      </c>
      <c r="M429" s="3" t="s">
        <v>1307</v>
      </c>
    </row>
    <row r="430" spans="1:13" x14ac:dyDescent="0.35">
      <c r="A430" s="11" t="s">
        <v>1536</v>
      </c>
      <c r="B430" s="11" t="s">
        <v>11</v>
      </c>
      <c r="C430" s="11" t="s">
        <v>30</v>
      </c>
      <c r="D430" s="11" t="s">
        <v>78</v>
      </c>
      <c r="E430" s="11" t="s">
        <v>62</v>
      </c>
      <c r="F430" s="20">
        <v>2</v>
      </c>
      <c r="G430" s="21">
        <v>24.05</v>
      </c>
      <c r="H430" s="13">
        <v>169.84978078428421</v>
      </c>
      <c r="I430" s="13">
        <v>167.71987665587841</v>
      </c>
      <c r="J430" s="13">
        <v>171.97968491269</v>
      </c>
      <c r="K430" s="7">
        <f t="shared" si="12"/>
        <v>178.34226982349841</v>
      </c>
      <c r="L430" s="7">
        <f t="shared" si="13"/>
        <v>161.35729174507</v>
      </c>
      <c r="M430" s="3" t="s">
        <v>1307</v>
      </c>
    </row>
    <row r="431" spans="1:13" x14ac:dyDescent="0.35">
      <c r="A431" s="11" t="s">
        <v>1537</v>
      </c>
      <c r="B431" s="11" t="s">
        <v>11</v>
      </c>
      <c r="C431" s="11" t="s">
        <v>30</v>
      </c>
      <c r="D431" s="11" t="s">
        <v>78</v>
      </c>
      <c r="E431" s="11" t="s">
        <v>84</v>
      </c>
      <c r="F431" s="20">
        <v>3</v>
      </c>
      <c r="G431" s="21">
        <v>7.12</v>
      </c>
      <c r="H431" s="13">
        <v>111.2518248175182</v>
      </c>
      <c r="I431" s="13">
        <v>88.724452554744516</v>
      </c>
      <c r="J431" s="13">
        <v>140.1655465551006</v>
      </c>
      <c r="K431" s="7">
        <f t="shared" si="12"/>
        <v>116.81441605839412</v>
      </c>
      <c r="L431" s="7">
        <f t="shared" si="13"/>
        <v>105.68923357664228</v>
      </c>
      <c r="M431" s="3" t="s">
        <v>1538</v>
      </c>
    </row>
    <row r="432" spans="1:13" x14ac:dyDescent="0.35">
      <c r="A432" s="11" t="s">
        <v>1539</v>
      </c>
      <c r="B432" s="11" t="s">
        <v>11</v>
      </c>
      <c r="C432" s="11" t="s">
        <v>30</v>
      </c>
      <c r="D432" s="11" t="s">
        <v>78</v>
      </c>
      <c r="E432" s="11" t="s">
        <v>43</v>
      </c>
      <c r="F432" s="20">
        <v>3</v>
      </c>
      <c r="G432" s="21">
        <v>21.55</v>
      </c>
      <c r="H432" s="13">
        <v>91.030997304582215</v>
      </c>
      <c r="I432" s="13">
        <v>85.479283699020073</v>
      </c>
      <c r="J432" s="13">
        <v>101.892148398484</v>
      </c>
      <c r="K432" s="7">
        <f t="shared" si="12"/>
        <v>95.582547169811335</v>
      </c>
      <c r="L432" s="7">
        <f t="shared" si="13"/>
        <v>86.479447439353095</v>
      </c>
      <c r="M432" s="3" t="s">
        <v>1307</v>
      </c>
    </row>
    <row r="433" spans="1:13" x14ac:dyDescent="0.35">
      <c r="A433" s="11" t="s">
        <v>1540</v>
      </c>
      <c r="B433" s="11" t="s">
        <v>11</v>
      </c>
      <c r="C433" s="11" t="s">
        <v>30</v>
      </c>
      <c r="D433" s="11" t="s">
        <v>78</v>
      </c>
      <c r="E433" s="11" t="s">
        <v>196</v>
      </c>
      <c r="F433" s="20">
        <v>3</v>
      </c>
      <c r="G433" s="21">
        <v>17.04</v>
      </c>
      <c r="H433" s="13">
        <v>103.6107266435986</v>
      </c>
      <c r="I433" s="13">
        <v>100.1587467804459</v>
      </c>
      <c r="J433" s="13">
        <v>108.1799424463784</v>
      </c>
      <c r="K433" s="7">
        <f t="shared" si="12"/>
        <v>108.79126297577854</v>
      </c>
      <c r="L433" s="7">
        <f t="shared" si="13"/>
        <v>98.430190311418656</v>
      </c>
      <c r="M433" s="3" t="s">
        <v>1538</v>
      </c>
    </row>
    <row r="434" spans="1:13" x14ac:dyDescent="0.35">
      <c r="A434" s="11" t="s">
        <v>94</v>
      </c>
      <c r="B434" s="11" t="s">
        <v>11</v>
      </c>
      <c r="C434" s="11" t="s">
        <v>30</v>
      </c>
      <c r="D434" s="11" t="s">
        <v>78</v>
      </c>
      <c r="E434" s="11" t="s">
        <v>93</v>
      </c>
      <c r="F434" s="20">
        <v>5</v>
      </c>
      <c r="G434" s="21">
        <v>35.33</v>
      </c>
      <c r="H434" s="13">
        <v>110.9357798165138</v>
      </c>
      <c r="I434" s="13">
        <v>110.9357798165138</v>
      </c>
      <c r="J434" s="13">
        <v>113.1923724060572</v>
      </c>
      <c r="K434" s="7">
        <f t="shared" si="12"/>
        <v>116.48256880733949</v>
      </c>
      <c r="L434" s="7">
        <f t="shared" si="13"/>
        <v>105.38899082568811</v>
      </c>
      <c r="M434" s="3" t="s">
        <v>1307</v>
      </c>
    </row>
    <row r="435" spans="1:13" x14ac:dyDescent="0.35">
      <c r="A435" s="11" t="s">
        <v>132</v>
      </c>
      <c r="B435" s="11" t="s">
        <v>11</v>
      </c>
      <c r="C435" s="11" t="s">
        <v>30</v>
      </c>
      <c r="D435" s="11" t="s">
        <v>78</v>
      </c>
      <c r="E435" s="11" t="s">
        <v>131</v>
      </c>
      <c r="F435" s="20">
        <v>7</v>
      </c>
      <c r="G435" s="21">
        <v>29.38</v>
      </c>
      <c r="H435" s="13">
        <v>119.3536585365854</v>
      </c>
      <c r="I435" s="13">
        <v>75.648636194210837</v>
      </c>
      <c r="J435" s="13">
        <v>128.37552362925501</v>
      </c>
      <c r="K435" s="7">
        <f t="shared" si="12"/>
        <v>125.32134146341467</v>
      </c>
      <c r="L435" s="7">
        <f t="shared" si="13"/>
        <v>113.38597560975613</v>
      </c>
      <c r="M435" s="3" t="s">
        <v>1148</v>
      </c>
    </row>
    <row r="436" spans="1:13" x14ac:dyDescent="0.35">
      <c r="A436" s="11" t="s">
        <v>1541</v>
      </c>
      <c r="B436" s="11" t="s">
        <v>11</v>
      </c>
      <c r="C436" s="11" t="s">
        <v>30</v>
      </c>
      <c r="D436" s="11" t="s">
        <v>237</v>
      </c>
      <c r="E436" s="11" t="s">
        <v>84</v>
      </c>
      <c r="F436" s="20">
        <v>24</v>
      </c>
      <c r="G436" s="21">
        <v>163.31</v>
      </c>
      <c r="H436" s="13">
        <v>105.92626728110601</v>
      </c>
      <c r="I436" s="13">
        <v>97.812095032397394</v>
      </c>
      <c r="J436" s="13">
        <v>115.8391425485961</v>
      </c>
      <c r="K436" s="7">
        <f t="shared" si="12"/>
        <v>111.22258064516132</v>
      </c>
      <c r="L436" s="7">
        <f t="shared" si="13"/>
        <v>100.6299539170507</v>
      </c>
      <c r="M436" s="3" t="s">
        <v>1152</v>
      </c>
    </row>
    <row r="437" spans="1:13" x14ac:dyDescent="0.35">
      <c r="A437" s="11" t="s">
        <v>1542</v>
      </c>
      <c r="B437" s="11" t="s">
        <v>11</v>
      </c>
      <c r="C437" s="11" t="s">
        <v>30</v>
      </c>
      <c r="D437" s="11" t="s">
        <v>237</v>
      </c>
      <c r="E437" s="11" t="s">
        <v>43</v>
      </c>
      <c r="F437" s="20">
        <v>19</v>
      </c>
      <c r="G437" s="21">
        <v>108.19</v>
      </c>
      <c r="H437" s="13">
        <v>90.154811715481173</v>
      </c>
      <c r="I437" s="13">
        <v>80.636360863265466</v>
      </c>
      <c r="J437" s="13">
        <v>94.370263157133081</v>
      </c>
      <c r="K437" s="7">
        <f t="shared" si="12"/>
        <v>94.662552301255232</v>
      </c>
      <c r="L437" s="7">
        <f t="shared" si="13"/>
        <v>85.647071129707115</v>
      </c>
      <c r="M437" s="3" t="s">
        <v>1152</v>
      </c>
    </row>
    <row r="438" spans="1:13" x14ac:dyDescent="0.35">
      <c r="A438" s="11" t="s">
        <v>1543</v>
      </c>
      <c r="B438" s="11" t="s">
        <v>11</v>
      </c>
      <c r="C438" s="11" t="s">
        <v>30</v>
      </c>
      <c r="D438" s="11" t="s">
        <v>237</v>
      </c>
      <c r="E438" s="11" t="s">
        <v>332</v>
      </c>
      <c r="F438" s="20">
        <v>2</v>
      </c>
      <c r="G438" s="21">
        <v>6.78</v>
      </c>
      <c r="H438" s="13">
        <v>126.2994100294985</v>
      </c>
      <c r="I438" s="13">
        <v>122.8163716814159</v>
      </c>
      <c r="J438" s="13">
        <v>129.78244837758109</v>
      </c>
      <c r="K438" s="7">
        <f t="shared" si="12"/>
        <v>132.61438053097342</v>
      </c>
      <c r="L438" s="7">
        <f t="shared" si="13"/>
        <v>119.98443952802357</v>
      </c>
      <c r="M438" s="3" t="s">
        <v>1185</v>
      </c>
    </row>
    <row r="439" spans="1:13" x14ac:dyDescent="0.35">
      <c r="A439" s="11" t="s">
        <v>1544</v>
      </c>
      <c r="B439" s="11" t="s">
        <v>11</v>
      </c>
      <c r="C439" s="11" t="s">
        <v>30</v>
      </c>
      <c r="D439" s="11" t="s">
        <v>237</v>
      </c>
      <c r="E439" s="11" t="s">
        <v>196</v>
      </c>
      <c r="F439" s="20">
        <v>3</v>
      </c>
      <c r="G439" s="21">
        <v>15.96</v>
      </c>
      <c r="H439" s="13">
        <v>79.349624060150376</v>
      </c>
      <c r="I439" s="13">
        <v>65.990601503759393</v>
      </c>
      <c r="J439" s="13">
        <v>85.625</v>
      </c>
      <c r="K439" s="7">
        <f t="shared" si="12"/>
        <v>83.317105263157899</v>
      </c>
      <c r="L439" s="7">
        <f t="shared" si="13"/>
        <v>75.382142857142853</v>
      </c>
      <c r="M439" s="3" t="s">
        <v>1545</v>
      </c>
    </row>
    <row r="440" spans="1:13" x14ac:dyDescent="0.35">
      <c r="A440" s="11" t="s">
        <v>1546</v>
      </c>
      <c r="B440" s="11" t="s">
        <v>11</v>
      </c>
      <c r="C440" s="11" t="s">
        <v>30</v>
      </c>
      <c r="D440" s="11" t="s">
        <v>237</v>
      </c>
      <c r="E440" s="11" t="s">
        <v>35</v>
      </c>
      <c r="F440" s="20">
        <v>8</v>
      </c>
      <c r="G440" s="21">
        <v>44.4</v>
      </c>
      <c r="H440" s="13">
        <v>118.6198198198198</v>
      </c>
      <c r="I440" s="13">
        <v>111.55540540540539</v>
      </c>
      <c r="J440" s="13">
        <v>131.88063063063061</v>
      </c>
      <c r="K440" s="7">
        <f t="shared" si="12"/>
        <v>124.55081081081079</v>
      </c>
      <c r="L440" s="7">
        <f t="shared" si="13"/>
        <v>112.6888288288288</v>
      </c>
      <c r="M440" s="3" t="s">
        <v>1207</v>
      </c>
    </row>
    <row r="441" spans="1:13" x14ac:dyDescent="0.35">
      <c r="A441" s="11" t="s">
        <v>1547</v>
      </c>
      <c r="B441" s="11" t="s">
        <v>11</v>
      </c>
      <c r="C441" s="11" t="s">
        <v>30</v>
      </c>
      <c r="D441" s="11" t="s">
        <v>237</v>
      </c>
      <c r="E441" s="11" t="s">
        <v>328</v>
      </c>
      <c r="F441" s="20">
        <v>5</v>
      </c>
      <c r="G441" s="21">
        <v>12.92</v>
      </c>
      <c r="H441" s="13">
        <v>99.798679867986806</v>
      </c>
      <c r="I441" s="13">
        <v>93.227722772277247</v>
      </c>
      <c r="J441" s="13">
        <v>169.31023102310229</v>
      </c>
      <c r="K441" s="7">
        <f t="shared" si="12"/>
        <v>104.78861386138615</v>
      </c>
      <c r="L441" s="7">
        <f t="shared" si="13"/>
        <v>94.808745874587459</v>
      </c>
      <c r="M441" s="3" t="s">
        <v>1231</v>
      </c>
    </row>
    <row r="442" spans="1:13" x14ac:dyDescent="0.35">
      <c r="A442" s="11" t="s">
        <v>1548</v>
      </c>
      <c r="B442" s="11" t="s">
        <v>11</v>
      </c>
      <c r="C442" s="11" t="s">
        <v>30</v>
      </c>
      <c r="D442" s="11" t="s">
        <v>237</v>
      </c>
      <c r="E442" s="11" t="s">
        <v>147</v>
      </c>
      <c r="F442" s="20">
        <v>13</v>
      </c>
      <c r="G442" s="21">
        <v>81.63</v>
      </c>
      <c r="H442" s="13">
        <v>69.114803625377647</v>
      </c>
      <c r="I442" s="13">
        <v>66.496894409937894</v>
      </c>
      <c r="J442" s="13">
        <v>71.246464646464645</v>
      </c>
      <c r="K442" s="7">
        <f t="shared" si="12"/>
        <v>72.570543806646526</v>
      </c>
      <c r="L442" s="7">
        <f t="shared" si="13"/>
        <v>65.659063444108767</v>
      </c>
      <c r="M442" s="3" t="s">
        <v>1130</v>
      </c>
    </row>
    <row r="443" spans="1:13" x14ac:dyDescent="0.35">
      <c r="A443" s="11" t="s">
        <v>1549</v>
      </c>
      <c r="B443" s="11" t="s">
        <v>11</v>
      </c>
      <c r="C443" s="11" t="s">
        <v>30</v>
      </c>
      <c r="D443" s="11" t="s">
        <v>237</v>
      </c>
      <c r="E443" s="11" t="s">
        <v>99</v>
      </c>
      <c r="F443" s="20">
        <v>4</v>
      </c>
      <c r="G443" s="21">
        <v>37.76</v>
      </c>
      <c r="H443" s="13">
        <v>96.831567796610173</v>
      </c>
      <c r="I443" s="13">
        <v>85.430084745762713</v>
      </c>
      <c r="J443" s="13">
        <v>106.67425847457631</v>
      </c>
      <c r="K443" s="7">
        <f t="shared" si="12"/>
        <v>101.67314618644069</v>
      </c>
      <c r="L443" s="7">
        <f t="shared" si="13"/>
        <v>91.989989406779657</v>
      </c>
      <c r="M443" s="3" t="s">
        <v>1231</v>
      </c>
    </row>
    <row r="444" spans="1:13" x14ac:dyDescent="0.35">
      <c r="A444" s="11" t="s">
        <v>1550</v>
      </c>
      <c r="B444" s="11" t="s">
        <v>11</v>
      </c>
      <c r="C444" s="11" t="s">
        <v>30</v>
      </c>
      <c r="D444" s="11" t="s">
        <v>237</v>
      </c>
      <c r="E444" s="11" t="s">
        <v>230</v>
      </c>
      <c r="F444" s="20">
        <v>4</v>
      </c>
      <c r="G444" s="21">
        <v>5.72</v>
      </c>
      <c r="H444" s="13">
        <v>99.13636363636364</v>
      </c>
      <c r="I444" s="13">
        <v>90.810489510489518</v>
      </c>
      <c r="J444" s="13">
        <v>103.39510489510489</v>
      </c>
      <c r="K444" s="7">
        <f t="shared" si="12"/>
        <v>104.09318181818183</v>
      </c>
      <c r="L444" s="7">
        <f t="shared" si="13"/>
        <v>94.179545454545448</v>
      </c>
      <c r="M444" s="3" t="s">
        <v>1198</v>
      </c>
    </row>
    <row r="445" spans="1:13" x14ac:dyDescent="0.35">
      <c r="A445" s="11" t="s">
        <v>1551</v>
      </c>
      <c r="B445" s="11" t="s">
        <v>11</v>
      </c>
      <c r="C445" s="11" t="s">
        <v>30</v>
      </c>
      <c r="D445" s="11" t="s">
        <v>237</v>
      </c>
      <c r="E445" s="11" t="s">
        <v>1320</v>
      </c>
      <c r="F445" s="20">
        <v>5</v>
      </c>
      <c r="G445" s="21">
        <v>24.6</v>
      </c>
      <c r="H445" s="13">
        <v>85.378048780487802</v>
      </c>
      <c r="I445" s="13">
        <v>75.073170731707322</v>
      </c>
      <c r="J445" s="13">
        <v>101.57317073170729</v>
      </c>
      <c r="K445" s="7">
        <f t="shared" si="12"/>
        <v>89.646951219512189</v>
      </c>
      <c r="L445" s="7">
        <f t="shared" si="13"/>
        <v>81.109146341463415</v>
      </c>
      <c r="M445" s="3" t="s">
        <v>1140</v>
      </c>
    </row>
    <row r="446" spans="1:13" x14ac:dyDescent="0.35">
      <c r="A446" s="11" t="s">
        <v>1552</v>
      </c>
      <c r="B446" s="11" t="s">
        <v>11</v>
      </c>
      <c r="C446" s="11" t="s">
        <v>30</v>
      </c>
      <c r="D446" s="11" t="s">
        <v>237</v>
      </c>
      <c r="E446" s="11" t="s">
        <v>59</v>
      </c>
      <c r="F446" s="20">
        <v>8</v>
      </c>
      <c r="G446" s="21">
        <v>19.29</v>
      </c>
      <c r="H446" s="13">
        <v>116.7940074906367</v>
      </c>
      <c r="I446" s="13">
        <v>112.2590355805243</v>
      </c>
      <c r="J446" s="13">
        <v>132.43632958801501</v>
      </c>
      <c r="K446" s="7">
        <f t="shared" si="12"/>
        <v>122.63370786516855</v>
      </c>
      <c r="L446" s="7">
        <f t="shared" si="13"/>
        <v>110.95430711610486</v>
      </c>
      <c r="M446" s="3" t="s">
        <v>1207</v>
      </c>
    </row>
    <row r="447" spans="1:13" x14ac:dyDescent="0.35">
      <c r="A447" s="11" t="s">
        <v>1553</v>
      </c>
      <c r="B447" s="11" t="s">
        <v>11</v>
      </c>
      <c r="C447" s="11" t="s">
        <v>30</v>
      </c>
      <c r="D447" s="11" t="s">
        <v>237</v>
      </c>
      <c r="E447" s="11" t="s">
        <v>338</v>
      </c>
      <c r="F447" s="20">
        <v>7</v>
      </c>
      <c r="G447" s="21">
        <v>53.31</v>
      </c>
      <c r="H447" s="13">
        <v>99.497477295660943</v>
      </c>
      <c r="I447" s="13">
        <v>93.67911200807265</v>
      </c>
      <c r="J447" s="13">
        <v>114.9042553191489</v>
      </c>
      <c r="K447" s="7">
        <f t="shared" si="12"/>
        <v>104.47235116044399</v>
      </c>
      <c r="L447" s="7">
        <f t="shared" si="13"/>
        <v>94.522603430877894</v>
      </c>
      <c r="M447" s="3" t="s">
        <v>1257</v>
      </c>
    </row>
    <row r="448" spans="1:13" x14ac:dyDescent="0.35">
      <c r="A448" s="11" t="s">
        <v>1554</v>
      </c>
      <c r="B448" s="11" t="s">
        <v>11</v>
      </c>
      <c r="C448" s="11" t="s">
        <v>30</v>
      </c>
      <c r="D448" s="11" t="s">
        <v>237</v>
      </c>
      <c r="E448" s="11" t="s">
        <v>28</v>
      </c>
      <c r="F448" s="20">
        <v>6</v>
      </c>
      <c r="G448" s="21">
        <v>5.34</v>
      </c>
      <c r="H448" s="13">
        <v>54.213483146067418</v>
      </c>
      <c r="I448" s="13">
        <v>40.665730337078656</v>
      </c>
      <c r="J448" s="13">
        <v>62.806179775280889</v>
      </c>
      <c r="K448" s="7">
        <f t="shared" si="12"/>
        <v>56.924157303370791</v>
      </c>
      <c r="L448" s="7">
        <f t="shared" si="13"/>
        <v>51.502808988764045</v>
      </c>
      <c r="M448" s="3" t="s">
        <v>1143</v>
      </c>
    </row>
    <row r="449" spans="1:13" x14ac:dyDescent="0.35">
      <c r="A449" s="11" t="s">
        <v>1555</v>
      </c>
      <c r="B449" s="11" t="s">
        <v>11</v>
      </c>
      <c r="C449" s="11" t="s">
        <v>30</v>
      </c>
      <c r="D449" s="11" t="s">
        <v>237</v>
      </c>
      <c r="E449" s="11" t="s">
        <v>186</v>
      </c>
      <c r="F449" s="20">
        <v>4</v>
      </c>
      <c r="G449" s="21">
        <v>26.12</v>
      </c>
      <c r="H449" s="13">
        <v>125.13875999275849</v>
      </c>
      <c r="I449" s="13">
        <v>111.3863314784995</v>
      </c>
      <c r="J449" s="13">
        <v>144.0984042553192</v>
      </c>
      <c r="K449" s="7">
        <f t="shared" si="12"/>
        <v>131.39569799239644</v>
      </c>
      <c r="L449" s="7">
        <f t="shared" si="13"/>
        <v>118.88182199312057</v>
      </c>
      <c r="M449" s="3" t="s">
        <v>1231</v>
      </c>
    </row>
    <row r="450" spans="1:13" x14ac:dyDescent="0.35">
      <c r="A450" s="11" t="s">
        <v>238</v>
      </c>
      <c r="B450" s="11" t="s">
        <v>11</v>
      </c>
      <c r="C450" s="11" t="s">
        <v>30</v>
      </c>
      <c r="D450" s="11" t="s">
        <v>237</v>
      </c>
      <c r="E450" s="11" t="s">
        <v>93</v>
      </c>
      <c r="F450" s="20">
        <v>15</v>
      </c>
      <c r="G450" s="21">
        <v>108.48</v>
      </c>
      <c r="H450" s="13">
        <v>93.119217081850536</v>
      </c>
      <c r="I450" s="13">
        <v>72.270462633451956</v>
      </c>
      <c r="J450" s="13">
        <v>118.57508788440779</v>
      </c>
      <c r="K450" s="7">
        <f t="shared" si="12"/>
        <v>97.775177935943063</v>
      </c>
      <c r="L450" s="7">
        <f t="shared" si="13"/>
        <v>88.463256227758009</v>
      </c>
      <c r="M450" s="3" t="s">
        <v>1125</v>
      </c>
    </row>
    <row r="451" spans="1:13" x14ac:dyDescent="0.35">
      <c r="A451" s="11" t="s">
        <v>1556</v>
      </c>
      <c r="B451" s="11" t="s">
        <v>11</v>
      </c>
      <c r="C451" s="11" t="s">
        <v>30</v>
      </c>
      <c r="D451" s="11" t="s">
        <v>237</v>
      </c>
      <c r="E451" s="11" t="s">
        <v>131</v>
      </c>
      <c r="F451" s="20">
        <v>25</v>
      </c>
      <c r="G451" s="21">
        <v>146.96</v>
      </c>
      <c r="H451" s="13">
        <v>92.679536679536682</v>
      </c>
      <c r="I451" s="13">
        <v>68.928433268858811</v>
      </c>
      <c r="J451" s="13">
        <v>114.51463644948061</v>
      </c>
      <c r="K451" s="7">
        <f t="shared" si="12"/>
        <v>97.313513513513513</v>
      </c>
      <c r="L451" s="7">
        <f t="shared" si="13"/>
        <v>88.04555984555985</v>
      </c>
      <c r="M451" s="3" t="s">
        <v>1240</v>
      </c>
    </row>
    <row r="452" spans="1:13" x14ac:dyDescent="0.35">
      <c r="A452" s="11" t="s">
        <v>1557</v>
      </c>
      <c r="B452" s="11" t="s">
        <v>11</v>
      </c>
      <c r="C452" s="11" t="s">
        <v>30</v>
      </c>
      <c r="D452" s="11" t="s">
        <v>88</v>
      </c>
      <c r="E452" s="11" t="s">
        <v>360</v>
      </c>
      <c r="F452" s="20">
        <v>1</v>
      </c>
      <c r="G452" s="21">
        <v>2.6</v>
      </c>
      <c r="H452" s="13">
        <v>129.63846153846151</v>
      </c>
      <c r="I452" s="13">
        <v>129.63846153846151</v>
      </c>
      <c r="J452" s="13">
        <v>129.63846153846151</v>
      </c>
      <c r="K452" s="7">
        <f t="shared" si="12"/>
        <v>136.12038461538461</v>
      </c>
      <c r="L452" s="7">
        <f t="shared" si="13"/>
        <v>123.15653846153843</v>
      </c>
      <c r="M452" s="3" t="s">
        <v>1157</v>
      </c>
    </row>
    <row r="453" spans="1:13" x14ac:dyDescent="0.35">
      <c r="A453" s="11" t="s">
        <v>1558</v>
      </c>
      <c r="B453" s="11" t="s">
        <v>11</v>
      </c>
      <c r="C453" s="11" t="s">
        <v>30</v>
      </c>
      <c r="D453" s="11" t="s">
        <v>88</v>
      </c>
      <c r="E453" s="11" t="s">
        <v>364</v>
      </c>
      <c r="F453" s="20">
        <v>7</v>
      </c>
      <c r="G453" s="21">
        <v>44.53</v>
      </c>
      <c r="H453" s="13">
        <v>105.5496688741722</v>
      </c>
      <c r="I453" s="13">
        <v>100.53286582868139</v>
      </c>
      <c r="J453" s="13">
        <v>117.8355408388521</v>
      </c>
      <c r="K453" s="7">
        <f t="shared" ref="K453:K516" si="14">H453*(1+$B$2)</f>
        <v>110.82715231788082</v>
      </c>
      <c r="L453" s="7">
        <f t="shared" ref="L453:L516" si="15">H453*(1-$B$2)</f>
        <v>100.27218543046358</v>
      </c>
      <c r="M453" s="3" t="s">
        <v>1208</v>
      </c>
    </row>
    <row r="454" spans="1:13" x14ac:dyDescent="0.35">
      <c r="A454" s="11" t="s">
        <v>285</v>
      </c>
      <c r="B454" s="11" t="s">
        <v>11</v>
      </c>
      <c r="C454" s="11" t="s">
        <v>30</v>
      </c>
      <c r="D454" s="11" t="s">
        <v>88</v>
      </c>
      <c r="E454" s="11" t="s">
        <v>101</v>
      </c>
      <c r="F454" s="20">
        <v>8</v>
      </c>
      <c r="G454" s="21">
        <v>41.18</v>
      </c>
      <c r="H454" s="13">
        <v>103.61370515329421</v>
      </c>
      <c r="I454" s="13">
        <v>95.974549071618043</v>
      </c>
      <c r="J454" s="13">
        <v>107.6210744664692</v>
      </c>
      <c r="K454" s="7">
        <f t="shared" si="14"/>
        <v>108.79439041095893</v>
      </c>
      <c r="L454" s="7">
        <f t="shared" si="15"/>
        <v>98.433019895629485</v>
      </c>
      <c r="M454" s="3" t="s">
        <v>1148</v>
      </c>
    </row>
    <row r="455" spans="1:13" x14ac:dyDescent="0.35">
      <c r="A455" s="11" t="s">
        <v>1559</v>
      </c>
      <c r="B455" s="11" t="s">
        <v>11</v>
      </c>
      <c r="C455" s="11" t="s">
        <v>30</v>
      </c>
      <c r="D455" s="11" t="s">
        <v>88</v>
      </c>
      <c r="E455" s="11" t="s">
        <v>393</v>
      </c>
      <c r="F455" s="20">
        <v>2</v>
      </c>
      <c r="G455" s="21">
        <v>15.96</v>
      </c>
      <c r="H455" s="13">
        <v>103.2957393483709</v>
      </c>
      <c r="I455" s="13">
        <v>97.484335839598984</v>
      </c>
      <c r="J455" s="13">
        <v>109.1071428571428</v>
      </c>
      <c r="K455" s="7">
        <f t="shared" si="14"/>
        <v>108.46052631578945</v>
      </c>
      <c r="L455" s="7">
        <f t="shared" si="15"/>
        <v>98.130952380952351</v>
      </c>
      <c r="M455" s="3" t="s">
        <v>1185</v>
      </c>
    </row>
    <row r="456" spans="1:13" x14ac:dyDescent="0.35">
      <c r="A456" s="11" t="s">
        <v>421</v>
      </c>
      <c r="B456" s="11" t="s">
        <v>11</v>
      </c>
      <c r="C456" s="11" t="s">
        <v>30</v>
      </c>
      <c r="D456" s="11" t="s">
        <v>88</v>
      </c>
      <c r="E456" s="11" t="s">
        <v>62</v>
      </c>
      <c r="F456" s="20">
        <v>18</v>
      </c>
      <c r="G456" s="21">
        <v>216.3</v>
      </c>
      <c r="H456" s="13">
        <v>127.15905576344301</v>
      </c>
      <c r="I456" s="13">
        <v>95.899999999999991</v>
      </c>
      <c r="J456" s="13">
        <v>143.20981947191979</v>
      </c>
      <c r="K456" s="7">
        <f t="shared" si="14"/>
        <v>133.51700855161516</v>
      </c>
      <c r="L456" s="7">
        <f t="shared" si="15"/>
        <v>120.80110297527085</v>
      </c>
      <c r="M456" s="3" t="s">
        <v>1208</v>
      </c>
    </row>
    <row r="457" spans="1:13" x14ac:dyDescent="0.35">
      <c r="A457" s="11" t="s">
        <v>140</v>
      </c>
      <c r="B457" s="11" t="s">
        <v>11</v>
      </c>
      <c r="C457" s="11" t="s">
        <v>30</v>
      </c>
      <c r="D457" s="11" t="s">
        <v>88</v>
      </c>
      <c r="E457" s="11" t="s">
        <v>39</v>
      </c>
      <c r="F457" s="20">
        <v>116</v>
      </c>
      <c r="G457" s="21">
        <v>1085.03</v>
      </c>
      <c r="H457" s="13">
        <v>121.38787286830549</v>
      </c>
      <c r="I457" s="13">
        <v>110.12566388054501</v>
      </c>
      <c r="J457" s="13">
        <v>135.89977793177309</v>
      </c>
      <c r="K457" s="7">
        <f t="shared" si="14"/>
        <v>127.45726651172077</v>
      </c>
      <c r="L457" s="7">
        <f t="shared" si="15"/>
        <v>115.31847922489021</v>
      </c>
      <c r="M457" s="3" t="s">
        <v>1125</v>
      </c>
    </row>
    <row r="458" spans="1:13" x14ac:dyDescent="0.35">
      <c r="A458" s="11" t="s">
        <v>351</v>
      </c>
      <c r="B458" s="11" t="s">
        <v>11</v>
      </c>
      <c r="C458" s="11" t="s">
        <v>30</v>
      </c>
      <c r="D458" s="11" t="s">
        <v>88</v>
      </c>
      <c r="E458" s="11" t="s">
        <v>84</v>
      </c>
      <c r="F458" s="20">
        <v>58</v>
      </c>
      <c r="G458" s="21">
        <v>617.09</v>
      </c>
      <c r="H458" s="13">
        <v>106.29246581471931</v>
      </c>
      <c r="I458" s="13">
        <v>90.256040852373587</v>
      </c>
      <c r="J458" s="13">
        <v>120.9446564885496</v>
      </c>
      <c r="K458" s="7">
        <f t="shared" si="14"/>
        <v>111.60708910545527</v>
      </c>
      <c r="L458" s="7">
        <f t="shared" si="15"/>
        <v>100.97784252398334</v>
      </c>
      <c r="M458" s="3" t="s">
        <v>1125</v>
      </c>
    </row>
    <row r="459" spans="1:13" x14ac:dyDescent="0.35">
      <c r="A459" s="11" t="s">
        <v>354</v>
      </c>
      <c r="B459" s="11" t="s">
        <v>11</v>
      </c>
      <c r="C459" s="11" t="s">
        <v>30</v>
      </c>
      <c r="D459" s="11" t="s">
        <v>88</v>
      </c>
      <c r="E459" s="11" t="s">
        <v>43</v>
      </c>
      <c r="F459" s="20">
        <v>32</v>
      </c>
      <c r="G459" s="21">
        <v>417.58</v>
      </c>
      <c r="H459" s="13">
        <v>100.232421875</v>
      </c>
      <c r="I459" s="13">
        <v>91.450579104574786</v>
      </c>
      <c r="J459" s="13">
        <v>128.12298183652879</v>
      </c>
      <c r="K459" s="7">
        <f t="shared" si="14"/>
        <v>105.24404296875001</v>
      </c>
      <c r="L459" s="7">
        <f t="shared" si="15"/>
        <v>95.220800781249991</v>
      </c>
      <c r="M459" s="3" t="s">
        <v>1125</v>
      </c>
    </row>
    <row r="460" spans="1:13" x14ac:dyDescent="0.35">
      <c r="A460" s="11" t="s">
        <v>1560</v>
      </c>
      <c r="B460" s="11" t="s">
        <v>11</v>
      </c>
      <c r="C460" s="11" t="s">
        <v>30</v>
      </c>
      <c r="D460" s="11" t="s">
        <v>88</v>
      </c>
      <c r="E460" s="11" t="s">
        <v>196</v>
      </c>
      <c r="F460" s="20">
        <v>4</v>
      </c>
      <c r="G460" s="21">
        <v>36.4</v>
      </c>
      <c r="H460" s="13">
        <v>116.89945054945061</v>
      </c>
      <c r="I460" s="13">
        <v>103.5686813186813</v>
      </c>
      <c r="J460" s="13">
        <v>128.19953296703301</v>
      </c>
      <c r="K460" s="7">
        <f t="shared" si="14"/>
        <v>122.74442307692314</v>
      </c>
      <c r="L460" s="7">
        <f t="shared" si="15"/>
        <v>111.05447802197807</v>
      </c>
      <c r="M460" s="3" t="s">
        <v>1231</v>
      </c>
    </row>
    <row r="461" spans="1:13" x14ac:dyDescent="0.35">
      <c r="A461" s="11" t="s">
        <v>299</v>
      </c>
      <c r="B461" s="11" t="s">
        <v>11</v>
      </c>
      <c r="C461" s="11" t="s">
        <v>30</v>
      </c>
      <c r="D461" s="11" t="s">
        <v>88</v>
      </c>
      <c r="E461" s="11" t="s">
        <v>35</v>
      </c>
      <c r="F461" s="20">
        <v>5</v>
      </c>
      <c r="G461" s="21">
        <v>20.02</v>
      </c>
      <c r="H461" s="13">
        <v>128.89077212806029</v>
      </c>
      <c r="I461" s="13">
        <v>94.98888888888888</v>
      </c>
      <c r="J461" s="13">
        <v>154.63793103448279</v>
      </c>
      <c r="K461" s="7">
        <f t="shared" si="14"/>
        <v>135.33531073446332</v>
      </c>
      <c r="L461" s="7">
        <f t="shared" si="15"/>
        <v>122.44623352165728</v>
      </c>
      <c r="M461" s="3" t="s">
        <v>1127</v>
      </c>
    </row>
    <row r="462" spans="1:13" x14ac:dyDescent="0.35">
      <c r="A462" s="11" t="s">
        <v>1561</v>
      </c>
      <c r="B462" s="11" t="s">
        <v>11</v>
      </c>
      <c r="C462" s="11" t="s">
        <v>30</v>
      </c>
      <c r="D462" s="11" t="s">
        <v>88</v>
      </c>
      <c r="E462" s="11" t="s">
        <v>328</v>
      </c>
      <c r="F462" s="20">
        <v>12</v>
      </c>
      <c r="G462" s="21">
        <v>58.120000000000012</v>
      </c>
      <c r="H462" s="13">
        <v>88.364357222310502</v>
      </c>
      <c r="I462" s="13">
        <v>84.512356601309051</v>
      </c>
      <c r="J462" s="13">
        <v>104.92272613170449</v>
      </c>
      <c r="K462" s="7">
        <f t="shared" si="14"/>
        <v>92.782575083426025</v>
      </c>
      <c r="L462" s="7">
        <f t="shared" si="15"/>
        <v>83.94613936119498</v>
      </c>
      <c r="M462" s="3" t="s">
        <v>1148</v>
      </c>
    </row>
    <row r="463" spans="1:13" x14ac:dyDescent="0.35">
      <c r="A463" s="11" t="s">
        <v>90</v>
      </c>
      <c r="B463" s="11" t="s">
        <v>11</v>
      </c>
      <c r="C463" s="11" t="s">
        <v>30</v>
      </c>
      <c r="D463" s="11" t="s">
        <v>88</v>
      </c>
      <c r="E463" s="11" t="s">
        <v>89</v>
      </c>
      <c r="F463" s="20">
        <v>10</v>
      </c>
      <c r="G463" s="21">
        <v>98.49</v>
      </c>
      <c r="H463" s="13">
        <v>128.02948025628439</v>
      </c>
      <c r="I463" s="13">
        <v>118.3376916997249</v>
      </c>
      <c r="J463" s="13">
        <v>133.285409035409</v>
      </c>
      <c r="K463" s="7">
        <f t="shared" si="14"/>
        <v>134.43095426909861</v>
      </c>
      <c r="L463" s="7">
        <f t="shared" si="15"/>
        <v>121.62800624347017</v>
      </c>
      <c r="M463" s="3" t="s">
        <v>1148</v>
      </c>
    </row>
    <row r="464" spans="1:13" x14ac:dyDescent="0.35">
      <c r="A464" s="11" t="s">
        <v>1562</v>
      </c>
      <c r="B464" s="11" t="s">
        <v>11</v>
      </c>
      <c r="C464" s="11" t="s">
        <v>30</v>
      </c>
      <c r="D464" s="11" t="s">
        <v>88</v>
      </c>
      <c r="E464" s="11" t="s">
        <v>73</v>
      </c>
      <c r="F464" s="20">
        <v>4</v>
      </c>
      <c r="G464" s="21">
        <v>32.049999999999997</v>
      </c>
      <c r="H464" s="13">
        <v>118.9826967758483</v>
      </c>
      <c r="I464" s="13">
        <v>106.5019849826235</v>
      </c>
      <c r="J464" s="13">
        <v>131.9669249106079</v>
      </c>
      <c r="K464" s="7">
        <f t="shared" si="14"/>
        <v>124.93183161464071</v>
      </c>
      <c r="L464" s="7">
        <f t="shared" si="15"/>
        <v>113.03356193705588</v>
      </c>
      <c r="M464" s="3" t="s">
        <v>1157</v>
      </c>
    </row>
    <row r="465" spans="1:13" x14ac:dyDescent="0.35">
      <c r="A465" s="11" t="s">
        <v>1563</v>
      </c>
      <c r="B465" s="11" t="s">
        <v>11</v>
      </c>
      <c r="C465" s="11" t="s">
        <v>30</v>
      </c>
      <c r="D465" s="11" t="s">
        <v>88</v>
      </c>
      <c r="E465" s="11" t="s">
        <v>147</v>
      </c>
      <c r="F465" s="20">
        <v>7</v>
      </c>
      <c r="G465" s="21">
        <v>63.540000000000013</v>
      </c>
      <c r="H465" s="13">
        <v>81.133421400264197</v>
      </c>
      <c r="I465" s="13">
        <v>72.005284015852041</v>
      </c>
      <c r="J465" s="13">
        <v>106.7532966776604</v>
      </c>
      <c r="K465" s="7">
        <f t="shared" si="14"/>
        <v>85.190092470277406</v>
      </c>
      <c r="L465" s="7">
        <f t="shared" si="15"/>
        <v>77.076750330250988</v>
      </c>
      <c r="M465" s="3" t="s">
        <v>1148</v>
      </c>
    </row>
    <row r="466" spans="1:13" x14ac:dyDescent="0.35">
      <c r="A466" s="11" t="s">
        <v>1564</v>
      </c>
      <c r="B466" s="11" t="s">
        <v>11</v>
      </c>
      <c r="C466" s="11" t="s">
        <v>30</v>
      </c>
      <c r="D466" s="11" t="s">
        <v>88</v>
      </c>
      <c r="E466" s="11" t="s">
        <v>1267</v>
      </c>
      <c r="F466" s="20">
        <v>3</v>
      </c>
      <c r="G466" s="21">
        <v>18.37</v>
      </c>
      <c r="H466" s="13">
        <v>167.54769921436591</v>
      </c>
      <c r="I466" s="13">
        <v>138.7751449439705</v>
      </c>
      <c r="J466" s="13">
        <v>171.78992103575439</v>
      </c>
      <c r="K466" s="7">
        <f t="shared" si="14"/>
        <v>175.92508417508421</v>
      </c>
      <c r="L466" s="7">
        <f t="shared" si="15"/>
        <v>159.1703142536476</v>
      </c>
      <c r="M466" s="3" t="s">
        <v>1290</v>
      </c>
    </row>
    <row r="467" spans="1:13" x14ac:dyDescent="0.35">
      <c r="A467" s="11" t="s">
        <v>1565</v>
      </c>
      <c r="B467" s="11" t="s">
        <v>11</v>
      </c>
      <c r="C467" s="11" t="s">
        <v>30</v>
      </c>
      <c r="D467" s="11" t="s">
        <v>88</v>
      </c>
      <c r="E467" s="11" t="s">
        <v>122</v>
      </c>
      <c r="F467" s="20">
        <v>9</v>
      </c>
      <c r="G467" s="21">
        <v>167.97</v>
      </c>
      <c r="H467" s="13">
        <v>117.47822099954151</v>
      </c>
      <c r="I467" s="13">
        <v>102.9426868408987</v>
      </c>
      <c r="J467" s="13">
        <v>128.63863337713539</v>
      </c>
      <c r="K467" s="7">
        <f t="shared" si="14"/>
        <v>123.35213204951859</v>
      </c>
      <c r="L467" s="7">
        <f t="shared" si="15"/>
        <v>111.60430994956442</v>
      </c>
      <c r="M467" s="3" t="s">
        <v>1193</v>
      </c>
    </row>
    <row r="468" spans="1:13" x14ac:dyDescent="0.35">
      <c r="A468" s="11" t="s">
        <v>1566</v>
      </c>
      <c r="B468" s="11" t="s">
        <v>11</v>
      </c>
      <c r="C468" s="11" t="s">
        <v>30</v>
      </c>
      <c r="D468" s="11" t="s">
        <v>88</v>
      </c>
      <c r="E468" s="11" t="s">
        <v>582</v>
      </c>
      <c r="F468" s="20">
        <v>5</v>
      </c>
      <c r="G468" s="21">
        <v>64.45</v>
      </c>
      <c r="H468" s="13">
        <v>89.422808378588059</v>
      </c>
      <c r="I468" s="13">
        <v>86.794414274631492</v>
      </c>
      <c r="J468" s="13">
        <v>92.132660977501928</v>
      </c>
      <c r="K468" s="7">
        <f t="shared" si="14"/>
        <v>93.893948797517467</v>
      </c>
      <c r="L468" s="7">
        <f t="shared" si="15"/>
        <v>84.95166795965865</v>
      </c>
      <c r="M468" s="3" t="s">
        <v>1148</v>
      </c>
    </row>
    <row r="469" spans="1:13" x14ac:dyDescent="0.35">
      <c r="A469" s="11" t="s">
        <v>1567</v>
      </c>
      <c r="B469" s="11" t="s">
        <v>11</v>
      </c>
      <c r="C469" s="11" t="s">
        <v>30</v>
      </c>
      <c r="D469" s="11" t="s">
        <v>88</v>
      </c>
      <c r="E469" s="11" t="s">
        <v>99</v>
      </c>
      <c r="F469" s="20">
        <v>5</v>
      </c>
      <c r="G469" s="21">
        <v>27.47</v>
      </c>
      <c r="H469" s="13">
        <v>70.171270718232051</v>
      </c>
      <c r="I469" s="13">
        <v>59.72595281306716</v>
      </c>
      <c r="J469" s="13">
        <v>72.758620689655174</v>
      </c>
      <c r="K469" s="7">
        <f t="shared" si="14"/>
        <v>73.679834254143657</v>
      </c>
      <c r="L469" s="7">
        <f t="shared" si="15"/>
        <v>66.662707182320446</v>
      </c>
      <c r="M469" s="3" t="s">
        <v>1215</v>
      </c>
    </row>
    <row r="470" spans="1:13" x14ac:dyDescent="0.35">
      <c r="A470" s="11" t="s">
        <v>1568</v>
      </c>
      <c r="B470" s="11" t="s">
        <v>11</v>
      </c>
      <c r="C470" s="11" t="s">
        <v>30</v>
      </c>
      <c r="D470" s="11" t="s">
        <v>88</v>
      </c>
      <c r="E470" s="11" t="s">
        <v>524</v>
      </c>
      <c r="F470" s="20">
        <v>1</v>
      </c>
      <c r="G470" s="21">
        <v>15.97</v>
      </c>
      <c r="H470" s="13">
        <v>150.81840951784599</v>
      </c>
      <c r="I470" s="13">
        <v>150.81840951784599</v>
      </c>
      <c r="J470" s="13">
        <v>150.81840951784599</v>
      </c>
      <c r="K470" s="7">
        <f t="shared" si="14"/>
        <v>158.3593299937383</v>
      </c>
      <c r="L470" s="7">
        <f t="shared" si="15"/>
        <v>143.27748904195369</v>
      </c>
      <c r="M470" s="3" t="s">
        <v>1157</v>
      </c>
    </row>
    <row r="471" spans="1:13" x14ac:dyDescent="0.35">
      <c r="A471" s="11" t="s">
        <v>1569</v>
      </c>
      <c r="B471" s="11" t="s">
        <v>11</v>
      </c>
      <c r="C471" s="11" t="s">
        <v>30</v>
      </c>
      <c r="D471" s="11" t="s">
        <v>88</v>
      </c>
      <c r="E471" s="11" t="s">
        <v>414</v>
      </c>
      <c r="F471" s="20">
        <v>6</v>
      </c>
      <c r="G471" s="21">
        <v>49.139999999999993</v>
      </c>
      <c r="H471" s="13">
        <v>108.7460317460317</v>
      </c>
      <c r="I471" s="13">
        <v>100.1419413919414</v>
      </c>
      <c r="J471" s="13">
        <v>117.3702686202686</v>
      </c>
      <c r="K471" s="7">
        <f t="shared" si="14"/>
        <v>114.18333333333329</v>
      </c>
      <c r="L471" s="7">
        <f t="shared" si="15"/>
        <v>103.30873015873011</v>
      </c>
      <c r="M471" s="3" t="s">
        <v>1240</v>
      </c>
    </row>
    <row r="472" spans="1:13" x14ac:dyDescent="0.35">
      <c r="A472" s="11" t="s">
        <v>1570</v>
      </c>
      <c r="B472" s="11" t="s">
        <v>11</v>
      </c>
      <c r="C472" s="11" t="s">
        <v>30</v>
      </c>
      <c r="D472" s="11" t="s">
        <v>88</v>
      </c>
      <c r="E472" s="11" t="s">
        <v>59</v>
      </c>
      <c r="F472" s="20">
        <v>5</v>
      </c>
      <c r="G472" s="21">
        <v>27.75</v>
      </c>
      <c r="H472" s="13">
        <v>132.57639939485631</v>
      </c>
      <c r="I472" s="13">
        <v>129.780303030303</v>
      </c>
      <c r="J472" s="13">
        <v>144.7624810892587</v>
      </c>
      <c r="K472" s="7">
        <f t="shared" si="14"/>
        <v>139.20521936459915</v>
      </c>
      <c r="L472" s="7">
        <f t="shared" si="15"/>
        <v>125.94757942511349</v>
      </c>
      <c r="M472" s="3" t="s">
        <v>1571</v>
      </c>
    </row>
    <row r="473" spans="1:13" x14ac:dyDescent="0.35">
      <c r="A473" s="11" t="s">
        <v>1572</v>
      </c>
      <c r="B473" s="11" t="s">
        <v>11</v>
      </c>
      <c r="C473" s="11" t="s">
        <v>30</v>
      </c>
      <c r="D473" s="11" t="s">
        <v>88</v>
      </c>
      <c r="E473" s="11" t="s">
        <v>54</v>
      </c>
      <c r="F473" s="20">
        <v>10</v>
      </c>
      <c r="G473" s="21">
        <v>31.12</v>
      </c>
      <c r="H473" s="13">
        <v>122.78207547169811</v>
      </c>
      <c r="I473" s="13">
        <v>108.0078475336323</v>
      </c>
      <c r="J473" s="13">
        <v>150.33107325467881</v>
      </c>
      <c r="K473" s="7">
        <f t="shared" si="14"/>
        <v>128.92117924528301</v>
      </c>
      <c r="L473" s="7">
        <f t="shared" si="15"/>
        <v>116.6429716981132</v>
      </c>
      <c r="M473" s="3" t="s">
        <v>1152</v>
      </c>
    </row>
    <row r="474" spans="1:13" x14ac:dyDescent="0.35">
      <c r="A474" s="11" t="s">
        <v>1573</v>
      </c>
      <c r="B474" s="11" t="s">
        <v>11</v>
      </c>
      <c r="C474" s="11" t="s">
        <v>30</v>
      </c>
      <c r="D474" s="11" t="s">
        <v>88</v>
      </c>
      <c r="E474" s="11" t="s">
        <v>107</v>
      </c>
      <c r="F474" s="20">
        <v>2</v>
      </c>
      <c r="G474" s="21">
        <v>28.82</v>
      </c>
      <c r="H474" s="13">
        <v>104.782078745555</v>
      </c>
      <c r="I474" s="13">
        <v>100.3175099610128</v>
      </c>
      <c r="J474" s="13">
        <v>109.24664753009721</v>
      </c>
      <c r="K474" s="7">
        <f t="shared" si="14"/>
        <v>110.02118268283276</v>
      </c>
      <c r="L474" s="7">
        <f t="shared" si="15"/>
        <v>99.542974808277236</v>
      </c>
      <c r="M474" s="3" t="s">
        <v>1130</v>
      </c>
    </row>
    <row r="475" spans="1:13" x14ac:dyDescent="0.35">
      <c r="A475" s="11" t="s">
        <v>1574</v>
      </c>
      <c r="B475" s="11" t="s">
        <v>11</v>
      </c>
      <c r="C475" s="11" t="s">
        <v>30</v>
      </c>
      <c r="D475" s="11" t="s">
        <v>88</v>
      </c>
      <c r="E475" s="11" t="s">
        <v>479</v>
      </c>
      <c r="F475" s="20">
        <v>2</v>
      </c>
      <c r="G475" s="21">
        <v>10.83</v>
      </c>
      <c r="H475" s="13">
        <v>136.60391939012709</v>
      </c>
      <c r="I475" s="13">
        <v>136.01943542321891</v>
      </c>
      <c r="J475" s="13">
        <v>137.18840335703541</v>
      </c>
      <c r="K475" s="7">
        <f t="shared" si="14"/>
        <v>143.43411535963344</v>
      </c>
      <c r="L475" s="7">
        <f t="shared" si="15"/>
        <v>129.77372342062074</v>
      </c>
      <c r="M475" s="3" t="s">
        <v>1154</v>
      </c>
    </row>
    <row r="476" spans="1:13" x14ac:dyDescent="0.35">
      <c r="A476" s="11" t="s">
        <v>164</v>
      </c>
      <c r="B476" s="11" t="s">
        <v>11</v>
      </c>
      <c r="C476" s="11" t="s">
        <v>30</v>
      </c>
      <c r="D476" s="11" t="s">
        <v>88</v>
      </c>
      <c r="E476" s="11" t="s">
        <v>28</v>
      </c>
      <c r="F476" s="20">
        <v>52</v>
      </c>
      <c r="G476" s="21">
        <v>772.90999999999974</v>
      </c>
      <c r="H476" s="13">
        <v>119.49786485666441</v>
      </c>
      <c r="I476" s="13">
        <v>98.077765736276376</v>
      </c>
      <c r="J476" s="13">
        <v>130.20562947065699</v>
      </c>
      <c r="K476" s="7">
        <f t="shared" si="14"/>
        <v>125.47275809949764</v>
      </c>
      <c r="L476" s="7">
        <f t="shared" si="15"/>
        <v>113.52297161383117</v>
      </c>
      <c r="M476" s="3" t="s">
        <v>1125</v>
      </c>
    </row>
    <row r="477" spans="1:13" x14ac:dyDescent="0.35">
      <c r="A477" s="11" t="s">
        <v>258</v>
      </c>
      <c r="B477" s="11" t="s">
        <v>11</v>
      </c>
      <c r="C477" s="11" t="s">
        <v>30</v>
      </c>
      <c r="D477" s="11" t="s">
        <v>88</v>
      </c>
      <c r="E477" s="11" t="s">
        <v>186</v>
      </c>
      <c r="F477" s="20">
        <v>11</v>
      </c>
      <c r="G477" s="21">
        <v>209.25</v>
      </c>
      <c r="H477" s="13">
        <v>107.4748001390337</v>
      </c>
      <c r="I477" s="13">
        <v>91.789621852426293</v>
      </c>
      <c r="J477" s="13">
        <v>119.0849864743012</v>
      </c>
      <c r="K477" s="7">
        <f t="shared" si="14"/>
        <v>112.8485401459854</v>
      </c>
      <c r="L477" s="7">
        <f t="shared" si="15"/>
        <v>102.10106013208201</v>
      </c>
      <c r="M477" s="3" t="s">
        <v>1148</v>
      </c>
    </row>
    <row r="478" spans="1:13" x14ac:dyDescent="0.35">
      <c r="A478" s="11" t="s">
        <v>173</v>
      </c>
      <c r="B478" s="11" t="s">
        <v>11</v>
      </c>
      <c r="C478" s="11" t="s">
        <v>30</v>
      </c>
      <c r="D478" s="11" t="s">
        <v>88</v>
      </c>
      <c r="E478" s="11" t="s">
        <v>93</v>
      </c>
      <c r="F478" s="20">
        <v>39</v>
      </c>
      <c r="G478" s="21">
        <v>244.71</v>
      </c>
      <c r="H478" s="13">
        <v>85.703225806451599</v>
      </c>
      <c r="I478" s="13">
        <v>75.167431464617721</v>
      </c>
      <c r="J478" s="13">
        <v>95.184985872533602</v>
      </c>
      <c r="K478" s="7">
        <f t="shared" si="14"/>
        <v>89.988387096774176</v>
      </c>
      <c r="L478" s="7">
        <f t="shared" si="15"/>
        <v>81.418064516129022</v>
      </c>
      <c r="M478" s="3" t="s">
        <v>1208</v>
      </c>
    </row>
    <row r="479" spans="1:13" x14ac:dyDescent="0.35">
      <c r="A479" s="11" t="s">
        <v>1575</v>
      </c>
      <c r="B479" s="11" t="s">
        <v>11</v>
      </c>
      <c r="C479" s="11" t="s">
        <v>30</v>
      </c>
      <c r="D479" s="11" t="s">
        <v>88</v>
      </c>
      <c r="E479" s="11" t="s">
        <v>131</v>
      </c>
      <c r="F479" s="20">
        <v>49</v>
      </c>
      <c r="G479" s="21">
        <v>272.52</v>
      </c>
      <c r="H479" s="13">
        <v>101.1647940074906</v>
      </c>
      <c r="I479" s="13">
        <v>86.844007490636713</v>
      </c>
      <c r="J479" s="13">
        <v>115.47402005469461</v>
      </c>
      <c r="K479" s="7">
        <f t="shared" si="14"/>
        <v>106.22303370786513</v>
      </c>
      <c r="L479" s="7">
        <f t="shared" si="15"/>
        <v>96.10655430711607</v>
      </c>
      <c r="M479" s="3" t="s">
        <v>1125</v>
      </c>
    </row>
    <row r="480" spans="1:13" x14ac:dyDescent="0.35">
      <c r="A480" s="11" t="s">
        <v>1576</v>
      </c>
      <c r="B480" s="11" t="s">
        <v>11</v>
      </c>
      <c r="C480" s="11" t="s">
        <v>614</v>
      </c>
      <c r="D480" s="11" t="s">
        <v>1124</v>
      </c>
      <c r="E480" s="11" t="s">
        <v>360</v>
      </c>
      <c r="F480" s="20">
        <v>28</v>
      </c>
      <c r="G480" s="21">
        <v>220.14</v>
      </c>
      <c r="H480" s="13">
        <v>94.992233484770566</v>
      </c>
      <c r="I480" s="13">
        <v>82.666483918128662</v>
      </c>
      <c r="J480" s="13">
        <v>115.1651880551116</v>
      </c>
      <c r="K480" s="7">
        <f t="shared" si="14"/>
        <v>99.741845159009102</v>
      </c>
      <c r="L480" s="7">
        <f t="shared" si="15"/>
        <v>90.242621810532029</v>
      </c>
      <c r="M480" s="3" t="s">
        <v>1125</v>
      </c>
    </row>
    <row r="481" spans="1:13" x14ac:dyDescent="0.35">
      <c r="A481" s="11" t="s">
        <v>1577</v>
      </c>
      <c r="B481" s="11" t="s">
        <v>11</v>
      </c>
      <c r="C481" s="11" t="s">
        <v>614</v>
      </c>
      <c r="D481" s="11" t="s">
        <v>1124</v>
      </c>
      <c r="E481" s="11" t="s">
        <v>364</v>
      </c>
      <c r="F481" s="20">
        <v>93</v>
      </c>
      <c r="G481" s="21">
        <v>735.25999999999988</v>
      </c>
      <c r="H481" s="13">
        <v>100.33995584988961</v>
      </c>
      <c r="I481" s="13">
        <v>82.115894039735096</v>
      </c>
      <c r="J481" s="13">
        <v>118.7823529411765</v>
      </c>
      <c r="K481" s="7">
        <f t="shared" si="14"/>
        <v>105.35695364238408</v>
      </c>
      <c r="L481" s="7">
        <f t="shared" si="15"/>
        <v>95.322958057395127</v>
      </c>
      <c r="M481" s="3" t="s">
        <v>1125</v>
      </c>
    </row>
    <row r="482" spans="1:13" x14ac:dyDescent="0.35">
      <c r="A482" s="11" t="s">
        <v>1578</v>
      </c>
      <c r="B482" s="11" t="s">
        <v>11</v>
      </c>
      <c r="C482" s="11" t="s">
        <v>614</v>
      </c>
      <c r="D482" s="11" t="s">
        <v>1124</v>
      </c>
      <c r="E482" s="11" t="s">
        <v>101</v>
      </c>
      <c r="F482" s="20">
        <v>182</v>
      </c>
      <c r="G482" s="21">
        <v>1220.08</v>
      </c>
      <c r="H482" s="13">
        <v>102.81192894624679</v>
      </c>
      <c r="I482" s="13">
        <v>90.591197318007659</v>
      </c>
      <c r="J482" s="13">
        <v>118.12666406768891</v>
      </c>
      <c r="K482" s="7">
        <f t="shared" si="14"/>
        <v>107.95252539355914</v>
      </c>
      <c r="L482" s="7">
        <f t="shared" si="15"/>
        <v>97.671332498934447</v>
      </c>
      <c r="M482" s="3" t="s">
        <v>1125</v>
      </c>
    </row>
    <row r="483" spans="1:13" x14ac:dyDescent="0.35">
      <c r="A483" s="11" t="s">
        <v>1579</v>
      </c>
      <c r="B483" s="11" t="s">
        <v>11</v>
      </c>
      <c r="C483" s="11" t="s">
        <v>614</v>
      </c>
      <c r="D483" s="11" t="s">
        <v>1124</v>
      </c>
      <c r="E483" s="11" t="s">
        <v>393</v>
      </c>
      <c r="F483" s="20">
        <v>52</v>
      </c>
      <c r="G483" s="21">
        <v>377.74999999999989</v>
      </c>
      <c r="H483" s="13">
        <v>91.940795169742529</v>
      </c>
      <c r="I483" s="13">
        <v>68.765490728177298</v>
      </c>
      <c r="J483" s="13">
        <v>111.8384467881112</v>
      </c>
      <c r="K483" s="7">
        <f t="shared" si="14"/>
        <v>96.537834928229657</v>
      </c>
      <c r="L483" s="7">
        <f t="shared" si="15"/>
        <v>87.343755411255401</v>
      </c>
      <c r="M483" s="3" t="s">
        <v>1125</v>
      </c>
    </row>
    <row r="484" spans="1:13" x14ac:dyDescent="0.35">
      <c r="A484" s="11" t="s">
        <v>1580</v>
      </c>
      <c r="B484" s="11" t="s">
        <v>11</v>
      </c>
      <c r="C484" s="11" t="s">
        <v>614</v>
      </c>
      <c r="D484" s="11" t="s">
        <v>1124</v>
      </c>
      <c r="E484" s="11" t="s">
        <v>62</v>
      </c>
      <c r="F484" s="20">
        <v>372</v>
      </c>
      <c r="G484" s="21">
        <v>3709.21</v>
      </c>
      <c r="H484" s="13">
        <v>125.8451846984544</v>
      </c>
      <c r="I484" s="13">
        <v>109.3375625468058</v>
      </c>
      <c r="J484" s="13">
        <v>143.0831173671634</v>
      </c>
      <c r="K484" s="7">
        <f t="shared" si="14"/>
        <v>132.13744393337714</v>
      </c>
      <c r="L484" s="7">
        <f t="shared" si="15"/>
        <v>119.55292546353168</v>
      </c>
      <c r="M484" s="3" t="s">
        <v>1125</v>
      </c>
    </row>
    <row r="485" spans="1:13" x14ac:dyDescent="0.35">
      <c r="A485" s="11" t="s">
        <v>1581</v>
      </c>
      <c r="B485" s="11" t="s">
        <v>11</v>
      </c>
      <c r="C485" s="11" t="s">
        <v>614</v>
      </c>
      <c r="D485" s="11" t="s">
        <v>1124</v>
      </c>
      <c r="E485" s="11" t="s">
        <v>39</v>
      </c>
      <c r="F485" s="20">
        <v>1186</v>
      </c>
      <c r="G485" s="21">
        <v>11462.93</v>
      </c>
      <c r="H485" s="13">
        <v>124.1425521083528</v>
      </c>
      <c r="I485" s="13">
        <v>110.3361848946025</v>
      </c>
      <c r="J485" s="13">
        <v>138.5326543967754</v>
      </c>
      <c r="K485" s="7">
        <f t="shared" si="14"/>
        <v>130.34967971377046</v>
      </c>
      <c r="L485" s="7">
        <f t="shared" si="15"/>
        <v>117.93542450293516</v>
      </c>
      <c r="M485" s="3" t="s">
        <v>1125</v>
      </c>
    </row>
    <row r="486" spans="1:13" x14ac:dyDescent="0.35">
      <c r="A486" s="11" t="s">
        <v>1582</v>
      </c>
      <c r="B486" s="11" t="s">
        <v>11</v>
      </c>
      <c r="C486" s="11" t="s">
        <v>614</v>
      </c>
      <c r="D486" s="11" t="s">
        <v>1124</v>
      </c>
      <c r="E486" s="11" t="s">
        <v>84</v>
      </c>
      <c r="F486" s="20">
        <v>760</v>
      </c>
      <c r="G486" s="21">
        <v>7512.2100000000009</v>
      </c>
      <c r="H486" s="13">
        <v>110.7904532398949</v>
      </c>
      <c r="I486" s="13">
        <v>93.573943661971839</v>
      </c>
      <c r="J486" s="13">
        <v>127.2579181798185</v>
      </c>
      <c r="K486" s="7">
        <f t="shared" si="14"/>
        <v>116.32997590188965</v>
      </c>
      <c r="L486" s="7">
        <f t="shared" si="15"/>
        <v>105.25093057790015</v>
      </c>
      <c r="M486" s="3" t="s">
        <v>1125</v>
      </c>
    </row>
    <row r="487" spans="1:13" x14ac:dyDescent="0.35">
      <c r="A487" s="11" t="s">
        <v>1583</v>
      </c>
      <c r="B487" s="11" t="s">
        <v>11</v>
      </c>
      <c r="C487" s="11" t="s">
        <v>614</v>
      </c>
      <c r="D487" s="11" t="s">
        <v>1124</v>
      </c>
      <c r="E487" s="11" t="s">
        <v>43</v>
      </c>
      <c r="F487" s="20">
        <v>692</v>
      </c>
      <c r="G487" s="21">
        <v>6510.69</v>
      </c>
      <c r="H487" s="13">
        <v>105.6973864321841</v>
      </c>
      <c r="I487" s="13">
        <v>90.818910485105363</v>
      </c>
      <c r="J487" s="13">
        <v>121.48074192541741</v>
      </c>
      <c r="K487" s="7">
        <f t="shared" si="14"/>
        <v>110.98225575379331</v>
      </c>
      <c r="L487" s="7">
        <f t="shared" si="15"/>
        <v>100.4125171105749</v>
      </c>
      <c r="M487" s="3" t="s">
        <v>1125</v>
      </c>
    </row>
    <row r="488" spans="1:13" x14ac:dyDescent="0.35">
      <c r="A488" s="11" t="s">
        <v>1584</v>
      </c>
      <c r="B488" s="11" t="s">
        <v>11</v>
      </c>
      <c r="C488" s="11" t="s">
        <v>614</v>
      </c>
      <c r="D488" s="11" t="s">
        <v>1124</v>
      </c>
      <c r="E488" s="11" t="s">
        <v>332</v>
      </c>
      <c r="F488" s="20">
        <v>60</v>
      </c>
      <c r="G488" s="21">
        <v>507.39</v>
      </c>
      <c r="H488" s="13">
        <v>98.200307336955944</v>
      </c>
      <c r="I488" s="13">
        <v>83.955032658536851</v>
      </c>
      <c r="J488" s="13">
        <v>116.34180986696229</v>
      </c>
      <c r="K488" s="7">
        <f t="shared" si="14"/>
        <v>103.11032270380375</v>
      </c>
      <c r="L488" s="7">
        <f t="shared" si="15"/>
        <v>93.290291970108143</v>
      </c>
      <c r="M488" s="3" t="s">
        <v>1125</v>
      </c>
    </row>
    <row r="489" spans="1:13" x14ac:dyDescent="0.35">
      <c r="A489" s="11" t="s">
        <v>1585</v>
      </c>
      <c r="B489" s="11" t="s">
        <v>11</v>
      </c>
      <c r="C489" s="11" t="s">
        <v>614</v>
      </c>
      <c r="D489" s="11" t="s">
        <v>1124</v>
      </c>
      <c r="E489" s="11" t="s">
        <v>196</v>
      </c>
      <c r="F489" s="20">
        <v>118</v>
      </c>
      <c r="G489" s="21">
        <v>817.89000000000021</v>
      </c>
      <c r="H489" s="13">
        <v>101.2313172355081</v>
      </c>
      <c r="I489" s="13">
        <v>79.989157918758565</v>
      </c>
      <c r="J489" s="13">
        <v>114.3385637398124</v>
      </c>
      <c r="K489" s="7">
        <f t="shared" si="14"/>
        <v>106.29288309728351</v>
      </c>
      <c r="L489" s="7">
        <f t="shared" si="15"/>
        <v>96.169751373732694</v>
      </c>
      <c r="M489" s="3" t="s">
        <v>1125</v>
      </c>
    </row>
    <row r="490" spans="1:13" x14ac:dyDescent="0.35">
      <c r="A490" s="11" t="s">
        <v>1586</v>
      </c>
      <c r="B490" s="11" t="s">
        <v>11</v>
      </c>
      <c r="C490" s="11" t="s">
        <v>614</v>
      </c>
      <c r="D490" s="11" t="s">
        <v>1124</v>
      </c>
      <c r="E490" s="11" t="s">
        <v>502</v>
      </c>
      <c r="F490" s="20">
        <v>20</v>
      </c>
      <c r="G490" s="21">
        <v>282.68999999999988</v>
      </c>
      <c r="H490" s="13">
        <v>133.90383604834469</v>
      </c>
      <c r="I490" s="13">
        <v>122.7584592144154</v>
      </c>
      <c r="J490" s="13">
        <v>138.87345132642491</v>
      </c>
      <c r="K490" s="7">
        <f t="shared" si="14"/>
        <v>140.59902785076193</v>
      </c>
      <c r="L490" s="7">
        <f t="shared" si="15"/>
        <v>127.20864424592745</v>
      </c>
      <c r="M490" s="3" t="s">
        <v>1125</v>
      </c>
    </row>
    <row r="491" spans="1:13" x14ac:dyDescent="0.35">
      <c r="A491" s="11" t="s">
        <v>1587</v>
      </c>
      <c r="B491" s="11" t="s">
        <v>11</v>
      </c>
      <c r="C491" s="11" t="s">
        <v>614</v>
      </c>
      <c r="D491" s="11" t="s">
        <v>1124</v>
      </c>
      <c r="E491" s="11" t="s">
        <v>499</v>
      </c>
      <c r="F491" s="20">
        <v>18</v>
      </c>
      <c r="G491" s="21">
        <v>116.94</v>
      </c>
      <c r="H491" s="13">
        <v>135.95510204081631</v>
      </c>
      <c r="I491" s="13">
        <v>120.342003983914</v>
      </c>
      <c r="J491" s="13">
        <v>153.55842635396701</v>
      </c>
      <c r="K491" s="7">
        <f t="shared" si="14"/>
        <v>142.75285714285712</v>
      </c>
      <c r="L491" s="7">
        <f t="shared" si="15"/>
        <v>129.1573469387755</v>
      </c>
      <c r="M491" s="3" t="s">
        <v>1125</v>
      </c>
    </row>
    <row r="492" spans="1:13" x14ac:dyDescent="0.35">
      <c r="A492" s="11" t="s">
        <v>1588</v>
      </c>
      <c r="B492" s="11" t="s">
        <v>11</v>
      </c>
      <c r="C492" s="11" t="s">
        <v>614</v>
      </c>
      <c r="D492" s="11" t="s">
        <v>1124</v>
      </c>
      <c r="E492" s="11" t="s">
        <v>143</v>
      </c>
      <c r="F492" s="20">
        <v>9</v>
      </c>
      <c r="G492" s="21">
        <v>70.63000000000001</v>
      </c>
      <c r="H492" s="13">
        <v>133.3367217280813</v>
      </c>
      <c r="I492" s="13">
        <v>123.9428208386277</v>
      </c>
      <c r="J492" s="13">
        <v>134.71664548919949</v>
      </c>
      <c r="K492" s="7">
        <f t="shared" si="14"/>
        <v>140.00355781448536</v>
      </c>
      <c r="L492" s="7">
        <f t="shared" si="15"/>
        <v>126.66988564167723</v>
      </c>
      <c r="M492" s="3" t="s">
        <v>1125</v>
      </c>
    </row>
    <row r="493" spans="1:13" x14ac:dyDescent="0.35">
      <c r="A493" s="11" t="s">
        <v>1589</v>
      </c>
      <c r="B493" s="11" t="s">
        <v>11</v>
      </c>
      <c r="C493" s="11" t="s">
        <v>614</v>
      </c>
      <c r="D493" s="11" t="s">
        <v>1124</v>
      </c>
      <c r="E493" s="11" t="s">
        <v>35</v>
      </c>
      <c r="F493" s="20">
        <v>132</v>
      </c>
      <c r="G493" s="21">
        <v>1060.068635722746</v>
      </c>
      <c r="H493" s="13">
        <v>133.65883723154269</v>
      </c>
      <c r="I493" s="13">
        <v>121.45305127593291</v>
      </c>
      <c r="J493" s="13">
        <v>146.15979118026021</v>
      </c>
      <c r="K493" s="7">
        <f t="shared" si="14"/>
        <v>140.34177909311984</v>
      </c>
      <c r="L493" s="7">
        <f t="shared" si="15"/>
        <v>126.97589536996556</v>
      </c>
      <c r="M493" s="3" t="s">
        <v>1125</v>
      </c>
    </row>
    <row r="494" spans="1:13" x14ac:dyDescent="0.35">
      <c r="A494" s="11" t="s">
        <v>1590</v>
      </c>
      <c r="B494" s="11" t="s">
        <v>11</v>
      </c>
      <c r="C494" s="11" t="s">
        <v>614</v>
      </c>
      <c r="D494" s="11" t="s">
        <v>1124</v>
      </c>
      <c r="E494" s="11" t="s">
        <v>1314</v>
      </c>
      <c r="F494" s="20">
        <v>9</v>
      </c>
      <c r="G494" s="21">
        <v>31.64</v>
      </c>
      <c r="H494" s="13">
        <v>118.92</v>
      </c>
      <c r="I494" s="13">
        <v>91.861618798955604</v>
      </c>
      <c r="J494" s="13">
        <v>126.4647519582245</v>
      </c>
      <c r="K494" s="7">
        <f t="shared" si="14"/>
        <v>124.86600000000001</v>
      </c>
      <c r="L494" s="7">
        <f t="shared" si="15"/>
        <v>112.97399999999999</v>
      </c>
      <c r="M494" s="3" t="s">
        <v>1125</v>
      </c>
    </row>
    <row r="495" spans="1:13" x14ac:dyDescent="0.35">
      <c r="A495" s="11" t="s">
        <v>1591</v>
      </c>
      <c r="B495" s="11" t="s">
        <v>11</v>
      </c>
      <c r="C495" s="11" t="s">
        <v>614</v>
      </c>
      <c r="D495" s="11" t="s">
        <v>1124</v>
      </c>
      <c r="E495" s="11" t="s">
        <v>1256</v>
      </c>
      <c r="F495" s="20">
        <v>9</v>
      </c>
      <c r="G495" s="21">
        <v>29.44</v>
      </c>
      <c r="H495" s="13">
        <v>108.5231958762887</v>
      </c>
      <c r="I495" s="13">
        <v>94.729032258064521</v>
      </c>
      <c r="J495" s="13">
        <v>118.4724919093851</v>
      </c>
      <c r="K495" s="7">
        <f t="shared" si="14"/>
        <v>113.94935567010313</v>
      </c>
      <c r="L495" s="7">
        <f t="shared" si="15"/>
        <v>103.09703608247426</v>
      </c>
      <c r="M495" s="3" t="s">
        <v>1125</v>
      </c>
    </row>
    <row r="496" spans="1:13" x14ac:dyDescent="0.35">
      <c r="A496" s="11" t="s">
        <v>1592</v>
      </c>
      <c r="B496" s="11" t="s">
        <v>11</v>
      </c>
      <c r="C496" s="11" t="s">
        <v>614</v>
      </c>
      <c r="D496" s="11" t="s">
        <v>1124</v>
      </c>
      <c r="E496" s="11" t="s">
        <v>328</v>
      </c>
      <c r="F496" s="20">
        <v>52</v>
      </c>
      <c r="G496" s="21">
        <v>257.2</v>
      </c>
      <c r="H496" s="13">
        <v>95.314136292104479</v>
      </c>
      <c r="I496" s="13">
        <v>82.07793999020484</v>
      </c>
      <c r="J496" s="13">
        <v>111.32973719450951</v>
      </c>
      <c r="K496" s="7">
        <f t="shared" si="14"/>
        <v>100.0798431067097</v>
      </c>
      <c r="L496" s="7">
        <f t="shared" si="15"/>
        <v>90.548429477499255</v>
      </c>
      <c r="M496" s="3" t="s">
        <v>1125</v>
      </c>
    </row>
    <row r="497" spans="1:13" x14ac:dyDescent="0.35">
      <c r="A497" s="11" t="s">
        <v>1593</v>
      </c>
      <c r="B497" s="11" t="s">
        <v>11</v>
      </c>
      <c r="C497" s="11" t="s">
        <v>614</v>
      </c>
      <c r="D497" s="11" t="s">
        <v>1124</v>
      </c>
      <c r="E497" s="11" t="s">
        <v>89</v>
      </c>
      <c r="F497" s="20">
        <v>42</v>
      </c>
      <c r="G497" s="21">
        <v>457.52</v>
      </c>
      <c r="H497" s="13">
        <v>121.964362536255</v>
      </c>
      <c r="I497" s="13">
        <v>110.477313807622</v>
      </c>
      <c r="J497" s="13">
        <v>133.285409035409</v>
      </c>
      <c r="K497" s="7">
        <f t="shared" si="14"/>
        <v>128.06258066306776</v>
      </c>
      <c r="L497" s="7">
        <f t="shared" si="15"/>
        <v>115.86614440944224</v>
      </c>
      <c r="M497" s="3" t="s">
        <v>1125</v>
      </c>
    </row>
    <row r="498" spans="1:13" x14ac:dyDescent="0.35">
      <c r="A498" s="11" t="s">
        <v>1594</v>
      </c>
      <c r="B498" s="11" t="s">
        <v>11</v>
      </c>
      <c r="C498" s="11" t="s">
        <v>614</v>
      </c>
      <c r="D498" s="11" t="s">
        <v>1124</v>
      </c>
      <c r="E498" s="11" t="s">
        <v>73</v>
      </c>
      <c r="F498" s="20">
        <v>105</v>
      </c>
      <c r="G498" s="21">
        <v>727.11</v>
      </c>
      <c r="H498" s="13">
        <v>114.7447306791569</v>
      </c>
      <c r="I498" s="13">
        <v>97.576171875</v>
      </c>
      <c r="J498" s="13">
        <v>134.25995316159251</v>
      </c>
      <c r="K498" s="7">
        <f t="shared" si="14"/>
        <v>120.48196721311476</v>
      </c>
      <c r="L498" s="7">
        <f t="shared" si="15"/>
        <v>109.00749414519905</v>
      </c>
      <c r="M498" s="3" t="s">
        <v>1125</v>
      </c>
    </row>
    <row r="499" spans="1:13" x14ac:dyDescent="0.35">
      <c r="A499" s="11" t="s">
        <v>613</v>
      </c>
      <c r="B499" s="11" t="s">
        <v>11</v>
      </c>
      <c r="C499" s="11" t="s">
        <v>614</v>
      </c>
      <c r="D499" s="11" t="s">
        <v>1124</v>
      </c>
      <c r="E499" s="11" t="s">
        <v>147</v>
      </c>
      <c r="F499" s="20">
        <v>156</v>
      </c>
      <c r="G499" s="21">
        <v>1264.0899999999999</v>
      </c>
      <c r="H499" s="13">
        <v>101.10806788931789</v>
      </c>
      <c r="I499" s="13">
        <v>77.095774940617588</v>
      </c>
      <c r="J499" s="13">
        <v>116.9898786208951</v>
      </c>
      <c r="K499" s="7">
        <f t="shared" si="14"/>
        <v>106.16347128378379</v>
      </c>
      <c r="L499" s="7">
        <f t="shared" si="15"/>
        <v>96.052664494851996</v>
      </c>
      <c r="M499" s="3" t="s">
        <v>1125</v>
      </c>
    </row>
    <row r="500" spans="1:13" x14ac:dyDescent="0.35">
      <c r="A500" s="11" t="s">
        <v>1595</v>
      </c>
      <c r="B500" s="11" t="s">
        <v>11</v>
      </c>
      <c r="C500" s="11" t="s">
        <v>614</v>
      </c>
      <c r="D500" s="11" t="s">
        <v>1124</v>
      </c>
      <c r="E500" s="11" t="s">
        <v>203</v>
      </c>
      <c r="F500" s="20">
        <v>9</v>
      </c>
      <c r="G500" s="21">
        <v>59.2</v>
      </c>
      <c r="H500" s="13">
        <v>106.3008720930233</v>
      </c>
      <c r="I500" s="13">
        <v>88.164244186046517</v>
      </c>
      <c r="J500" s="13">
        <v>113.9883720930233</v>
      </c>
      <c r="K500" s="7">
        <f t="shared" si="14"/>
        <v>111.61591569767447</v>
      </c>
      <c r="L500" s="7">
        <f t="shared" si="15"/>
        <v>100.98582848837214</v>
      </c>
      <c r="M500" s="3" t="s">
        <v>1125</v>
      </c>
    </row>
    <row r="501" spans="1:13" x14ac:dyDescent="0.35">
      <c r="A501" s="11" t="s">
        <v>1596</v>
      </c>
      <c r="B501" s="11" t="s">
        <v>11</v>
      </c>
      <c r="C501" s="11" t="s">
        <v>614</v>
      </c>
      <c r="D501" s="11" t="s">
        <v>1124</v>
      </c>
      <c r="E501" s="11" t="s">
        <v>182</v>
      </c>
      <c r="F501" s="20">
        <v>48</v>
      </c>
      <c r="G501" s="21">
        <v>334.19000000000011</v>
      </c>
      <c r="H501" s="13">
        <v>107.1167287177862</v>
      </c>
      <c r="I501" s="13">
        <v>91.387860387045819</v>
      </c>
      <c r="J501" s="13">
        <v>122.1781996401762</v>
      </c>
      <c r="K501" s="7">
        <f t="shared" si="14"/>
        <v>112.47256515367552</v>
      </c>
      <c r="L501" s="7">
        <f t="shared" si="15"/>
        <v>101.76089228189689</v>
      </c>
      <c r="M501" s="3" t="s">
        <v>1125</v>
      </c>
    </row>
    <row r="502" spans="1:13" x14ac:dyDescent="0.35">
      <c r="A502" s="11" t="s">
        <v>1597</v>
      </c>
      <c r="B502" s="11" t="s">
        <v>11</v>
      </c>
      <c r="C502" s="11" t="s">
        <v>614</v>
      </c>
      <c r="D502" s="11" t="s">
        <v>1124</v>
      </c>
      <c r="E502" s="11" t="s">
        <v>169</v>
      </c>
      <c r="F502" s="20">
        <v>57</v>
      </c>
      <c r="G502" s="21">
        <v>418.29</v>
      </c>
      <c r="H502" s="13">
        <v>127.4153846153846</v>
      </c>
      <c r="I502" s="13">
        <v>120.0899408284024</v>
      </c>
      <c r="J502" s="13">
        <v>145.7191489361702</v>
      </c>
      <c r="K502" s="7">
        <f t="shared" si="14"/>
        <v>133.78615384615384</v>
      </c>
      <c r="L502" s="7">
        <f t="shared" si="15"/>
        <v>121.04461538461535</v>
      </c>
      <c r="M502" s="3" t="s">
        <v>1125</v>
      </c>
    </row>
    <row r="503" spans="1:13" x14ac:dyDescent="0.35">
      <c r="A503" s="11" t="s">
        <v>1598</v>
      </c>
      <c r="B503" s="11" t="s">
        <v>11</v>
      </c>
      <c r="C503" s="11" t="s">
        <v>614</v>
      </c>
      <c r="D503" s="11" t="s">
        <v>1124</v>
      </c>
      <c r="E503" s="11" t="s">
        <v>1267</v>
      </c>
      <c r="F503" s="20">
        <v>43</v>
      </c>
      <c r="G503" s="21">
        <v>419.21</v>
      </c>
      <c r="H503" s="13">
        <v>127.948006932409</v>
      </c>
      <c r="I503" s="13">
        <v>116.55110834768389</v>
      </c>
      <c r="J503" s="13">
        <v>141.3942354214133</v>
      </c>
      <c r="K503" s="7">
        <f t="shared" si="14"/>
        <v>134.34540727902944</v>
      </c>
      <c r="L503" s="7">
        <f t="shared" si="15"/>
        <v>121.55060658578854</v>
      </c>
      <c r="M503" s="3" t="s">
        <v>1125</v>
      </c>
    </row>
    <row r="504" spans="1:13" x14ac:dyDescent="0.35">
      <c r="A504" s="11" t="s">
        <v>1599</v>
      </c>
      <c r="B504" s="11" t="s">
        <v>11</v>
      </c>
      <c r="C504" s="11" t="s">
        <v>614</v>
      </c>
      <c r="D504" s="11" t="s">
        <v>1124</v>
      </c>
      <c r="E504" s="11" t="s">
        <v>435</v>
      </c>
      <c r="F504" s="20">
        <v>24</v>
      </c>
      <c r="G504" s="21">
        <v>136</v>
      </c>
      <c r="H504" s="13">
        <v>120.1182320441989</v>
      </c>
      <c r="I504" s="13">
        <v>104.4961284426536</v>
      </c>
      <c r="J504" s="13">
        <v>138.90873592821831</v>
      </c>
      <c r="K504" s="7">
        <f t="shared" si="14"/>
        <v>126.12414364640885</v>
      </c>
      <c r="L504" s="7">
        <f t="shared" si="15"/>
        <v>114.11232044198896</v>
      </c>
      <c r="M504" s="3" t="s">
        <v>1125</v>
      </c>
    </row>
    <row r="505" spans="1:13" x14ac:dyDescent="0.35">
      <c r="A505" s="11" t="s">
        <v>1600</v>
      </c>
      <c r="B505" s="11" t="s">
        <v>11</v>
      </c>
      <c r="C505" s="11" t="s">
        <v>614</v>
      </c>
      <c r="D505" s="11" t="s">
        <v>1124</v>
      </c>
      <c r="E505" s="11" t="s">
        <v>122</v>
      </c>
      <c r="F505" s="20">
        <v>62</v>
      </c>
      <c r="G505" s="21">
        <v>479.32000000000011</v>
      </c>
      <c r="H505" s="13">
        <v>125.578398321744</v>
      </c>
      <c r="I505" s="13">
        <v>108.7400246305419</v>
      </c>
      <c r="J505" s="13">
        <v>135.86761294261299</v>
      </c>
      <c r="K505" s="7">
        <f t="shared" si="14"/>
        <v>131.85731823783121</v>
      </c>
      <c r="L505" s="7">
        <f t="shared" si="15"/>
        <v>119.2994784056568</v>
      </c>
      <c r="M505" s="3" t="s">
        <v>1125</v>
      </c>
    </row>
    <row r="506" spans="1:13" x14ac:dyDescent="0.35">
      <c r="A506" s="11" t="s">
        <v>1601</v>
      </c>
      <c r="B506" s="11" t="s">
        <v>11</v>
      </c>
      <c r="C506" s="11" t="s">
        <v>614</v>
      </c>
      <c r="D506" s="11" t="s">
        <v>1124</v>
      </c>
      <c r="E506" s="11" t="s">
        <v>582</v>
      </c>
      <c r="F506" s="20">
        <v>9</v>
      </c>
      <c r="G506" s="21">
        <v>116.01</v>
      </c>
      <c r="H506" s="13">
        <v>89.422808378588059</v>
      </c>
      <c r="I506" s="13">
        <v>86.794414274631492</v>
      </c>
      <c r="J506" s="13">
        <v>95.709852598913884</v>
      </c>
      <c r="K506" s="7">
        <f t="shared" si="14"/>
        <v>93.893948797517467</v>
      </c>
      <c r="L506" s="7">
        <f t="shared" si="15"/>
        <v>84.95166795965865</v>
      </c>
      <c r="M506" s="3" t="s">
        <v>1125</v>
      </c>
    </row>
    <row r="507" spans="1:13" x14ac:dyDescent="0.35">
      <c r="A507" s="11" t="s">
        <v>1602</v>
      </c>
      <c r="B507" s="11" t="s">
        <v>11</v>
      </c>
      <c r="C507" s="11" t="s">
        <v>614</v>
      </c>
      <c r="D507" s="11" t="s">
        <v>1124</v>
      </c>
      <c r="E507" s="11" t="s">
        <v>99</v>
      </c>
      <c r="F507" s="20">
        <v>84</v>
      </c>
      <c r="G507" s="21">
        <v>602.68000000000006</v>
      </c>
      <c r="H507" s="13">
        <v>92.616962840289546</v>
      </c>
      <c r="I507" s="13">
        <v>76.619766357798014</v>
      </c>
      <c r="J507" s="13">
        <v>106.53651491210741</v>
      </c>
      <c r="K507" s="7">
        <f t="shared" si="14"/>
        <v>97.247810982304031</v>
      </c>
      <c r="L507" s="7">
        <f t="shared" si="15"/>
        <v>87.98611469827506</v>
      </c>
      <c r="M507" s="3" t="s">
        <v>1125</v>
      </c>
    </row>
    <row r="508" spans="1:13" x14ac:dyDescent="0.35">
      <c r="A508" s="11" t="s">
        <v>1603</v>
      </c>
      <c r="B508" s="11" t="s">
        <v>11</v>
      </c>
      <c r="C508" s="11" t="s">
        <v>614</v>
      </c>
      <c r="D508" s="11" t="s">
        <v>1124</v>
      </c>
      <c r="E508" s="11" t="s">
        <v>230</v>
      </c>
      <c r="F508" s="20">
        <v>15</v>
      </c>
      <c r="G508" s="21">
        <v>67.59</v>
      </c>
      <c r="H508" s="13">
        <v>86.522167487684726</v>
      </c>
      <c r="I508" s="13">
        <v>74.285714285714278</v>
      </c>
      <c r="J508" s="13">
        <v>99.13636363636364</v>
      </c>
      <c r="K508" s="7">
        <f t="shared" si="14"/>
        <v>90.848275862068959</v>
      </c>
      <c r="L508" s="7">
        <f t="shared" si="15"/>
        <v>82.196059113300493</v>
      </c>
      <c r="M508" s="3" t="s">
        <v>1125</v>
      </c>
    </row>
    <row r="509" spans="1:13" x14ac:dyDescent="0.35">
      <c r="A509" s="11" t="s">
        <v>1604</v>
      </c>
      <c r="B509" s="11" t="s">
        <v>11</v>
      </c>
      <c r="C509" s="11" t="s">
        <v>614</v>
      </c>
      <c r="D509" s="11" t="s">
        <v>1124</v>
      </c>
      <c r="E509" s="11" t="s">
        <v>625</v>
      </c>
      <c r="F509" s="20">
        <v>57</v>
      </c>
      <c r="G509" s="21">
        <v>489.44</v>
      </c>
      <c r="H509" s="13">
        <v>110.6670030272452</v>
      </c>
      <c r="I509" s="13">
        <v>89.381967213114763</v>
      </c>
      <c r="J509" s="13">
        <v>126.84289127837521</v>
      </c>
      <c r="K509" s="7">
        <f t="shared" si="14"/>
        <v>116.20035317860747</v>
      </c>
      <c r="L509" s="7">
        <f t="shared" si="15"/>
        <v>105.13365287588293</v>
      </c>
      <c r="M509" s="3" t="s">
        <v>1125</v>
      </c>
    </row>
    <row r="510" spans="1:13" x14ac:dyDescent="0.35">
      <c r="A510" s="11" t="s">
        <v>1605</v>
      </c>
      <c r="B510" s="11" t="s">
        <v>11</v>
      </c>
      <c r="C510" s="11" t="s">
        <v>614</v>
      </c>
      <c r="D510" s="11" t="s">
        <v>1124</v>
      </c>
      <c r="E510" s="11" t="s">
        <v>524</v>
      </c>
      <c r="F510" s="20">
        <v>20</v>
      </c>
      <c r="G510" s="21">
        <v>166.03</v>
      </c>
      <c r="H510" s="13">
        <v>115.5648967551622</v>
      </c>
      <c r="I510" s="13">
        <v>104.74051155115509</v>
      </c>
      <c r="J510" s="13">
        <v>133.61963696369639</v>
      </c>
      <c r="K510" s="7">
        <f t="shared" si="14"/>
        <v>121.3431415929203</v>
      </c>
      <c r="L510" s="7">
        <f t="shared" si="15"/>
        <v>109.78665191740409</v>
      </c>
      <c r="M510" s="3" t="s">
        <v>1134</v>
      </c>
    </row>
    <row r="511" spans="1:13" x14ac:dyDescent="0.35">
      <c r="A511" s="11" t="s">
        <v>1606</v>
      </c>
      <c r="B511" s="11" t="s">
        <v>11</v>
      </c>
      <c r="C511" s="11" t="s">
        <v>614</v>
      </c>
      <c r="D511" s="11" t="s">
        <v>1124</v>
      </c>
      <c r="E511" s="11" t="s">
        <v>414</v>
      </c>
      <c r="F511" s="20">
        <v>20</v>
      </c>
      <c r="G511" s="21">
        <v>223.22</v>
      </c>
      <c r="H511" s="13">
        <v>116.23272214386461</v>
      </c>
      <c r="I511" s="13">
        <v>107.1004684666532</v>
      </c>
      <c r="J511" s="13">
        <v>123.41448241148061</v>
      </c>
      <c r="K511" s="7">
        <f t="shared" si="14"/>
        <v>122.04435825105784</v>
      </c>
      <c r="L511" s="7">
        <f t="shared" si="15"/>
        <v>110.42108603667137</v>
      </c>
      <c r="M511" s="3" t="s">
        <v>1125</v>
      </c>
    </row>
    <row r="512" spans="1:13" x14ac:dyDescent="0.35">
      <c r="A512" s="11" t="s">
        <v>1607</v>
      </c>
      <c r="B512" s="11" t="s">
        <v>11</v>
      </c>
      <c r="C512" s="11" t="s">
        <v>614</v>
      </c>
      <c r="D512" s="11" t="s">
        <v>1124</v>
      </c>
      <c r="E512" s="11" t="s">
        <v>1320</v>
      </c>
      <c r="F512" s="20">
        <v>10</v>
      </c>
      <c r="G512" s="21">
        <v>49.2</v>
      </c>
      <c r="H512" s="13">
        <v>82.558943089430898</v>
      </c>
      <c r="I512" s="13">
        <v>76.105182926829272</v>
      </c>
      <c r="J512" s="13">
        <v>94.848577235772368</v>
      </c>
      <c r="K512" s="7">
        <f t="shared" si="14"/>
        <v>86.68689024390244</v>
      </c>
      <c r="L512" s="7">
        <f t="shared" si="15"/>
        <v>78.430995934959356</v>
      </c>
      <c r="M512" s="3" t="s">
        <v>1125</v>
      </c>
    </row>
    <row r="513" spans="1:13" x14ac:dyDescent="0.35">
      <c r="A513" s="11" t="s">
        <v>1608</v>
      </c>
      <c r="B513" s="11" t="s">
        <v>11</v>
      </c>
      <c r="C513" s="11" t="s">
        <v>614</v>
      </c>
      <c r="D513" s="11" t="s">
        <v>1124</v>
      </c>
      <c r="E513" s="11" t="s">
        <v>59</v>
      </c>
      <c r="F513" s="20">
        <v>204</v>
      </c>
      <c r="G513" s="21">
        <v>1900.82</v>
      </c>
      <c r="H513" s="13">
        <v>129.2156276582817</v>
      </c>
      <c r="I513" s="13">
        <v>115.6999777632489</v>
      </c>
      <c r="J513" s="13">
        <v>145.87869573765599</v>
      </c>
      <c r="K513" s="7">
        <f t="shared" si="14"/>
        <v>135.6764090411958</v>
      </c>
      <c r="L513" s="7">
        <f t="shared" si="15"/>
        <v>122.75484627536761</v>
      </c>
      <c r="M513" s="3" t="s">
        <v>1125</v>
      </c>
    </row>
    <row r="514" spans="1:13" x14ac:dyDescent="0.35">
      <c r="A514" s="11" t="s">
        <v>1609</v>
      </c>
      <c r="B514" s="11" t="s">
        <v>11</v>
      </c>
      <c r="C514" s="11" t="s">
        <v>614</v>
      </c>
      <c r="D514" s="11" t="s">
        <v>1124</v>
      </c>
      <c r="E514" s="11" t="s">
        <v>54</v>
      </c>
      <c r="F514" s="20">
        <v>91</v>
      </c>
      <c r="G514" s="21">
        <v>681.88</v>
      </c>
      <c r="H514" s="13">
        <v>109.2079646017699</v>
      </c>
      <c r="I514" s="13">
        <v>96.321207320184214</v>
      </c>
      <c r="J514" s="13">
        <v>125.54750289687141</v>
      </c>
      <c r="K514" s="7">
        <f t="shared" si="14"/>
        <v>114.6683628318584</v>
      </c>
      <c r="L514" s="7">
        <f t="shared" si="15"/>
        <v>103.7475663716814</v>
      </c>
      <c r="M514" s="3" t="s">
        <v>1125</v>
      </c>
    </row>
    <row r="515" spans="1:13" x14ac:dyDescent="0.35">
      <c r="A515" s="11" t="s">
        <v>1610</v>
      </c>
      <c r="B515" s="11" t="s">
        <v>11</v>
      </c>
      <c r="C515" s="11" t="s">
        <v>614</v>
      </c>
      <c r="D515" s="11" t="s">
        <v>1124</v>
      </c>
      <c r="E515" s="11" t="s">
        <v>107</v>
      </c>
      <c r="F515" s="20">
        <v>52</v>
      </c>
      <c r="G515" s="21">
        <v>736.52000000000021</v>
      </c>
      <c r="H515" s="13">
        <v>110.4329767793183</v>
      </c>
      <c r="I515" s="13">
        <v>79.591908132584024</v>
      </c>
      <c r="J515" s="13">
        <v>123.52420212765961</v>
      </c>
      <c r="K515" s="7">
        <f t="shared" si="14"/>
        <v>115.95462561828421</v>
      </c>
      <c r="L515" s="7">
        <f t="shared" si="15"/>
        <v>104.91132794035238</v>
      </c>
      <c r="M515" s="3" t="s">
        <v>1125</v>
      </c>
    </row>
    <row r="516" spans="1:13" x14ac:dyDescent="0.35">
      <c r="A516" s="11" t="s">
        <v>1611</v>
      </c>
      <c r="B516" s="11" t="s">
        <v>11</v>
      </c>
      <c r="C516" s="11" t="s">
        <v>614</v>
      </c>
      <c r="D516" s="11" t="s">
        <v>1124</v>
      </c>
      <c r="E516" s="11" t="s">
        <v>338</v>
      </c>
      <c r="F516" s="20">
        <v>46</v>
      </c>
      <c r="G516" s="21">
        <v>306.86999999999989</v>
      </c>
      <c r="H516" s="13">
        <v>101.81812998859751</v>
      </c>
      <c r="I516" s="13">
        <v>87.212371721778794</v>
      </c>
      <c r="J516" s="13">
        <v>116.3433156349658</v>
      </c>
      <c r="K516" s="7">
        <f t="shared" si="14"/>
        <v>106.90903648802738</v>
      </c>
      <c r="L516" s="7">
        <f t="shared" si="15"/>
        <v>96.727223489167628</v>
      </c>
      <c r="M516" s="3" t="s">
        <v>1125</v>
      </c>
    </row>
    <row r="517" spans="1:13" x14ac:dyDescent="0.35">
      <c r="A517" s="11" t="s">
        <v>1612</v>
      </c>
      <c r="B517" s="11" t="s">
        <v>11</v>
      </c>
      <c r="C517" s="11" t="s">
        <v>614</v>
      </c>
      <c r="D517" s="11" t="s">
        <v>1124</v>
      </c>
      <c r="E517" s="11" t="s">
        <v>79</v>
      </c>
      <c r="F517" s="20">
        <v>8</v>
      </c>
      <c r="G517" s="21">
        <v>49.46</v>
      </c>
      <c r="H517" s="13">
        <v>131.74284184228631</v>
      </c>
      <c r="I517" s="13">
        <v>118.3311148086522</v>
      </c>
      <c r="J517" s="13">
        <v>143.57702237521511</v>
      </c>
      <c r="K517" s="7">
        <f t="shared" ref="K517:K580" si="16">H517*(1+$B$2)</f>
        <v>138.32998393440064</v>
      </c>
      <c r="L517" s="7">
        <f t="shared" ref="L517:L580" si="17">H517*(1-$B$2)</f>
        <v>125.15569975017199</v>
      </c>
      <c r="M517" s="3" t="s">
        <v>1149</v>
      </c>
    </row>
    <row r="518" spans="1:13" x14ac:dyDescent="0.35">
      <c r="A518" s="11" t="s">
        <v>1613</v>
      </c>
      <c r="B518" s="11" t="s">
        <v>11</v>
      </c>
      <c r="C518" s="11" t="s">
        <v>614</v>
      </c>
      <c r="D518" s="11" t="s">
        <v>1124</v>
      </c>
      <c r="E518" s="11" t="s">
        <v>479</v>
      </c>
      <c r="F518" s="20">
        <v>39</v>
      </c>
      <c r="G518" s="21">
        <v>327.19999999999987</v>
      </c>
      <c r="H518" s="13">
        <v>129.42367256637169</v>
      </c>
      <c r="I518" s="13">
        <v>113.1285441953199</v>
      </c>
      <c r="J518" s="13">
        <v>144.6616611433306</v>
      </c>
      <c r="K518" s="7">
        <f t="shared" si="16"/>
        <v>135.89485619469028</v>
      </c>
      <c r="L518" s="7">
        <f t="shared" si="17"/>
        <v>122.95248893805311</v>
      </c>
      <c r="M518" s="3" t="s">
        <v>1125</v>
      </c>
    </row>
    <row r="519" spans="1:13" x14ac:dyDescent="0.35">
      <c r="A519" s="11" t="s">
        <v>1614</v>
      </c>
      <c r="B519" s="11" t="s">
        <v>11</v>
      </c>
      <c r="C519" s="11" t="s">
        <v>614</v>
      </c>
      <c r="D519" s="11" t="s">
        <v>1124</v>
      </c>
      <c r="E519" s="11" t="s">
        <v>1277</v>
      </c>
      <c r="F519" s="20">
        <v>10</v>
      </c>
      <c r="G519" s="21">
        <v>41.9</v>
      </c>
      <c r="H519" s="13">
        <v>105.0226730310262</v>
      </c>
      <c r="I519" s="13">
        <v>101.214200477327</v>
      </c>
      <c r="J519" s="13">
        <v>116.214200477327</v>
      </c>
      <c r="K519" s="7">
        <f t="shared" si="16"/>
        <v>110.27380668257751</v>
      </c>
      <c r="L519" s="7">
        <f t="shared" si="17"/>
        <v>99.771539379474888</v>
      </c>
      <c r="M519" s="3" t="s">
        <v>1125</v>
      </c>
    </row>
    <row r="520" spans="1:13" x14ac:dyDescent="0.35">
      <c r="A520" s="11" t="s">
        <v>1615</v>
      </c>
      <c r="B520" s="11" t="s">
        <v>11</v>
      </c>
      <c r="C520" s="11" t="s">
        <v>614</v>
      </c>
      <c r="D520" s="11" t="s">
        <v>1124</v>
      </c>
      <c r="E520" s="11" t="s">
        <v>633</v>
      </c>
      <c r="F520" s="20">
        <v>10</v>
      </c>
      <c r="G520" s="21">
        <v>46.15</v>
      </c>
      <c r="H520" s="13">
        <v>79.841304347826096</v>
      </c>
      <c r="I520" s="13">
        <v>66.12146739130435</v>
      </c>
      <c r="J520" s="13">
        <v>87.719351258581241</v>
      </c>
      <c r="K520" s="7">
        <f t="shared" si="16"/>
        <v>83.83336956521741</v>
      </c>
      <c r="L520" s="7">
        <f t="shared" si="17"/>
        <v>75.849239130434782</v>
      </c>
      <c r="M520" s="3" t="s">
        <v>1125</v>
      </c>
    </row>
    <row r="521" spans="1:13" x14ac:dyDescent="0.35">
      <c r="A521" s="11" t="s">
        <v>1616</v>
      </c>
      <c r="B521" s="11" t="s">
        <v>11</v>
      </c>
      <c r="C521" s="11" t="s">
        <v>614</v>
      </c>
      <c r="D521" s="11" t="s">
        <v>1124</v>
      </c>
      <c r="E521" s="11" t="s">
        <v>28</v>
      </c>
      <c r="F521" s="20">
        <v>383</v>
      </c>
      <c r="G521" s="21">
        <v>3257.059999999999</v>
      </c>
      <c r="H521" s="13">
        <v>118.5568783068783</v>
      </c>
      <c r="I521" s="13">
        <v>102.00841750841749</v>
      </c>
      <c r="J521" s="13">
        <v>132.75687371717709</v>
      </c>
      <c r="K521" s="7">
        <f t="shared" si="16"/>
        <v>124.48472222222222</v>
      </c>
      <c r="L521" s="7">
        <f t="shared" si="17"/>
        <v>112.62903439153439</v>
      </c>
      <c r="M521" s="3" t="s">
        <v>1125</v>
      </c>
    </row>
    <row r="522" spans="1:13" x14ac:dyDescent="0.35">
      <c r="A522" s="11" t="s">
        <v>1617</v>
      </c>
      <c r="B522" s="11" t="s">
        <v>11</v>
      </c>
      <c r="C522" s="11" t="s">
        <v>614</v>
      </c>
      <c r="D522" s="11" t="s">
        <v>1124</v>
      </c>
      <c r="E522" s="11" t="s">
        <v>186</v>
      </c>
      <c r="F522" s="20">
        <v>123</v>
      </c>
      <c r="G522" s="21">
        <v>1527.6</v>
      </c>
      <c r="H522" s="13">
        <v>113.5</v>
      </c>
      <c r="I522" s="13">
        <v>96.318449232357125</v>
      </c>
      <c r="J522" s="13">
        <v>130.06865678257211</v>
      </c>
      <c r="K522" s="7">
        <f t="shared" si="16"/>
        <v>119.17500000000001</v>
      </c>
      <c r="L522" s="7">
        <f t="shared" si="17"/>
        <v>107.82499999999999</v>
      </c>
      <c r="M522" s="3" t="s">
        <v>1125</v>
      </c>
    </row>
    <row r="523" spans="1:13" x14ac:dyDescent="0.35">
      <c r="A523" s="11" t="s">
        <v>1618</v>
      </c>
      <c r="B523" s="11" t="s">
        <v>11</v>
      </c>
      <c r="C523" s="11" t="s">
        <v>614</v>
      </c>
      <c r="D523" s="11" t="s">
        <v>1124</v>
      </c>
      <c r="E523" s="11" t="s">
        <v>93</v>
      </c>
      <c r="F523" s="20">
        <v>309</v>
      </c>
      <c r="G523" s="21">
        <v>2226.5300000000002</v>
      </c>
      <c r="H523" s="13">
        <v>86.74404761904762</v>
      </c>
      <c r="I523" s="13">
        <v>72.244067796610167</v>
      </c>
      <c r="J523" s="13">
        <v>106.8439655172414</v>
      </c>
      <c r="K523" s="7">
        <f t="shared" si="16"/>
        <v>91.081250000000011</v>
      </c>
      <c r="L523" s="7">
        <f t="shared" si="17"/>
        <v>82.406845238095229</v>
      </c>
      <c r="M523" s="3" t="s">
        <v>1125</v>
      </c>
    </row>
    <row r="524" spans="1:13" x14ac:dyDescent="0.35">
      <c r="A524" s="11" t="s">
        <v>1619</v>
      </c>
      <c r="B524" s="11" t="s">
        <v>11</v>
      </c>
      <c r="C524" s="11" t="s">
        <v>614</v>
      </c>
      <c r="D524" s="11" t="s">
        <v>1124</v>
      </c>
      <c r="E524" s="11" t="s">
        <v>243</v>
      </c>
      <c r="F524" s="20">
        <v>59</v>
      </c>
      <c r="G524" s="21">
        <v>440.62999999999988</v>
      </c>
      <c r="H524" s="13">
        <v>87.768060836501903</v>
      </c>
      <c r="I524" s="13">
        <v>67.870824579032302</v>
      </c>
      <c r="J524" s="13">
        <v>105.7417736061736</v>
      </c>
      <c r="K524" s="7">
        <f t="shared" si="16"/>
        <v>92.156463878327003</v>
      </c>
      <c r="L524" s="7">
        <f t="shared" si="17"/>
        <v>83.379657794676802</v>
      </c>
      <c r="M524" s="3" t="s">
        <v>1125</v>
      </c>
    </row>
    <row r="525" spans="1:13" x14ac:dyDescent="0.35">
      <c r="A525" s="11" t="s">
        <v>1620</v>
      </c>
      <c r="B525" s="11" t="s">
        <v>11</v>
      </c>
      <c r="C525" s="11" t="s">
        <v>614</v>
      </c>
      <c r="D525" s="11" t="s">
        <v>1124</v>
      </c>
      <c r="E525" s="11" t="s">
        <v>220</v>
      </c>
      <c r="F525" s="20">
        <v>67</v>
      </c>
      <c r="G525" s="21">
        <v>851.00999999999988</v>
      </c>
      <c r="H525" s="13">
        <v>99.215481171548106</v>
      </c>
      <c r="I525" s="13">
        <v>88.703236003389165</v>
      </c>
      <c r="J525" s="13">
        <v>113.8162119275356</v>
      </c>
      <c r="K525" s="7">
        <f t="shared" si="16"/>
        <v>104.17625523012552</v>
      </c>
      <c r="L525" s="7">
        <f t="shared" si="17"/>
        <v>94.254707112970692</v>
      </c>
      <c r="M525" s="3" t="s">
        <v>1125</v>
      </c>
    </row>
    <row r="526" spans="1:13" x14ac:dyDescent="0.35">
      <c r="A526" s="11" t="s">
        <v>1621</v>
      </c>
      <c r="B526" s="11" t="s">
        <v>11</v>
      </c>
      <c r="C526" s="11" t="s">
        <v>614</v>
      </c>
      <c r="D526" s="11" t="s">
        <v>1124</v>
      </c>
      <c r="E526" s="11" t="s">
        <v>131</v>
      </c>
      <c r="F526" s="20">
        <v>619</v>
      </c>
      <c r="G526" s="21">
        <v>3518.4259999999999</v>
      </c>
      <c r="H526" s="13">
        <v>99.076612903225808</v>
      </c>
      <c r="I526" s="13">
        <v>79.059764309764304</v>
      </c>
      <c r="J526" s="13">
        <v>119.8136264904613</v>
      </c>
      <c r="K526" s="7">
        <f t="shared" si="16"/>
        <v>104.0304435483871</v>
      </c>
      <c r="L526" s="7">
        <f t="shared" si="17"/>
        <v>94.122782258064518</v>
      </c>
      <c r="M526" s="3" t="s">
        <v>1125</v>
      </c>
    </row>
    <row r="527" spans="1:13" x14ac:dyDescent="0.35">
      <c r="A527" s="11" t="s">
        <v>1622</v>
      </c>
      <c r="B527" s="11" t="s">
        <v>7</v>
      </c>
      <c r="C527" s="11" t="s">
        <v>1123</v>
      </c>
      <c r="D527" s="11" t="s">
        <v>1124</v>
      </c>
      <c r="E527" s="11" t="s">
        <v>1124</v>
      </c>
      <c r="F527" s="20">
        <v>5259</v>
      </c>
      <c r="G527" s="21">
        <v>50422.192581132447</v>
      </c>
      <c r="H527" s="13">
        <v>122.9368703108253</v>
      </c>
      <c r="I527" s="13">
        <v>106.4472890545487</v>
      </c>
      <c r="J527" s="13">
        <v>138.8619113506814</v>
      </c>
      <c r="K527" s="7">
        <f t="shared" si="16"/>
        <v>129.08371382636656</v>
      </c>
      <c r="L527" s="7">
        <f t="shared" si="17"/>
        <v>116.79002679528404</v>
      </c>
      <c r="M527" s="3" t="s">
        <v>1125</v>
      </c>
    </row>
    <row r="528" spans="1:13" x14ac:dyDescent="0.35">
      <c r="A528" s="11" t="s">
        <v>1623</v>
      </c>
      <c r="B528" s="11" t="s">
        <v>7</v>
      </c>
      <c r="C528" s="11" t="s">
        <v>37</v>
      </c>
      <c r="D528" s="11" t="s">
        <v>1002</v>
      </c>
      <c r="E528" s="11" t="s">
        <v>1124</v>
      </c>
      <c r="F528" s="20">
        <v>59</v>
      </c>
      <c r="G528" s="21">
        <v>502.35000000000008</v>
      </c>
      <c r="H528" s="13">
        <v>126.6441586280814</v>
      </c>
      <c r="I528" s="13">
        <v>111.4466237942122</v>
      </c>
      <c r="J528" s="13">
        <v>140.02668849148051</v>
      </c>
      <c r="K528" s="7">
        <f t="shared" si="16"/>
        <v>132.97636655948548</v>
      </c>
      <c r="L528" s="7">
        <f t="shared" si="17"/>
        <v>120.31195069667733</v>
      </c>
      <c r="M528" s="3" t="s">
        <v>1125</v>
      </c>
    </row>
    <row r="529" spans="1:13" x14ac:dyDescent="0.35">
      <c r="A529" s="11" t="s">
        <v>1624</v>
      </c>
      <c r="B529" s="11" t="s">
        <v>7</v>
      </c>
      <c r="C529" s="11" t="s">
        <v>37</v>
      </c>
      <c r="D529" s="11" t="s">
        <v>198</v>
      </c>
      <c r="E529" s="11" t="s">
        <v>1124</v>
      </c>
      <c r="F529" s="20">
        <v>2688</v>
      </c>
      <c r="G529" s="21">
        <v>26059.334800000001</v>
      </c>
      <c r="H529" s="13">
        <v>124.47730983952739</v>
      </c>
      <c r="I529" s="13">
        <v>105.928909608091</v>
      </c>
      <c r="J529" s="13">
        <v>141.5999744637385</v>
      </c>
      <c r="K529" s="7">
        <f t="shared" si="16"/>
        <v>130.70117533150378</v>
      </c>
      <c r="L529" s="7">
        <f t="shared" si="17"/>
        <v>118.25344434755102</v>
      </c>
      <c r="M529" s="3" t="s">
        <v>1125</v>
      </c>
    </row>
    <row r="530" spans="1:13" x14ac:dyDescent="0.35">
      <c r="A530" s="11" t="s">
        <v>1625</v>
      </c>
      <c r="B530" s="11" t="s">
        <v>7</v>
      </c>
      <c r="C530" s="11" t="s">
        <v>37</v>
      </c>
      <c r="D530" s="11" t="s">
        <v>134</v>
      </c>
      <c r="E530" s="11" t="s">
        <v>1124</v>
      </c>
      <c r="F530" s="20">
        <v>1</v>
      </c>
      <c r="G530" s="21">
        <v>1.52</v>
      </c>
      <c r="H530" s="13">
        <v>126.7565789473684</v>
      </c>
      <c r="I530" s="13">
        <v>126.7565789473684</v>
      </c>
      <c r="J530" s="13">
        <v>126.7565789473684</v>
      </c>
      <c r="K530" s="7">
        <f t="shared" si="16"/>
        <v>133.09440789473683</v>
      </c>
      <c r="L530" s="7">
        <f t="shared" si="17"/>
        <v>120.41874999999997</v>
      </c>
      <c r="M530" s="3" t="s">
        <v>1626</v>
      </c>
    </row>
    <row r="531" spans="1:13" x14ac:dyDescent="0.35">
      <c r="A531" s="11" t="s">
        <v>1085</v>
      </c>
      <c r="B531" s="11" t="s">
        <v>7</v>
      </c>
      <c r="C531" s="11" t="s">
        <v>37</v>
      </c>
      <c r="D531" s="11" t="s">
        <v>806</v>
      </c>
      <c r="E531" s="11" t="s">
        <v>1124</v>
      </c>
      <c r="F531" s="20">
        <v>13</v>
      </c>
      <c r="G531" s="21">
        <v>81.77</v>
      </c>
      <c r="H531" s="13">
        <v>125.90220820189271</v>
      </c>
      <c r="I531" s="13">
        <v>113.8351648351648</v>
      </c>
      <c r="J531" s="13">
        <v>137.93834505137909</v>
      </c>
      <c r="K531" s="7">
        <f t="shared" si="16"/>
        <v>132.19731861198736</v>
      </c>
      <c r="L531" s="7">
        <f t="shared" si="17"/>
        <v>119.60709779179807</v>
      </c>
      <c r="M531" s="3" t="s">
        <v>1130</v>
      </c>
    </row>
    <row r="532" spans="1:13" x14ac:dyDescent="0.35">
      <c r="A532" s="11" t="s">
        <v>1627</v>
      </c>
      <c r="B532" s="11" t="s">
        <v>7</v>
      </c>
      <c r="C532" s="11" t="s">
        <v>37</v>
      </c>
      <c r="D532" s="11" t="s">
        <v>1147</v>
      </c>
      <c r="E532" s="11" t="s">
        <v>1124</v>
      </c>
      <c r="F532" s="20">
        <v>1</v>
      </c>
      <c r="G532" s="21">
        <v>4.88</v>
      </c>
      <c r="H532" s="13">
        <v>96.723360655737707</v>
      </c>
      <c r="I532" s="13">
        <v>96.723360655737707</v>
      </c>
      <c r="J532" s="13">
        <v>96.723360655737707</v>
      </c>
      <c r="K532" s="7">
        <f t="shared" si="16"/>
        <v>101.55952868852459</v>
      </c>
      <c r="L532" s="7">
        <f t="shared" si="17"/>
        <v>91.88719262295082</v>
      </c>
      <c r="M532" s="3" t="s">
        <v>1628</v>
      </c>
    </row>
    <row r="533" spans="1:13" x14ac:dyDescent="0.35">
      <c r="A533" s="11" t="s">
        <v>734</v>
      </c>
      <c r="B533" s="11" t="s">
        <v>7</v>
      </c>
      <c r="C533" s="11" t="s">
        <v>37</v>
      </c>
      <c r="D533" s="11" t="s">
        <v>27</v>
      </c>
      <c r="E533" s="11" t="s">
        <v>1124</v>
      </c>
      <c r="F533" s="20">
        <v>239</v>
      </c>
      <c r="G533" s="21">
        <v>2095.81</v>
      </c>
      <c r="H533" s="13">
        <v>133.21602787456439</v>
      </c>
      <c r="I533" s="13">
        <v>120.5636854944749</v>
      </c>
      <c r="J533" s="13">
        <v>148.32022394023909</v>
      </c>
      <c r="K533" s="7">
        <f t="shared" si="16"/>
        <v>139.87682926829262</v>
      </c>
      <c r="L533" s="7">
        <f t="shared" si="17"/>
        <v>126.55522648083617</v>
      </c>
      <c r="M533" s="3" t="s">
        <v>1130</v>
      </c>
    </row>
    <row r="534" spans="1:13" x14ac:dyDescent="0.35">
      <c r="A534" s="11" t="s">
        <v>1629</v>
      </c>
      <c r="B534" s="11" t="s">
        <v>7</v>
      </c>
      <c r="C534" s="11" t="s">
        <v>37</v>
      </c>
      <c r="D534" s="11" t="s">
        <v>1630</v>
      </c>
      <c r="E534" s="11" t="s">
        <v>1124</v>
      </c>
      <c r="F534" s="20">
        <v>12</v>
      </c>
      <c r="G534" s="21">
        <v>162.6</v>
      </c>
      <c r="H534" s="13">
        <v>121.5161627167118</v>
      </c>
      <c r="I534" s="13">
        <v>110.45187583742739</v>
      </c>
      <c r="J534" s="13">
        <v>132.68206703402049</v>
      </c>
      <c r="K534" s="7">
        <f t="shared" si="16"/>
        <v>127.59197085254741</v>
      </c>
      <c r="L534" s="7">
        <f t="shared" si="17"/>
        <v>115.4403545808762</v>
      </c>
      <c r="M534" s="3" t="s">
        <v>1525</v>
      </c>
    </row>
    <row r="535" spans="1:13" x14ac:dyDescent="0.35">
      <c r="A535" s="11" t="s">
        <v>1631</v>
      </c>
      <c r="B535" s="11" t="s">
        <v>7</v>
      </c>
      <c r="C535" s="11" t="s">
        <v>37</v>
      </c>
      <c r="D535" s="11" t="s">
        <v>1632</v>
      </c>
      <c r="E535" s="11" t="s">
        <v>1124</v>
      </c>
      <c r="F535" s="20">
        <v>36</v>
      </c>
      <c r="G535" s="21">
        <v>278.93000000000012</v>
      </c>
      <c r="H535" s="13">
        <v>121.4865350089767</v>
      </c>
      <c r="I535" s="13">
        <v>98.762716388225925</v>
      </c>
      <c r="J535" s="13">
        <v>135.8363336224692</v>
      </c>
      <c r="K535" s="7">
        <f t="shared" si="16"/>
        <v>127.56086175942555</v>
      </c>
      <c r="L535" s="7">
        <f t="shared" si="17"/>
        <v>115.41220825852785</v>
      </c>
      <c r="M535" s="3" t="s">
        <v>1127</v>
      </c>
    </row>
    <row r="536" spans="1:13" x14ac:dyDescent="0.35">
      <c r="A536" s="11" t="s">
        <v>1633</v>
      </c>
      <c r="B536" s="11" t="s">
        <v>7</v>
      </c>
      <c r="C536" s="11" t="s">
        <v>37</v>
      </c>
      <c r="D536" s="11" t="s">
        <v>1634</v>
      </c>
      <c r="E536" s="11" t="s">
        <v>1124</v>
      </c>
      <c r="F536" s="20">
        <v>9</v>
      </c>
      <c r="G536" s="21">
        <v>88.11999999999999</v>
      </c>
      <c r="H536" s="13">
        <v>117.31852551984881</v>
      </c>
      <c r="I536" s="13">
        <v>106.9657236126224</v>
      </c>
      <c r="J536" s="13">
        <v>129.54189336235041</v>
      </c>
      <c r="K536" s="7">
        <f t="shared" si="16"/>
        <v>123.18445179584126</v>
      </c>
      <c r="L536" s="7">
        <f t="shared" si="17"/>
        <v>111.45259924385635</v>
      </c>
      <c r="M536" s="3" t="s">
        <v>1137</v>
      </c>
    </row>
    <row r="537" spans="1:13" x14ac:dyDescent="0.35">
      <c r="A537" s="11" t="s">
        <v>988</v>
      </c>
      <c r="B537" s="11" t="s">
        <v>7</v>
      </c>
      <c r="C537" s="11" t="s">
        <v>37</v>
      </c>
      <c r="D537" s="11" t="s">
        <v>34</v>
      </c>
      <c r="E537" s="11" t="s">
        <v>1124</v>
      </c>
      <c r="F537" s="20">
        <v>18</v>
      </c>
      <c r="G537" s="21">
        <v>162.97</v>
      </c>
      <c r="H537" s="13">
        <v>149.89052085816101</v>
      </c>
      <c r="I537" s="13">
        <v>128.23577449947311</v>
      </c>
      <c r="J537" s="13">
        <v>158.46882448970979</v>
      </c>
      <c r="K537" s="7">
        <f t="shared" si="16"/>
        <v>157.38504690106907</v>
      </c>
      <c r="L537" s="7">
        <f t="shared" si="17"/>
        <v>142.39599481525295</v>
      </c>
      <c r="M537" s="3" t="s">
        <v>1134</v>
      </c>
    </row>
    <row r="538" spans="1:13" x14ac:dyDescent="0.35">
      <c r="A538" s="11" t="s">
        <v>784</v>
      </c>
      <c r="B538" s="11" t="s">
        <v>7</v>
      </c>
      <c r="C538" s="11" t="s">
        <v>37</v>
      </c>
      <c r="D538" s="11" t="s">
        <v>666</v>
      </c>
      <c r="E538" s="11" t="s">
        <v>1124</v>
      </c>
      <c r="F538" s="20">
        <v>63</v>
      </c>
      <c r="G538" s="21">
        <v>656.65999999999974</v>
      </c>
      <c r="H538" s="13">
        <v>123.7608695652174</v>
      </c>
      <c r="I538" s="13">
        <v>102.3214285714286</v>
      </c>
      <c r="J538" s="13">
        <v>136.0194785731031</v>
      </c>
      <c r="K538" s="7">
        <f t="shared" si="16"/>
        <v>129.94891304347829</v>
      </c>
      <c r="L538" s="7">
        <f t="shared" si="17"/>
        <v>117.57282608695652</v>
      </c>
      <c r="M538" s="3" t="s">
        <v>1134</v>
      </c>
    </row>
    <row r="539" spans="1:13" x14ac:dyDescent="0.35">
      <c r="A539" s="11" t="s">
        <v>1091</v>
      </c>
      <c r="B539" s="11" t="s">
        <v>7</v>
      </c>
      <c r="C539" s="11" t="s">
        <v>37</v>
      </c>
      <c r="D539" s="11" t="s">
        <v>1090</v>
      </c>
      <c r="E539" s="11" t="s">
        <v>1124</v>
      </c>
      <c r="F539" s="20">
        <v>10</v>
      </c>
      <c r="G539" s="21">
        <v>77.17</v>
      </c>
      <c r="H539" s="13">
        <v>138.91239417839671</v>
      </c>
      <c r="I539" s="13">
        <v>129.20165463955101</v>
      </c>
      <c r="J539" s="13">
        <v>151.0242914979757</v>
      </c>
      <c r="K539" s="7">
        <f t="shared" si="16"/>
        <v>145.85801388731656</v>
      </c>
      <c r="L539" s="7">
        <f t="shared" si="17"/>
        <v>131.96677446947686</v>
      </c>
      <c r="M539" s="3" t="s">
        <v>1154</v>
      </c>
    </row>
    <row r="540" spans="1:13" x14ac:dyDescent="0.35">
      <c r="A540" s="11" t="s">
        <v>963</v>
      </c>
      <c r="B540" s="11" t="s">
        <v>7</v>
      </c>
      <c r="C540" s="11" t="s">
        <v>37</v>
      </c>
      <c r="D540" s="11" t="s">
        <v>48</v>
      </c>
      <c r="E540" s="11" t="s">
        <v>1124</v>
      </c>
      <c r="F540" s="20">
        <v>16</v>
      </c>
      <c r="G540" s="21">
        <v>125.97</v>
      </c>
      <c r="H540" s="13">
        <v>146.51635977190529</v>
      </c>
      <c r="I540" s="13">
        <v>133.20351906158359</v>
      </c>
      <c r="J540" s="13">
        <v>148.81876957268409</v>
      </c>
      <c r="K540" s="7">
        <f t="shared" si="16"/>
        <v>153.84217776050056</v>
      </c>
      <c r="L540" s="7">
        <f t="shared" si="17"/>
        <v>139.19054178331001</v>
      </c>
      <c r="M540" s="3" t="s">
        <v>1154</v>
      </c>
    </row>
    <row r="541" spans="1:13" x14ac:dyDescent="0.35">
      <c r="A541" s="11" t="s">
        <v>1635</v>
      </c>
      <c r="B541" s="11" t="s">
        <v>7</v>
      </c>
      <c r="C541" s="11" t="s">
        <v>37</v>
      </c>
      <c r="D541" s="11" t="s">
        <v>1636</v>
      </c>
      <c r="E541" s="11" t="s">
        <v>1124</v>
      </c>
      <c r="F541" s="20">
        <v>1</v>
      </c>
      <c r="G541" s="21">
        <v>8.07</v>
      </c>
      <c r="H541" s="13">
        <v>138.59231722428751</v>
      </c>
      <c r="I541" s="13">
        <v>138.59231722428751</v>
      </c>
      <c r="J541" s="13">
        <v>138.59231722428751</v>
      </c>
      <c r="K541" s="7">
        <f t="shared" si="16"/>
        <v>145.5219330855019</v>
      </c>
      <c r="L541" s="7">
        <f t="shared" si="17"/>
        <v>131.66270136307313</v>
      </c>
      <c r="M541" s="3" t="s">
        <v>1157</v>
      </c>
    </row>
    <row r="542" spans="1:13" x14ac:dyDescent="0.35">
      <c r="A542" s="11" t="s">
        <v>782</v>
      </c>
      <c r="B542" s="11" t="s">
        <v>7</v>
      </c>
      <c r="C542" s="11" t="s">
        <v>37</v>
      </c>
      <c r="D542" s="11" t="s">
        <v>104</v>
      </c>
      <c r="E542" s="11" t="s">
        <v>1124</v>
      </c>
      <c r="F542" s="20">
        <v>199</v>
      </c>
      <c r="G542" s="21">
        <v>1842.65</v>
      </c>
      <c r="H542" s="13">
        <v>117.28506787330321</v>
      </c>
      <c r="I542" s="13">
        <v>100.90839525341021</v>
      </c>
      <c r="J542" s="13">
        <v>128.71960479154879</v>
      </c>
      <c r="K542" s="7">
        <f t="shared" si="16"/>
        <v>123.14932126696837</v>
      </c>
      <c r="L542" s="7">
        <f t="shared" si="17"/>
        <v>111.42081447963804</v>
      </c>
      <c r="M542" s="3" t="s">
        <v>1130</v>
      </c>
    </row>
    <row r="543" spans="1:13" x14ac:dyDescent="0.35">
      <c r="A543" s="11" t="s">
        <v>695</v>
      </c>
      <c r="B543" s="11" t="s">
        <v>7</v>
      </c>
      <c r="C543" s="11" t="s">
        <v>37</v>
      </c>
      <c r="D543" s="11" t="s">
        <v>156</v>
      </c>
      <c r="E543" s="11" t="s">
        <v>1124</v>
      </c>
      <c r="F543" s="20">
        <v>104</v>
      </c>
      <c r="G543" s="21">
        <v>1061.25</v>
      </c>
      <c r="H543" s="13">
        <v>111.8819350673804</v>
      </c>
      <c r="I543" s="13">
        <v>98.158748927102138</v>
      </c>
      <c r="J543" s="13">
        <v>126.3877875406135</v>
      </c>
      <c r="K543" s="7">
        <f t="shared" si="16"/>
        <v>117.47603182074943</v>
      </c>
      <c r="L543" s="7">
        <f t="shared" si="17"/>
        <v>106.28783831401137</v>
      </c>
      <c r="M543" s="3" t="s">
        <v>1130</v>
      </c>
    </row>
    <row r="544" spans="1:13" x14ac:dyDescent="0.35">
      <c r="A544" s="11" t="s">
        <v>1637</v>
      </c>
      <c r="B544" s="11" t="s">
        <v>7</v>
      </c>
      <c r="C544" s="11" t="s">
        <v>37</v>
      </c>
      <c r="D544" s="11" t="s">
        <v>604</v>
      </c>
      <c r="E544" s="11" t="s">
        <v>1124</v>
      </c>
      <c r="F544" s="20">
        <v>25</v>
      </c>
      <c r="G544" s="21">
        <v>170.9</v>
      </c>
      <c r="H544" s="13">
        <v>110.1528545119705</v>
      </c>
      <c r="I544" s="13">
        <v>102.5011185682327</v>
      </c>
      <c r="J544" s="13">
        <v>119.13404255319151</v>
      </c>
      <c r="K544" s="7">
        <f t="shared" si="16"/>
        <v>115.66049723756903</v>
      </c>
      <c r="L544" s="7">
        <f t="shared" si="17"/>
        <v>104.64521178637197</v>
      </c>
      <c r="M544" s="3" t="s">
        <v>1154</v>
      </c>
    </row>
    <row r="545" spans="1:13" x14ac:dyDescent="0.35">
      <c r="A545" s="11" t="s">
        <v>1638</v>
      </c>
      <c r="B545" s="11" t="s">
        <v>7</v>
      </c>
      <c r="C545" s="11" t="s">
        <v>37</v>
      </c>
      <c r="D545" s="11" t="s">
        <v>1078</v>
      </c>
      <c r="E545" s="11" t="s">
        <v>1124</v>
      </c>
      <c r="F545" s="20">
        <v>3</v>
      </c>
      <c r="G545" s="21">
        <v>28.28</v>
      </c>
      <c r="H545" s="13">
        <v>150.27401415571279</v>
      </c>
      <c r="I545" s="13">
        <v>147.58949408602271</v>
      </c>
      <c r="J545" s="13">
        <v>166.2294867526532</v>
      </c>
      <c r="K545" s="7">
        <f t="shared" si="16"/>
        <v>157.78771486349845</v>
      </c>
      <c r="L545" s="7">
        <f t="shared" si="17"/>
        <v>142.76031344792713</v>
      </c>
      <c r="M545" s="3" t="s">
        <v>1157</v>
      </c>
    </row>
    <row r="546" spans="1:13" x14ac:dyDescent="0.35">
      <c r="A546" s="11" t="s">
        <v>1639</v>
      </c>
      <c r="B546" s="11" t="s">
        <v>7</v>
      </c>
      <c r="C546" s="11" t="s">
        <v>37</v>
      </c>
      <c r="D546" s="11" t="s">
        <v>1640</v>
      </c>
      <c r="E546" s="11" t="s">
        <v>1124</v>
      </c>
      <c r="F546" s="20">
        <v>1</v>
      </c>
      <c r="G546" s="21">
        <v>3.98</v>
      </c>
      <c r="H546" s="13">
        <v>120.8718592964824</v>
      </c>
      <c r="I546" s="13">
        <v>120.8718592964824</v>
      </c>
      <c r="J546" s="13">
        <v>120.8718592964824</v>
      </c>
      <c r="K546" s="7">
        <f t="shared" si="16"/>
        <v>126.91545226130653</v>
      </c>
      <c r="L546" s="7">
        <f t="shared" si="17"/>
        <v>114.82826633165827</v>
      </c>
      <c r="M546" s="3" t="s">
        <v>1157</v>
      </c>
    </row>
    <row r="547" spans="1:13" x14ac:dyDescent="0.35">
      <c r="A547" s="11" t="s">
        <v>1641</v>
      </c>
      <c r="B547" s="11" t="s">
        <v>7</v>
      </c>
      <c r="C547" s="11" t="s">
        <v>37</v>
      </c>
      <c r="D547" s="11" t="s">
        <v>1165</v>
      </c>
      <c r="E547" s="11" t="s">
        <v>1124</v>
      </c>
      <c r="F547" s="20">
        <v>3</v>
      </c>
      <c r="G547" s="21">
        <v>20.010000000000002</v>
      </c>
      <c r="H547" s="13">
        <v>94.396584440227713</v>
      </c>
      <c r="I547" s="13">
        <v>94.063460759439693</v>
      </c>
      <c r="J547" s="13">
        <v>122.53733331600429</v>
      </c>
      <c r="K547" s="7">
        <f t="shared" si="16"/>
        <v>99.116413662239097</v>
      </c>
      <c r="L547" s="7">
        <f t="shared" si="17"/>
        <v>89.676755218216329</v>
      </c>
      <c r="M547" s="3" t="s">
        <v>1157</v>
      </c>
    </row>
    <row r="548" spans="1:13" x14ac:dyDescent="0.35">
      <c r="A548" s="11" t="s">
        <v>1642</v>
      </c>
      <c r="B548" s="11" t="s">
        <v>7</v>
      </c>
      <c r="C548" s="11" t="s">
        <v>37</v>
      </c>
      <c r="D548" s="11" t="s">
        <v>1643</v>
      </c>
      <c r="E548" s="11" t="s">
        <v>1124</v>
      </c>
      <c r="F548" s="20">
        <v>1</v>
      </c>
      <c r="G548" s="21">
        <v>5.61</v>
      </c>
      <c r="H548" s="13">
        <v>138.81639928698749</v>
      </c>
      <c r="I548" s="13">
        <v>138.81639928698749</v>
      </c>
      <c r="J548" s="13">
        <v>138.81639928698749</v>
      </c>
      <c r="K548" s="7">
        <f t="shared" si="16"/>
        <v>145.75721925133686</v>
      </c>
      <c r="L548" s="7">
        <f t="shared" si="17"/>
        <v>131.87557932263812</v>
      </c>
      <c r="M548" s="3" t="s">
        <v>1157</v>
      </c>
    </row>
    <row r="549" spans="1:13" x14ac:dyDescent="0.35">
      <c r="A549" s="11" t="s">
        <v>1644</v>
      </c>
      <c r="B549" s="11" t="s">
        <v>7</v>
      </c>
      <c r="C549" s="11" t="s">
        <v>37</v>
      </c>
      <c r="D549" s="11" t="s">
        <v>1178</v>
      </c>
      <c r="E549" s="11" t="s">
        <v>1124</v>
      </c>
      <c r="F549" s="20">
        <v>54</v>
      </c>
      <c r="G549" s="21">
        <v>464.29000000000008</v>
      </c>
      <c r="H549" s="13">
        <v>118.1779240361785</v>
      </c>
      <c r="I549" s="13">
        <v>105.7062636107886</v>
      </c>
      <c r="J549" s="13">
        <v>127.7682107052164</v>
      </c>
      <c r="K549" s="7">
        <f t="shared" si="16"/>
        <v>124.08682023798742</v>
      </c>
      <c r="L549" s="7">
        <f t="shared" si="17"/>
        <v>112.26902783436957</v>
      </c>
      <c r="M549" s="3" t="s">
        <v>1125</v>
      </c>
    </row>
    <row r="550" spans="1:13" x14ac:dyDescent="0.35">
      <c r="A550" s="11" t="s">
        <v>1645</v>
      </c>
      <c r="B550" s="11" t="s">
        <v>7</v>
      </c>
      <c r="C550" s="11" t="s">
        <v>37</v>
      </c>
      <c r="D550" s="11" t="s">
        <v>114</v>
      </c>
      <c r="E550" s="11" t="s">
        <v>1124</v>
      </c>
      <c r="F550" s="20">
        <v>571</v>
      </c>
      <c r="G550" s="21">
        <v>5878.0077811324472</v>
      </c>
      <c r="H550" s="13">
        <v>122.31664937759339</v>
      </c>
      <c r="I550" s="13">
        <v>110.4371915679684</v>
      </c>
      <c r="J550" s="13">
        <v>133.20943715164361</v>
      </c>
      <c r="K550" s="7">
        <f t="shared" si="16"/>
        <v>128.43248184647308</v>
      </c>
      <c r="L550" s="7">
        <f t="shared" si="17"/>
        <v>116.20081690871372</v>
      </c>
      <c r="M550" s="3" t="s">
        <v>1125</v>
      </c>
    </row>
    <row r="551" spans="1:13" x14ac:dyDescent="0.35">
      <c r="A551" s="11" t="s">
        <v>1646</v>
      </c>
      <c r="B551" s="11" t="s">
        <v>7</v>
      </c>
      <c r="C551" s="11" t="s">
        <v>37</v>
      </c>
      <c r="D551" s="11" t="s">
        <v>1181</v>
      </c>
      <c r="E551" s="11" t="s">
        <v>1124</v>
      </c>
      <c r="F551" s="20">
        <v>1</v>
      </c>
      <c r="G551" s="21">
        <v>5.85</v>
      </c>
      <c r="H551" s="13">
        <v>126.26153846153851</v>
      </c>
      <c r="I551" s="13">
        <v>126.26153846153851</v>
      </c>
      <c r="J551" s="13">
        <v>126.26153846153851</v>
      </c>
      <c r="K551" s="7">
        <f t="shared" si="16"/>
        <v>132.57461538461544</v>
      </c>
      <c r="L551" s="7">
        <f t="shared" si="17"/>
        <v>119.94846153846157</v>
      </c>
      <c r="M551" s="3" t="s">
        <v>1327</v>
      </c>
    </row>
    <row r="552" spans="1:13" x14ac:dyDescent="0.35">
      <c r="A552" s="11" t="s">
        <v>1647</v>
      </c>
      <c r="B552" s="11" t="s">
        <v>7</v>
      </c>
      <c r="C552" s="11" t="s">
        <v>37</v>
      </c>
      <c r="D552" s="11" t="s">
        <v>972</v>
      </c>
      <c r="E552" s="11" t="s">
        <v>1124</v>
      </c>
      <c r="F552" s="20">
        <v>59</v>
      </c>
      <c r="G552" s="21">
        <v>415.78000000000009</v>
      </c>
      <c r="H552" s="13">
        <v>111.75802997858671</v>
      </c>
      <c r="I552" s="13">
        <v>102.1620360297637</v>
      </c>
      <c r="J552" s="13">
        <v>128.07677525494941</v>
      </c>
      <c r="K552" s="7">
        <f t="shared" si="16"/>
        <v>117.34593147751605</v>
      </c>
      <c r="L552" s="7">
        <f t="shared" si="17"/>
        <v>106.17012847965736</v>
      </c>
      <c r="M552" s="3" t="s">
        <v>1125</v>
      </c>
    </row>
    <row r="553" spans="1:13" x14ac:dyDescent="0.35">
      <c r="A553" s="11" t="s">
        <v>1648</v>
      </c>
      <c r="B553" s="11" t="s">
        <v>7</v>
      </c>
      <c r="C553" s="11" t="s">
        <v>37</v>
      </c>
      <c r="D553" s="11" t="s">
        <v>1649</v>
      </c>
      <c r="E553" s="11" t="s">
        <v>1124</v>
      </c>
      <c r="F553" s="20">
        <v>2</v>
      </c>
      <c r="G553" s="21">
        <v>9.25</v>
      </c>
      <c r="H553" s="13">
        <v>171.59407040328091</v>
      </c>
      <c r="I553" s="13">
        <v>170.37974196855771</v>
      </c>
      <c r="J553" s="13">
        <v>172.80839883800411</v>
      </c>
      <c r="K553" s="7">
        <f t="shared" si="16"/>
        <v>180.17377392344497</v>
      </c>
      <c r="L553" s="7">
        <f t="shared" si="17"/>
        <v>163.01436688311685</v>
      </c>
      <c r="M553" s="3" t="s">
        <v>1511</v>
      </c>
    </row>
    <row r="554" spans="1:13" x14ac:dyDescent="0.35">
      <c r="A554" s="11" t="s">
        <v>1650</v>
      </c>
      <c r="B554" s="11" t="s">
        <v>7</v>
      </c>
      <c r="C554" s="11" t="s">
        <v>37</v>
      </c>
      <c r="D554" s="11" t="s">
        <v>1005</v>
      </c>
      <c r="E554" s="11" t="s">
        <v>1124</v>
      </c>
      <c r="F554" s="20">
        <v>202</v>
      </c>
      <c r="G554" s="21">
        <v>1977.39</v>
      </c>
      <c r="H554" s="13">
        <v>122.2340187488637</v>
      </c>
      <c r="I554" s="13">
        <v>108.4672095448478</v>
      </c>
      <c r="J554" s="13">
        <v>133.17261771502351</v>
      </c>
      <c r="K554" s="7">
        <f t="shared" si="16"/>
        <v>128.34571968630689</v>
      </c>
      <c r="L554" s="7">
        <f t="shared" si="17"/>
        <v>116.12231781142052</v>
      </c>
      <c r="M554" s="3" t="s">
        <v>1125</v>
      </c>
    </row>
    <row r="555" spans="1:13" x14ac:dyDescent="0.35">
      <c r="A555" s="11" t="s">
        <v>1651</v>
      </c>
      <c r="B555" s="11" t="s">
        <v>7</v>
      </c>
      <c r="C555" s="11" t="s">
        <v>37</v>
      </c>
      <c r="D555" s="11" t="s">
        <v>1652</v>
      </c>
      <c r="E555" s="11" t="s">
        <v>1124</v>
      </c>
      <c r="F555" s="20">
        <v>7</v>
      </c>
      <c r="G555" s="21">
        <v>46.749999999999993</v>
      </c>
      <c r="H555" s="13">
        <v>117.1196013289037</v>
      </c>
      <c r="I555" s="13">
        <v>112.1332858873032</v>
      </c>
      <c r="J555" s="13">
        <v>127.7095220299866</v>
      </c>
      <c r="K555" s="7">
        <f t="shared" si="16"/>
        <v>122.97558139534888</v>
      </c>
      <c r="L555" s="7">
        <f t="shared" si="17"/>
        <v>111.26362126245851</v>
      </c>
      <c r="M555" s="3" t="s">
        <v>1226</v>
      </c>
    </row>
    <row r="556" spans="1:13" x14ac:dyDescent="0.35">
      <c r="A556" s="11" t="s">
        <v>1653</v>
      </c>
      <c r="B556" s="11" t="s">
        <v>7</v>
      </c>
      <c r="C556" s="11" t="s">
        <v>37</v>
      </c>
      <c r="D556" s="11" t="s">
        <v>489</v>
      </c>
      <c r="E556" s="11" t="s">
        <v>1124</v>
      </c>
      <c r="F556" s="20">
        <v>163</v>
      </c>
      <c r="G556" s="21">
        <v>1520.47</v>
      </c>
      <c r="H556" s="13">
        <v>121.6327498176513</v>
      </c>
      <c r="I556" s="13">
        <v>109.179610628688</v>
      </c>
      <c r="J556" s="13">
        <v>133.71866441392811</v>
      </c>
      <c r="K556" s="7">
        <f t="shared" si="16"/>
        <v>127.71438730853387</v>
      </c>
      <c r="L556" s="7">
        <f t="shared" si="17"/>
        <v>115.55111232676873</v>
      </c>
      <c r="M556" s="3" t="s">
        <v>1125</v>
      </c>
    </row>
    <row r="557" spans="1:13" x14ac:dyDescent="0.35">
      <c r="A557" s="11" t="s">
        <v>1654</v>
      </c>
      <c r="B557" s="11" t="s">
        <v>7</v>
      </c>
      <c r="C557" s="11" t="s">
        <v>37</v>
      </c>
      <c r="D557" s="11" t="s">
        <v>146</v>
      </c>
      <c r="E557" s="11" t="s">
        <v>1124</v>
      </c>
      <c r="F557" s="20">
        <v>68</v>
      </c>
      <c r="G557" s="21">
        <v>627.79</v>
      </c>
      <c r="H557" s="13">
        <v>115.7812893020196</v>
      </c>
      <c r="I557" s="13">
        <v>103.5906675897153</v>
      </c>
      <c r="J557" s="13">
        <v>129.10416967509019</v>
      </c>
      <c r="K557" s="7">
        <f t="shared" si="16"/>
        <v>121.57035376712059</v>
      </c>
      <c r="L557" s="7">
        <f t="shared" si="17"/>
        <v>109.99222483691861</v>
      </c>
      <c r="M557" s="3" t="s">
        <v>1125</v>
      </c>
    </row>
    <row r="558" spans="1:13" x14ac:dyDescent="0.35">
      <c r="A558" s="11" t="s">
        <v>1655</v>
      </c>
      <c r="B558" s="11" t="s">
        <v>7</v>
      </c>
      <c r="C558" s="11" t="s">
        <v>37</v>
      </c>
      <c r="D558" s="11" t="s">
        <v>1197</v>
      </c>
      <c r="E558" s="11" t="s">
        <v>1124</v>
      </c>
      <c r="F558" s="20">
        <v>13</v>
      </c>
      <c r="G558" s="21">
        <v>161.97999999999999</v>
      </c>
      <c r="H558" s="13">
        <v>116.08545918367351</v>
      </c>
      <c r="I558" s="13">
        <v>107.6185430463576</v>
      </c>
      <c r="J558" s="13">
        <v>121.3924503311258</v>
      </c>
      <c r="K558" s="7">
        <f t="shared" si="16"/>
        <v>121.88973214285718</v>
      </c>
      <c r="L558" s="7">
        <f t="shared" si="17"/>
        <v>110.28118622448983</v>
      </c>
      <c r="M558" s="3" t="s">
        <v>1279</v>
      </c>
    </row>
    <row r="559" spans="1:13" x14ac:dyDescent="0.35">
      <c r="A559" s="11" t="s">
        <v>819</v>
      </c>
      <c r="B559" s="11" t="s">
        <v>7</v>
      </c>
      <c r="C559" s="11" t="s">
        <v>37</v>
      </c>
      <c r="D559" s="11" t="s">
        <v>692</v>
      </c>
      <c r="E559" s="11" t="s">
        <v>1124</v>
      </c>
      <c r="F559" s="20">
        <v>218</v>
      </c>
      <c r="G559" s="21">
        <v>1982.36</v>
      </c>
      <c r="H559" s="13">
        <v>121.06756649640759</v>
      </c>
      <c r="I559" s="13">
        <v>100.23831830904</v>
      </c>
      <c r="J559" s="13">
        <v>140.48730172265161</v>
      </c>
      <c r="K559" s="7">
        <f t="shared" si="16"/>
        <v>127.12094482122798</v>
      </c>
      <c r="L559" s="7">
        <f t="shared" si="17"/>
        <v>115.01418817158721</v>
      </c>
      <c r="M559" s="3" t="s">
        <v>1208</v>
      </c>
    </row>
    <row r="560" spans="1:13" x14ac:dyDescent="0.35">
      <c r="A560" s="11" t="s">
        <v>1656</v>
      </c>
      <c r="B560" s="11" t="s">
        <v>7</v>
      </c>
      <c r="C560" s="11" t="s">
        <v>37</v>
      </c>
      <c r="D560" s="11" t="s">
        <v>78</v>
      </c>
      <c r="E560" s="11" t="s">
        <v>1124</v>
      </c>
      <c r="F560" s="20">
        <v>1</v>
      </c>
      <c r="G560" s="21">
        <v>9.19</v>
      </c>
      <c r="H560" s="13">
        <v>106.0544069640914</v>
      </c>
      <c r="I560" s="13">
        <v>106.0544069640914</v>
      </c>
      <c r="J560" s="13">
        <v>106.0544069640914</v>
      </c>
      <c r="K560" s="7">
        <f t="shared" si="16"/>
        <v>111.35712731229597</v>
      </c>
      <c r="L560" s="7">
        <f t="shared" si="17"/>
        <v>100.75168661588683</v>
      </c>
      <c r="M560" s="3" t="s">
        <v>1292</v>
      </c>
    </row>
    <row r="561" spans="1:13" x14ac:dyDescent="0.35">
      <c r="A561" s="11" t="s">
        <v>1657</v>
      </c>
      <c r="B561" s="11" t="s">
        <v>7</v>
      </c>
      <c r="C561" s="11" t="s">
        <v>37</v>
      </c>
      <c r="D561" s="11" t="s">
        <v>237</v>
      </c>
      <c r="E561" s="11" t="s">
        <v>1124</v>
      </c>
      <c r="F561" s="20">
        <v>25</v>
      </c>
      <c r="G561" s="21">
        <v>197.52</v>
      </c>
      <c r="H561" s="13">
        <v>118.542194092827</v>
      </c>
      <c r="I561" s="13">
        <v>104.9792349726776</v>
      </c>
      <c r="J561" s="13">
        <v>132.25316455696199</v>
      </c>
      <c r="K561" s="7">
        <f t="shared" si="16"/>
        <v>124.46930379746836</v>
      </c>
      <c r="L561" s="7">
        <f t="shared" si="17"/>
        <v>112.61508438818565</v>
      </c>
      <c r="M561" s="3" t="s">
        <v>1125</v>
      </c>
    </row>
    <row r="562" spans="1:13" x14ac:dyDescent="0.35">
      <c r="A562" s="11" t="s">
        <v>762</v>
      </c>
      <c r="B562" s="11" t="s">
        <v>7</v>
      </c>
      <c r="C562" s="11" t="s">
        <v>37</v>
      </c>
      <c r="D562" s="11" t="s">
        <v>88</v>
      </c>
      <c r="E562" s="11" t="s">
        <v>1124</v>
      </c>
      <c r="F562" s="20">
        <v>373</v>
      </c>
      <c r="G562" s="21">
        <v>3686.73</v>
      </c>
      <c r="H562" s="13">
        <v>119.4511111111111</v>
      </c>
      <c r="I562" s="13">
        <v>102.4385441527446</v>
      </c>
      <c r="J562" s="13">
        <v>139.3566970715315</v>
      </c>
      <c r="K562" s="7">
        <f t="shared" si="16"/>
        <v>125.42366666666666</v>
      </c>
      <c r="L562" s="7">
        <f t="shared" si="17"/>
        <v>113.47855555555554</v>
      </c>
      <c r="M562" s="3" t="s">
        <v>1125</v>
      </c>
    </row>
    <row r="563" spans="1:13" x14ac:dyDescent="0.35">
      <c r="A563" s="11" t="s">
        <v>1003</v>
      </c>
      <c r="B563" s="11" t="s">
        <v>7</v>
      </c>
      <c r="C563" s="11" t="s">
        <v>30</v>
      </c>
      <c r="D563" s="11" t="s">
        <v>1002</v>
      </c>
      <c r="E563" s="11" t="s">
        <v>35</v>
      </c>
      <c r="F563" s="20">
        <v>46</v>
      </c>
      <c r="G563" s="21">
        <v>388.50000000000011</v>
      </c>
      <c r="H563" s="13">
        <v>124.2224256136021</v>
      </c>
      <c r="I563" s="13">
        <v>110.3646302250804</v>
      </c>
      <c r="J563" s="13">
        <v>139.8052825950453</v>
      </c>
      <c r="K563" s="7">
        <f t="shared" si="16"/>
        <v>130.43354689428222</v>
      </c>
      <c r="L563" s="7">
        <f t="shared" si="17"/>
        <v>118.01130433292199</v>
      </c>
      <c r="M563" s="3" t="s">
        <v>1125</v>
      </c>
    </row>
    <row r="564" spans="1:13" x14ac:dyDescent="0.35">
      <c r="A564" s="11" t="s">
        <v>1658</v>
      </c>
      <c r="B564" s="11" t="s">
        <v>7</v>
      </c>
      <c r="C564" s="11" t="s">
        <v>30</v>
      </c>
      <c r="D564" s="11" t="s">
        <v>1002</v>
      </c>
      <c r="E564" s="11" t="s">
        <v>131</v>
      </c>
      <c r="F564" s="20">
        <v>13</v>
      </c>
      <c r="G564" s="21">
        <v>113.85</v>
      </c>
      <c r="H564" s="13">
        <v>136.44358727097401</v>
      </c>
      <c r="I564" s="13">
        <v>119.3300970873786</v>
      </c>
      <c r="J564" s="13">
        <v>140.04050144648019</v>
      </c>
      <c r="K564" s="7">
        <f t="shared" si="16"/>
        <v>143.26576663452272</v>
      </c>
      <c r="L564" s="7">
        <f t="shared" si="17"/>
        <v>129.62140790742529</v>
      </c>
      <c r="M564" s="3" t="s">
        <v>1125</v>
      </c>
    </row>
    <row r="565" spans="1:13" x14ac:dyDescent="0.35">
      <c r="A565" s="11" t="s">
        <v>1659</v>
      </c>
      <c r="B565" s="11" t="s">
        <v>7</v>
      </c>
      <c r="C565" s="11" t="s">
        <v>30</v>
      </c>
      <c r="D565" s="11" t="s">
        <v>198</v>
      </c>
      <c r="E565" s="11" t="s">
        <v>360</v>
      </c>
      <c r="F565" s="20">
        <v>32</v>
      </c>
      <c r="G565" s="21">
        <v>267.19999999999987</v>
      </c>
      <c r="H565" s="13">
        <v>134.65200789700879</v>
      </c>
      <c r="I565" s="13">
        <v>122.6554948961455</v>
      </c>
      <c r="J565" s="13">
        <v>152.68785046728971</v>
      </c>
      <c r="K565" s="7">
        <f t="shared" si="16"/>
        <v>141.38460829185922</v>
      </c>
      <c r="L565" s="7">
        <f t="shared" si="17"/>
        <v>127.91940750215834</v>
      </c>
      <c r="M565" s="3" t="s">
        <v>1125</v>
      </c>
    </row>
    <row r="566" spans="1:13" x14ac:dyDescent="0.35">
      <c r="A566" s="11" t="s">
        <v>709</v>
      </c>
      <c r="B566" s="11" t="s">
        <v>7</v>
      </c>
      <c r="C566" s="11" t="s">
        <v>30</v>
      </c>
      <c r="D566" s="11" t="s">
        <v>198</v>
      </c>
      <c r="E566" s="11" t="s">
        <v>364</v>
      </c>
      <c r="F566" s="20">
        <v>245</v>
      </c>
      <c r="G566" s="21">
        <v>2364.36</v>
      </c>
      <c r="H566" s="13">
        <v>125.33667409057161</v>
      </c>
      <c r="I566" s="13">
        <v>108.96340852130329</v>
      </c>
      <c r="J566" s="13">
        <v>143.76092485549131</v>
      </c>
      <c r="K566" s="7">
        <f t="shared" si="16"/>
        <v>131.6035077951002</v>
      </c>
      <c r="L566" s="7">
        <f t="shared" si="17"/>
        <v>119.06984038604303</v>
      </c>
      <c r="M566" s="3" t="s">
        <v>1125</v>
      </c>
    </row>
    <row r="567" spans="1:13" x14ac:dyDescent="0.35">
      <c r="A567" s="11" t="s">
        <v>1030</v>
      </c>
      <c r="B567" s="11" t="s">
        <v>7</v>
      </c>
      <c r="C567" s="11" t="s">
        <v>30</v>
      </c>
      <c r="D567" s="11" t="s">
        <v>198</v>
      </c>
      <c r="E567" s="11" t="s">
        <v>39</v>
      </c>
      <c r="F567" s="20">
        <v>108</v>
      </c>
      <c r="G567" s="21">
        <v>1252.680000000001</v>
      </c>
      <c r="H567" s="13">
        <v>124.51754725290211</v>
      </c>
      <c r="I567" s="13">
        <v>110.94669703872439</v>
      </c>
      <c r="J567" s="13">
        <v>135.295451326598</v>
      </c>
      <c r="K567" s="7">
        <f t="shared" si="16"/>
        <v>130.74342461554721</v>
      </c>
      <c r="L567" s="7">
        <f t="shared" si="17"/>
        <v>118.291669890257</v>
      </c>
      <c r="M567" s="3" t="s">
        <v>1125</v>
      </c>
    </row>
    <row r="568" spans="1:13" x14ac:dyDescent="0.35">
      <c r="A568" s="11" t="s">
        <v>968</v>
      </c>
      <c r="B568" s="11" t="s">
        <v>7</v>
      </c>
      <c r="C568" s="11" t="s">
        <v>30</v>
      </c>
      <c r="D568" s="11" t="s">
        <v>198</v>
      </c>
      <c r="E568" s="11" t="s">
        <v>502</v>
      </c>
      <c r="F568" s="20">
        <v>208</v>
      </c>
      <c r="G568" s="21">
        <v>1683.92</v>
      </c>
      <c r="H568" s="13">
        <v>128.99451869176229</v>
      </c>
      <c r="I568" s="13">
        <v>109.33883875798919</v>
      </c>
      <c r="J568" s="13">
        <v>150.59278934311291</v>
      </c>
      <c r="K568" s="7">
        <f t="shared" si="16"/>
        <v>135.44424462635041</v>
      </c>
      <c r="L568" s="7">
        <f t="shared" si="17"/>
        <v>122.54479275717418</v>
      </c>
      <c r="M568" s="3" t="s">
        <v>1125</v>
      </c>
    </row>
    <row r="569" spans="1:13" x14ac:dyDescent="0.35">
      <c r="A569" s="11" t="s">
        <v>1660</v>
      </c>
      <c r="B569" s="11" t="s">
        <v>7</v>
      </c>
      <c r="C569" s="11" t="s">
        <v>30</v>
      </c>
      <c r="D569" s="11" t="s">
        <v>198</v>
      </c>
      <c r="E569" s="11" t="s">
        <v>499</v>
      </c>
      <c r="F569" s="20">
        <v>14</v>
      </c>
      <c r="G569" s="21">
        <v>150.78</v>
      </c>
      <c r="H569" s="13">
        <v>121.8047093885029</v>
      </c>
      <c r="I569" s="13">
        <v>102.58357021817</v>
      </c>
      <c r="J569" s="13">
        <v>136.045896682826</v>
      </c>
      <c r="K569" s="7">
        <f t="shared" si="16"/>
        <v>127.89494485792805</v>
      </c>
      <c r="L569" s="7">
        <f t="shared" si="17"/>
        <v>115.71447391907775</v>
      </c>
      <c r="M569" s="3" t="s">
        <v>1208</v>
      </c>
    </row>
    <row r="570" spans="1:13" x14ac:dyDescent="0.35">
      <c r="A570" s="11" t="s">
        <v>922</v>
      </c>
      <c r="B570" s="11" t="s">
        <v>7</v>
      </c>
      <c r="C570" s="11" t="s">
        <v>30</v>
      </c>
      <c r="D570" s="11" t="s">
        <v>198</v>
      </c>
      <c r="E570" s="11" t="s">
        <v>35</v>
      </c>
      <c r="F570" s="20">
        <v>176</v>
      </c>
      <c r="G570" s="21">
        <v>2116.41</v>
      </c>
      <c r="H570" s="13">
        <v>134.71142066534611</v>
      </c>
      <c r="I570" s="13">
        <v>116.48018363337781</v>
      </c>
      <c r="J570" s="13">
        <v>148.5446285831836</v>
      </c>
      <c r="K570" s="7">
        <f t="shared" si="16"/>
        <v>141.44699169861343</v>
      </c>
      <c r="L570" s="7">
        <f t="shared" si="17"/>
        <v>127.97584963207881</v>
      </c>
      <c r="M570" s="3" t="s">
        <v>1125</v>
      </c>
    </row>
    <row r="571" spans="1:13" x14ac:dyDescent="0.35">
      <c r="A571" s="11" t="s">
        <v>680</v>
      </c>
      <c r="B571" s="11" t="s">
        <v>7</v>
      </c>
      <c r="C571" s="11" t="s">
        <v>30</v>
      </c>
      <c r="D571" s="11" t="s">
        <v>198</v>
      </c>
      <c r="E571" s="11" t="s">
        <v>169</v>
      </c>
      <c r="F571" s="20">
        <v>217</v>
      </c>
      <c r="G571" s="21">
        <v>1878.58</v>
      </c>
      <c r="H571" s="13">
        <v>116.7568295114656</v>
      </c>
      <c r="I571" s="13">
        <v>98.702072538860108</v>
      </c>
      <c r="J571" s="13">
        <v>138.0158371040724</v>
      </c>
      <c r="K571" s="7">
        <f t="shared" si="16"/>
        <v>122.59467098703888</v>
      </c>
      <c r="L571" s="7">
        <f t="shared" si="17"/>
        <v>110.91898803589231</v>
      </c>
      <c r="M571" s="3" t="s">
        <v>1125</v>
      </c>
    </row>
    <row r="572" spans="1:13" x14ac:dyDescent="0.35">
      <c r="A572" s="11" t="s">
        <v>845</v>
      </c>
      <c r="B572" s="11" t="s">
        <v>7</v>
      </c>
      <c r="C572" s="11" t="s">
        <v>30</v>
      </c>
      <c r="D572" s="11" t="s">
        <v>198</v>
      </c>
      <c r="E572" s="11" t="s">
        <v>667</v>
      </c>
      <c r="F572" s="20">
        <v>138</v>
      </c>
      <c r="G572" s="21">
        <v>1445.02</v>
      </c>
      <c r="H572" s="13">
        <v>122.54196228984689</v>
      </c>
      <c r="I572" s="13">
        <v>101.3143930456047</v>
      </c>
      <c r="J572" s="13">
        <v>136.02158057310879</v>
      </c>
      <c r="K572" s="7">
        <f t="shared" si="16"/>
        <v>128.66906040433923</v>
      </c>
      <c r="L572" s="7">
        <f t="shared" si="17"/>
        <v>116.41486417535454</v>
      </c>
      <c r="M572" s="3" t="s">
        <v>1125</v>
      </c>
    </row>
    <row r="573" spans="1:13" x14ac:dyDescent="0.35">
      <c r="A573" s="11" t="s">
        <v>1661</v>
      </c>
      <c r="B573" s="11" t="s">
        <v>7</v>
      </c>
      <c r="C573" s="11" t="s">
        <v>30</v>
      </c>
      <c r="D573" s="11" t="s">
        <v>198</v>
      </c>
      <c r="E573" s="11" t="s">
        <v>818</v>
      </c>
      <c r="F573" s="20">
        <v>5</v>
      </c>
      <c r="G573" s="21">
        <v>13</v>
      </c>
      <c r="H573" s="13">
        <v>96.507692307692295</v>
      </c>
      <c r="I573" s="13">
        <v>94.811538461538461</v>
      </c>
      <c r="J573" s="13">
        <v>102.5038461538461</v>
      </c>
      <c r="K573" s="7">
        <f t="shared" si="16"/>
        <v>101.33307692307692</v>
      </c>
      <c r="L573" s="7">
        <f t="shared" si="17"/>
        <v>91.682307692307674</v>
      </c>
      <c r="M573" s="3" t="s">
        <v>1265</v>
      </c>
    </row>
    <row r="574" spans="1:13" x14ac:dyDescent="0.35">
      <c r="A574" s="11" t="s">
        <v>977</v>
      </c>
      <c r="B574" s="11" t="s">
        <v>7</v>
      </c>
      <c r="C574" s="11" t="s">
        <v>30</v>
      </c>
      <c r="D574" s="11" t="s">
        <v>198</v>
      </c>
      <c r="E574" s="11" t="s">
        <v>730</v>
      </c>
      <c r="F574" s="20">
        <v>28</v>
      </c>
      <c r="G574" s="21">
        <v>405.43999999999988</v>
      </c>
      <c r="H574" s="13">
        <v>140.45626875610199</v>
      </c>
      <c r="I574" s="13">
        <v>132.5445301357413</v>
      </c>
      <c r="J574" s="13">
        <v>153.9803832938741</v>
      </c>
      <c r="K574" s="7">
        <f t="shared" si="16"/>
        <v>147.47908219390709</v>
      </c>
      <c r="L574" s="7">
        <f t="shared" si="17"/>
        <v>133.43345531829689</v>
      </c>
      <c r="M574" s="3" t="s">
        <v>1125</v>
      </c>
    </row>
    <row r="575" spans="1:13" x14ac:dyDescent="0.35">
      <c r="A575" s="11" t="s">
        <v>1662</v>
      </c>
      <c r="B575" s="11" t="s">
        <v>7</v>
      </c>
      <c r="C575" s="11" t="s">
        <v>30</v>
      </c>
      <c r="D575" s="11" t="s">
        <v>198</v>
      </c>
      <c r="E575" s="11" t="s">
        <v>122</v>
      </c>
      <c r="F575" s="20">
        <v>11</v>
      </c>
      <c r="G575" s="21">
        <v>120.88</v>
      </c>
      <c r="H575" s="13">
        <v>133.1336617405583</v>
      </c>
      <c r="I575" s="13">
        <v>106.2657693866755</v>
      </c>
      <c r="J575" s="13">
        <v>139.1794456066946</v>
      </c>
      <c r="K575" s="7">
        <f t="shared" si="16"/>
        <v>139.79034482758621</v>
      </c>
      <c r="L575" s="7">
        <f t="shared" si="17"/>
        <v>126.47697865353038</v>
      </c>
      <c r="M575" s="3" t="s">
        <v>1137</v>
      </c>
    </row>
    <row r="576" spans="1:13" x14ac:dyDescent="0.35">
      <c r="A576" s="11" t="s">
        <v>634</v>
      </c>
      <c r="B576" s="11" t="s">
        <v>7</v>
      </c>
      <c r="C576" s="11" t="s">
        <v>30</v>
      </c>
      <c r="D576" s="11" t="s">
        <v>198</v>
      </c>
      <c r="E576" s="11" t="s">
        <v>633</v>
      </c>
      <c r="F576" s="20">
        <v>733</v>
      </c>
      <c r="G576" s="21">
        <v>6813.5599999999986</v>
      </c>
      <c r="H576" s="13">
        <v>122.7119856887299</v>
      </c>
      <c r="I576" s="13">
        <v>102.9331158238173</v>
      </c>
      <c r="J576" s="13">
        <v>140.4473684210526</v>
      </c>
      <c r="K576" s="7">
        <f t="shared" si="16"/>
        <v>128.84758497316639</v>
      </c>
      <c r="L576" s="7">
        <f t="shared" si="17"/>
        <v>116.5763864042934</v>
      </c>
      <c r="M576" s="3" t="s">
        <v>1125</v>
      </c>
    </row>
    <row r="577" spans="1:13" x14ac:dyDescent="0.35">
      <c r="A577" s="11" t="s">
        <v>916</v>
      </c>
      <c r="B577" s="11" t="s">
        <v>7</v>
      </c>
      <c r="C577" s="11" t="s">
        <v>30</v>
      </c>
      <c r="D577" s="11" t="s">
        <v>198</v>
      </c>
      <c r="E577" s="11" t="s">
        <v>670</v>
      </c>
      <c r="F577" s="20">
        <v>87</v>
      </c>
      <c r="G577" s="21">
        <v>872.65479999999991</v>
      </c>
      <c r="H577" s="13">
        <v>110.0158771473191</v>
      </c>
      <c r="I577" s="13">
        <v>96.10361750348676</v>
      </c>
      <c r="J577" s="13">
        <v>128.92527361722301</v>
      </c>
      <c r="K577" s="7">
        <f t="shared" si="16"/>
        <v>115.51667100468507</v>
      </c>
      <c r="L577" s="7">
        <f t="shared" si="17"/>
        <v>104.51508328995314</v>
      </c>
      <c r="M577" s="3" t="s">
        <v>1125</v>
      </c>
    </row>
    <row r="578" spans="1:13" x14ac:dyDescent="0.35">
      <c r="A578" s="11" t="s">
        <v>698</v>
      </c>
      <c r="B578" s="11" t="s">
        <v>7</v>
      </c>
      <c r="C578" s="11" t="s">
        <v>30</v>
      </c>
      <c r="D578" s="11" t="s">
        <v>198</v>
      </c>
      <c r="E578" s="11" t="s">
        <v>28</v>
      </c>
      <c r="F578" s="20">
        <v>156</v>
      </c>
      <c r="G578" s="21">
        <v>1424.1</v>
      </c>
      <c r="H578" s="13">
        <v>121.8624870387313</v>
      </c>
      <c r="I578" s="13">
        <v>109.3344113952531</v>
      </c>
      <c r="J578" s="13">
        <v>138.66161750421759</v>
      </c>
      <c r="K578" s="7">
        <f t="shared" si="16"/>
        <v>127.95561139066787</v>
      </c>
      <c r="L578" s="7">
        <f t="shared" si="17"/>
        <v>115.76936268679474</v>
      </c>
      <c r="M578" s="3" t="s">
        <v>1125</v>
      </c>
    </row>
    <row r="579" spans="1:13" x14ac:dyDescent="0.35">
      <c r="A579" s="11" t="s">
        <v>788</v>
      </c>
      <c r="B579" s="11" t="s">
        <v>7</v>
      </c>
      <c r="C579" s="11" t="s">
        <v>30</v>
      </c>
      <c r="D579" s="11" t="s">
        <v>198</v>
      </c>
      <c r="E579" s="11" t="s">
        <v>186</v>
      </c>
      <c r="F579" s="20">
        <v>69</v>
      </c>
      <c r="G579" s="21">
        <v>628.42999999999995</v>
      </c>
      <c r="H579" s="13">
        <v>124.3922106417992</v>
      </c>
      <c r="I579" s="13">
        <v>103.1871657754011</v>
      </c>
      <c r="J579" s="13">
        <v>139.02554027504911</v>
      </c>
      <c r="K579" s="7">
        <f t="shared" si="16"/>
        <v>130.61182117388915</v>
      </c>
      <c r="L579" s="7">
        <f t="shared" si="17"/>
        <v>118.17260010970924</v>
      </c>
      <c r="M579" s="3" t="s">
        <v>1125</v>
      </c>
    </row>
    <row r="580" spans="1:13" x14ac:dyDescent="0.35">
      <c r="A580" s="11" t="s">
        <v>841</v>
      </c>
      <c r="B580" s="11" t="s">
        <v>7</v>
      </c>
      <c r="C580" s="11" t="s">
        <v>30</v>
      </c>
      <c r="D580" s="11" t="s">
        <v>198</v>
      </c>
      <c r="E580" s="11" t="s">
        <v>641</v>
      </c>
      <c r="F580" s="20">
        <v>128</v>
      </c>
      <c r="G580" s="21">
        <v>1395.04</v>
      </c>
      <c r="H580" s="13">
        <v>125.8558441558442</v>
      </c>
      <c r="I580" s="13">
        <v>109.2925542626259</v>
      </c>
      <c r="J580" s="13">
        <v>135.74503986013991</v>
      </c>
      <c r="K580" s="7">
        <f t="shared" si="16"/>
        <v>132.1486363636364</v>
      </c>
      <c r="L580" s="7">
        <f t="shared" si="17"/>
        <v>119.56305194805198</v>
      </c>
      <c r="M580" s="3" t="s">
        <v>1125</v>
      </c>
    </row>
    <row r="581" spans="1:13" x14ac:dyDescent="0.35">
      <c r="A581" s="11" t="s">
        <v>1663</v>
      </c>
      <c r="B581" s="11" t="s">
        <v>7</v>
      </c>
      <c r="C581" s="11" t="s">
        <v>30</v>
      </c>
      <c r="D581" s="11" t="s">
        <v>198</v>
      </c>
      <c r="E581" s="11" t="s">
        <v>733</v>
      </c>
      <c r="F581" s="20">
        <v>49</v>
      </c>
      <c r="G581" s="21">
        <v>484.06999999999988</v>
      </c>
      <c r="H581" s="13">
        <v>122.2438563327032</v>
      </c>
      <c r="I581" s="13">
        <v>102.9884005763689</v>
      </c>
      <c r="J581" s="13">
        <v>141.4545454545455</v>
      </c>
      <c r="K581" s="7">
        <f t="shared" ref="K581:K644" si="18">H581*(1+$B$2)</f>
        <v>128.35604914933836</v>
      </c>
      <c r="L581" s="7">
        <f t="shared" ref="L581:L644" si="19">H581*(1-$B$2)</f>
        <v>116.13166351606803</v>
      </c>
      <c r="M581" s="3" t="s">
        <v>1125</v>
      </c>
    </row>
    <row r="582" spans="1:13" x14ac:dyDescent="0.35">
      <c r="A582" s="11" t="s">
        <v>791</v>
      </c>
      <c r="B582" s="11" t="s">
        <v>7</v>
      </c>
      <c r="C582" s="11" t="s">
        <v>30</v>
      </c>
      <c r="D582" s="11" t="s">
        <v>198</v>
      </c>
      <c r="E582" s="11" t="s">
        <v>790</v>
      </c>
      <c r="F582" s="20">
        <v>28</v>
      </c>
      <c r="G582" s="21">
        <v>232.48</v>
      </c>
      <c r="H582" s="13">
        <v>108.09974923834081</v>
      </c>
      <c r="I582" s="13">
        <v>99.133349705304525</v>
      </c>
      <c r="J582" s="13">
        <v>127.2961261051652</v>
      </c>
      <c r="K582" s="7">
        <f t="shared" si="18"/>
        <v>113.50473670025785</v>
      </c>
      <c r="L582" s="7">
        <f t="shared" si="19"/>
        <v>102.69476177642376</v>
      </c>
      <c r="M582" s="3" t="s">
        <v>1125</v>
      </c>
    </row>
    <row r="583" spans="1:13" x14ac:dyDescent="0.35">
      <c r="A583" s="11" t="s">
        <v>929</v>
      </c>
      <c r="B583" s="11" t="s">
        <v>7</v>
      </c>
      <c r="C583" s="11" t="s">
        <v>30</v>
      </c>
      <c r="D583" s="11" t="s">
        <v>198</v>
      </c>
      <c r="E583" s="11" t="s">
        <v>131</v>
      </c>
      <c r="F583" s="20">
        <v>256</v>
      </c>
      <c r="G583" s="21">
        <v>2510.73</v>
      </c>
      <c r="H583" s="13">
        <v>124.3517444178628</v>
      </c>
      <c r="I583" s="13">
        <v>108.1671828254848</v>
      </c>
      <c r="J583" s="13">
        <v>144.9811380607556</v>
      </c>
      <c r="K583" s="7">
        <f t="shared" si="18"/>
        <v>130.56933163875595</v>
      </c>
      <c r="L583" s="7">
        <f t="shared" si="19"/>
        <v>118.13415719696965</v>
      </c>
      <c r="M583" s="3" t="s">
        <v>1125</v>
      </c>
    </row>
    <row r="584" spans="1:13" x14ac:dyDescent="0.35">
      <c r="A584" s="11" t="s">
        <v>1664</v>
      </c>
      <c r="B584" s="11" t="s">
        <v>7</v>
      </c>
      <c r="C584" s="11" t="s">
        <v>30</v>
      </c>
      <c r="D584" s="11" t="s">
        <v>134</v>
      </c>
      <c r="E584" s="11" t="s">
        <v>131</v>
      </c>
      <c r="F584" s="20">
        <v>1</v>
      </c>
      <c r="G584" s="21">
        <v>1.52</v>
      </c>
      <c r="H584" s="13">
        <v>126.7565789473684</v>
      </c>
      <c r="I584" s="13">
        <v>126.7565789473684</v>
      </c>
      <c r="J584" s="13">
        <v>126.7565789473684</v>
      </c>
      <c r="K584" s="7">
        <f t="shared" si="18"/>
        <v>133.09440789473683</v>
      </c>
      <c r="L584" s="7">
        <f t="shared" si="19"/>
        <v>120.41874999999997</v>
      </c>
      <c r="M584" s="3" t="s">
        <v>1626</v>
      </c>
    </row>
    <row r="585" spans="1:13" x14ac:dyDescent="0.35">
      <c r="A585" s="11" t="s">
        <v>1665</v>
      </c>
      <c r="B585" s="11" t="s">
        <v>7</v>
      </c>
      <c r="C585" s="11" t="s">
        <v>30</v>
      </c>
      <c r="D585" s="11" t="s">
        <v>806</v>
      </c>
      <c r="E585" s="11" t="s">
        <v>39</v>
      </c>
      <c r="F585" s="20">
        <v>3</v>
      </c>
      <c r="G585" s="21">
        <v>55.47</v>
      </c>
      <c r="H585" s="13">
        <v>133.4267171444024</v>
      </c>
      <c r="I585" s="13">
        <v>119.6549486208762</v>
      </c>
      <c r="J585" s="13">
        <v>135.6825310978908</v>
      </c>
      <c r="K585" s="7">
        <f t="shared" si="18"/>
        <v>140.09805300162253</v>
      </c>
      <c r="L585" s="7">
        <f t="shared" si="19"/>
        <v>126.75538128718227</v>
      </c>
      <c r="M585" s="3" t="s">
        <v>1158</v>
      </c>
    </row>
    <row r="586" spans="1:13" x14ac:dyDescent="0.35">
      <c r="A586" s="11" t="s">
        <v>807</v>
      </c>
      <c r="B586" s="11" t="s">
        <v>7</v>
      </c>
      <c r="C586" s="11" t="s">
        <v>30</v>
      </c>
      <c r="D586" s="11" t="s">
        <v>806</v>
      </c>
      <c r="E586" s="11" t="s">
        <v>502</v>
      </c>
      <c r="F586" s="20">
        <v>10</v>
      </c>
      <c r="G586" s="21">
        <v>26.3</v>
      </c>
      <c r="H586" s="13">
        <v>123.6241810240233</v>
      </c>
      <c r="I586" s="13">
        <v>115.0538184213263</v>
      </c>
      <c r="J586" s="13">
        <v>139.62539432176661</v>
      </c>
      <c r="K586" s="7">
        <f t="shared" si="18"/>
        <v>129.80539007522447</v>
      </c>
      <c r="L586" s="7">
        <f t="shared" si="19"/>
        <v>117.44297197282214</v>
      </c>
      <c r="M586" s="3" t="s">
        <v>1130</v>
      </c>
    </row>
    <row r="587" spans="1:13" x14ac:dyDescent="0.35">
      <c r="A587" s="11" t="s">
        <v>1666</v>
      </c>
      <c r="B587" s="11" t="s">
        <v>7</v>
      </c>
      <c r="C587" s="11" t="s">
        <v>30</v>
      </c>
      <c r="D587" s="11" t="s">
        <v>1147</v>
      </c>
      <c r="E587" s="11" t="s">
        <v>633</v>
      </c>
      <c r="F587" s="20">
        <v>1</v>
      </c>
      <c r="G587" s="21">
        <v>4.88</v>
      </c>
      <c r="H587" s="13">
        <v>96.723360655737707</v>
      </c>
      <c r="I587" s="13">
        <v>96.723360655737707</v>
      </c>
      <c r="J587" s="13">
        <v>96.723360655737707</v>
      </c>
      <c r="K587" s="7">
        <f t="shared" si="18"/>
        <v>101.55952868852459</v>
      </c>
      <c r="L587" s="7">
        <f t="shared" si="19"/>
        <v>91.88719262295082</v>
      </c>
      <c r="M587" s="3" t="s">
        <v>1628</v>
      </c>
    </row>
    <row r="588" spans="1:13" x14ac:dyDescent="0.35">
      <c r="A588" s="11" t="s">
        <v>1667</v>
      </c>
      <c r="B588" s="11" t="s">
        <v>7</v>
      </c>
      <c r="C588" s="11" t="s">
        <v>30</v>
      </c>
      <c r="D588" s="11" t="s">
        <v>27</v>
      </c>
      <c r="E588" s="11" t="s">
        <v>360</v>
      </c>
      <c r="F588" s="20">
        <v>1</v>
      </c>
      <c r="G588" s="21">
        <v>16.18</v>
      </c>
      <c r="H588" s="13">
        <v>124.55686032138441</v>
      </c>
      <c r="I588" s="13">
        <v>124.55686032138441</v>
      </c>
      <c r="J588" s="13">
        <v>124.55686032138441</v>
      </c>
      <c r="K588" s="7">
        <f t="shared" si="18"/>
        <v>130.78470333745364</v>
      </c>
      <c r="L588" s="7">
        <f t="shared" si="19"/>
        <v>118.32901730531518</v>
      </c>
      <c r="M588" s="3" t="s">
        <v>1157</v>
      </c>
    </row>
    <row r="589" spans="1:13" x14ac:dyDescent="0.35">
      <c r="A589" s="11" t="s">
        <v>773</v>
      </c>
      <c r="B589" s="11" t="s">
        <v>7</v>
      </c>
      <c r="C589" s="11" t="s">
        <v>30</v>
      </c>
      <c r="D589" s="11" t="s">
        <v>27</v>
      </c>
      <c r="E589" s="11" t="s">
        <v>364</v>
      </c>
      <c r="F589" s="20">
        <v>19</v>
      </c>
      <c r="G589" s="21">
        <v>109.09</v>
      </c>
      <c r="H589" s="13">
        <v>122.69387755102041</v>
      </c>
      <c r="I589" s="13">
        <v>109.6483739837398</v>
      </c>
      <c r="J589" s="13">
        <v>151.28237127614941</v>
      </c>
      <c r="K589" s="7">
        <f t="shared" si="18"/>
        <v>128.82857142857142</v>
      </c>
      <c r="L589" s="7">
        <f t="shared" si="19"/>
        <v>116.55918367346938</v>
      </c>
      <c r="M589" s="3" t="s">
        <v>1154</v>
      </c>
    </row>
    <row r="590" spans="1:13" x14ac:dyDescent="0.35">
      <c r="A590" s="11" t="s">
        <v>879</v>
      </c>
      <c r="B590" s="11" t="s">
        <v>7</v>
      </c>
      <c r="C590" s="11" t="s">
        <v>30</v>
      </c>
      <c r="D590" s="11" t="s">
        <v>27</v>
      </c>
      <c r="E590" s="11" t="s">
        <v>39</v>
      </c>
      <c r="F590" s="20">
        <v>10</v>
      </c>
      <c r="G590" s="21">
        <v>101.62</v>
      </c>
      <c r="H590" s="13">
        <v>131.3117261471231</v>
      </c>
      <c r="I590" s="13">
        <v>122.0964052287582</v>
      </c>
      <c r="J590" s="13">
        <v>136.98304635217431</v>
      </c>
      <c r="K590" s="7">
        <f t="shared" si="18"/>
        <v>137.87731245447927</v>
      </c>
      <c r="L590" s="7">
        <f t="shared" si="19"/>
        <v>124.74613983976694</v>
      </c>
      <c r="M590" s="3" t="s">
        <v>1158</v>
      </c>
    </row>
    <row r="591" spans="1:13" x14ac:dyDescent="0.35">
      <c r="A591" s="11" t="s">
        <v>775</v>
      </c>
      <c r="B591" s="11" t="s">
        <v>7</v>
      </c>
      <c r="C591" s="11" t="s">
        <v>30</v>
      </c>
      <c r="D591" s="11" t="s">
        <v>27</v>
      </c>
      <c r="E591" s="11" t="s">
        <v>502</v>
      </c>
      <c r="F591" s="20">
        <v>23</v>
      </c>
      <c r="G591" s="21">
        <v>143.33000000000001</v>
      </c>
      <c r="H591" s="13">
        <v>141.3474440894569</v>
      </c>
      <c r="I591" s="13">
        <v>117.7325152129818</v>
      </c>
      <c r="J591" s="13">
        <v>151.08120885411699</v>
      </c>
      <c r="K591" s="7">
        <f t="shared" si="18"/>
        <v>148.41481629392976</v>
      </c>
      <c r="L591" s="7">
        <f t="shared" si="19"/>
        <v>134.28007188498404</v>
      </c>
      <c r="M591" s="3" t="s">
        <v>1148</v>
      </c>
    </row>
    <row r="592" spans="1:13" x14ac:dyDescent="0.35">
      <c r="A592" s="11" t="s">
        <v>1668</v>
      </c>
      <c r="B592" s="11" t="s">
        <v>7</v>
      </c>
      <c r="C592" s="11" t="s">
        <v>30</v>
      </c>
      <c r="D592" s="11" t="s">
        <v>27</v>
      </c>
      <c r="E592" s="11" t="s">
        <v>499</v>
      </c>
      <c r="F592" s="20">
        <v>1</v>
      </c>
      <c r="G592" s="21">
        <v>16.75</v>
      </c>
      <c r="H592" s="13">
        <v>121.8883582089552</v>
      </c>
      <c r="I592" s="13">
        <v>121.8883582089552</v>
      </c>
      <c r="J592" s="13">
        <v>121.8883582089552</v>
      </c>
      <c r="K592" s="7">
        <f t="shared" si="18"/>
        <v>127.98277611940296</v>
      </c>
      <c r="L592" s="7">
        <f t="shared" si="19"/>
        <v>115.79394029850744</v>
      </c>
      <c r="M592" s="3" t="s">
        <v>1157</v>
      </c>
    </row>
    <row r="593" spans="1:13" x14ac:dyDescent="0.35">
      <c r="A593" s="11" t="s">
        <v>682</v>
      </c>
      <c r="B593" s="11" t="s">
        <v>7</v>
      </c>
      <c r="C593" s="11" t="s">
        <v>30</v>
      </c>
      <c r="D593" s="11" t="s">
        <v>27</v>
      </c>
      <c r="E593" s="11" t="s">
        <v>35</v>
      </c>
      <c r="F593" s="20">
        <v>39</v>
      </c>
      <c r="G593" s="21">
        <v>365</v>
      </c>
      <c r="H593" s="13">
        <v>145.44695259593681</v>
      </c>
      <c r="I593" s="13">
        <v>127.4362842225281</v>
      </c>
      <c r="J593" s="13">
        <v>156.82658497747161</v>
      </c>
      <c r="K593" s="7">
        <f t="shared" si="18"/>
        <v>152.71930022573366</v>
      </c>
      <c r="L593" s="7">
        <f t="shared" si="19"/>
        <v>138.17460496613995</v>
      </c>
      <c r="M593" s="3" t="s">
        <v>1130</v>
      </c>
    </row>
    <row r="594" spans="1:13" x14ac:dyDescent="0.35">
      <c r="A594" s="11" t="s">
        <v>837</v>
      </c>
      <c r="B594" s="11" t="s">
        <v>7</v>
      </c>
      <c r="C594" s="11" t="s">
        <v>30</v>
      </c>
      <c r="D594" s="11" t="s">
        <v>27</v>
      </c>
      <c r="E594" s="11" t="s">
        <v>169</v>
      </c>
      <c r="F594" s="20">
        <v>14</v>
      </c>
      <c r="G594" s="21">
        <v>128.18</v>
      </c>
      <c r="H594" s="13">
        <v>126.6153283767038</v>
      </c>
      <c r="I594" s="13">
        <v>112.6907357935719</v>
      </c>
      <c r="J594" s="13">
        <v>133.4104727639949</v>
      </c>
      <c r="K594" s="7">
        <f t="shared" si="18"/>
        <v>132.94609479553898</v>
      </c>
      <c r="L594" s="7">
        <f t="shared" si="19"/>
        <v>120.2845619578686</v>
      </c>
      <c r="M594" s="3" t="s">
        <v>1158</v>
      </c>
    </row>
    <row r="595" spans="1:13" x14ac:dyDescent="0.35">
      <c r="A595" s="11" t="s">
        <v>744</v>
      </c>
      <c r="B595" s="11" t="s">
        <v>7</v>
      </c>
      <c r="C595" s="11" t="s">
        <v>30</v>
      </c>
      <c r="D595" s="11" t="s">
        <v>27</v>
      </c>
      <c r="E595" s="11" t="s">
        <v>667</v>
      </c>
      <c r="F595" s="20">
        <v>7</v>
      </c>
      <c r="G595" s="21">
        <v>57.04</v>
      </c>
      <c r="H595" s="13">
        <v>144.8510362694301</v>
      </c>
      <c r="I595" s="13">
        <v>128.4091959468887</v>
      </c>
      <c r="J595" s="13">
        <v>145.78171691807259</v>
      </c>
      <c r="K595" s="7">
        <f t="shared" si="18"/>
        <v>152.09358808290162</v>
      </c>
      <c r="L595" s="7">
        <f t="shared" si="19"/>
        <v>137.60848445595857</v>
      </c>
      <c r="M595" s="3" t="s">
        <v>1154</v>
      </c>
    </row>
    <row r="596" spans="1:13" x14ac:dyDescent="0.35">
      <c r="A596" s="11" t="s">
        <v>764</v>
      </c>
      <c r="B596" s="11" t="s">
        <v>7</v>
      </c>
      <c r="C596" s="11" t="s">
        <v>30</v>
      </c>
      <c r="D596" s="11" t="s">
        <v>27</v>
      </c>
      <c r="E596" s="11" t="s">
        <v>122</v>
      </c>
      <c r="F596" s="20">
        <v>10</v>
      </c>
      <c r="G596" s="21">
        <v>110.06</v>
      </c>
      <c r="H596" s="13">
        <v>131.7632703360724</v>
      </c>
      <c r="I596" s="13">
        <v>121.46596394755041</v>
      </c>
      <c r="J596" s="13">
        <v>144.22547739433361</v>
      </c>
      <c r="K596" s="7">
        <f t="shared" si="18"/>
        <v>138.35143385287603</v>
      </c>
      <c r="L596" s="7">
        <f t="shared" si="19"/>
        <v>125.17510681926876</v>
      </c>
      <c r="M596" s="3" t="s">
        <v>1158</v>
      </c>
    </row>
    <row r="597" spans="1:13" x14ac:dyDescent="0.35">
      <c r="A597" s="11" t="s">
        <v>1669</v>
      </c>
      <c r="B597" s="11" t="s">
        <v>7</v>
      </c>
      <c r="C597" s="11" t="s">
        <v>30</v>
      </c>
      <c r="D597" s="11" t="s">
        <v>27</v>
      </c>
      <c r="E597" s="11" t="s">
        <v>749</v>
      </c>
      <c r="F597" s="20">
        <v>1</v>
      </c>
      <c r="G597" s="21">
        <v>19.34</v>
      </c>
      <c r="H597" s="13">
        <v>128.92140641158221</v>
      </c>
      <c r="I597" s="13">
        <v>128.92140641158221</v>
      </c>
      <c r="J597" s="13">
        <v>128.92140641158221</v>
      </c>
      <c r="K597" s="7">
        <f t="shared" si="18"/>
        <v>135.36747673216132</v>
      </c>
      <c r="L597" s="7">
        <f t="shared" si="19"/>
        <v>122.4753360910031</v>
      </c>
      <c r="M597" s="3" t="s">
        <v>1157</v>
      </c>
    </row>
    <row r="598" spans="1:13" x14ac:dyDescent="0.35">
      <c r="A598" s="11" t="s">
        <v>658</v>
      </c>
      <c r="B598" s="11" t="s">
        <v>7</v>
      </c>
      <c r="C598" s="11" t="s">
        <v>30</v>
      </c>
      <c r="D598" s="11" t="s">
        <v>27</v>
      </c>
      <c r="E598" s="11" t="s">
        <v>633</v>
      </c>
      <c r="F598" s="20">
        <v>52</v>
      </c>
      <c r="G598" s="21">
        <v>411.66000000000008</v>
      </c>
      <c r="H598" s="13">
        <v>128.387190909645</v>
      </c>
      <c r="I598" s="13">
        <v>119.3155447705163</v>
      </c>
      <c r="J598" s="13">
        <v>139.29652678496339</v>
      </c>
      <c r="K598" s="7">
        <f t="shared" si="18"/>
        <v>134.80655045512725</v>
      </c>
      <c r="L598" s="7">
        <f t="shared" si="19"/>
        <v>121.96783136416275</v>
      </c>
      <c r="M598" s="3" t="s">
        <v>1148</v>
      </c>
    </row>
    <row r="599" spans="1:13" x14ac:dyDescent="0.35">
      <c r="A599" s="11" t="s">
        <v>676</v>
      </c>
      <c r="B599" s="11" t="s">
        <v>7</v>
      </c>
      <c r="C599" s="11" t="s">
        <v>30</v>
      </c>
      <c r="D599" s="11" t="s">
        <v>27</v>
      </c>
      <c r="E599" s="11" t="s">
        <v>670</v>
      </c>
      <c r="F599" s="20">
        <v>7</v>
      </c>
      <c r="G599" s="21">
        <v>59.14</v>
      </c>
      <c r="H599" s="13">
        <v>134.7709190672154</v>
      </c>
      <c r="I599" s="13">
        <v>125.6396993530897</v>
      </c>
      <c r="J599" s="13">
        <v>149.18988841195551</v>
      </c>
      <c r="K599" s="7">
        <f t="shared" si="18"/>
        <v>141.50946502057619</v>
      </c>
      <c r="L599" s="7">
        <f t="shared" si="19"/>
        <v>128.03237311385462</v>
      </c>
      <c r="M599" s="3" t="s">
        <v>1154</v>
      </c>
    </row>
    <row r="600" spans="1:13" x14ac:dyDescent="0.35">
      <c r="A600" s="11" t="s">
        <v>834</v>
      </c>
      <c r="B600" s="11" t="s">
        <v>7</v>
      </c>
      <c r="C600" s="11" t="s">
        <v>30</v>
      </c>
      <c r="D600" s="11" t="s">
        <v>27</v>
      </c>
      <c r="E600" s="11" t="s">
        <v>28</v>
      </c>
      <c r="F600" s="20">
        <v>11</v>
      </c>
      <c r="G600" s="21">
        <v>105.59</v>
      </c>
      <c r="H600" s="13">
        <v>132.84642857142859</v>
      </c>
      <c r="I600" s="13">
        <v>119.23041606452939</v>
      </c>
      <c r="J600" s="13">
        <v>148.08079470198669</v>
      </c>
      <c r="K600" s="7">
        <f t="shared" si="18"/>
        <v>139.48875000000004</v>
      </c>
      <c r="L600" s="7">
        <f t="shared" si="19"/>
        <v>126.20410714285715</v>
      </c>
      <c r="M600" s="3" t="s">
        <v>1149</v>
      </c>
    </row>
    <row r="601" spans="1:13" x14ac:dyDescent="0.35">
      <c r="A601" s="11" t="s">
        <v>1670</v>
      </c>
      <c r="B601" s="11" t="s">
        <v>7</v>
      </c>
      <c r="C601" s="11" t="s">
        <v>30</v>
      </c>
      <c r="D601" s="11" t="s">
        <v>27</v>
      </c>
      <c r="E601" s="11" t="s">
        <v>186</v>
      </c>
      <c r="F601" s="20">
        <v>1</v>
      </c>
      <c r="G601" s="21">
        <v>16.32</v>
      </c>
      <c r="H601" s="13">
        <v>121.2420343137255</v>
      </c>
      <c r="I601" s="13">
        <v>121.2420343137255</v>
      </c>
      <c r="J601" s="13">
        <v>121.2420343137255</v>
      </c>
      <c r="K601" s="7">
        <f t="shared" si="18"/>
        <v>127.30413602941178</v>
      </c>
      <c r="L601" s="7">
        <f t="shared" si="19"/>
        <v>115.17993259803922</v>
      </c>
      <c r="M601" s="3" t="s">
        <v>1157</v>
      </c>
    </row>
    <row r="602" spans="1:13" x14ac:dyDescent="0.35">
      <c r="A602" s="11" t="s">
        <v>687</v>
      </c>
      <c r="B602" s="11" t="s">
        <v>7</v>
      </c>
      <c r="C602" s="11" t="s">
        <v>30</v>
      </c>
      <c r="D602" s="11" t="s">
        <v>27</v>
      </c>
      <c r="E602" s="11" t="s">
        <v>641</v>
      </c>
      <c r="F602" s="20">
        <v>5</v>
      </c>
      <c r="G602" s="21">
        <v>36.840000000000003</v>
      </c>
      <c r="H602" s="13">
        <v>147.96583143507971</v>
      </c>
      <c r="I602" s="13">
        <v>128.31220657277001</v>
      </c>
      <c r="J602" s="13">
        <v>148.8018223234624</v>
      </c>
      <c r="K602" s="7">
        <f t="shared" si="18"/>
        <v>155.36412300683369</v>
      </c>
      <c r="L602" s="7">
        <f t="shared" si="19"/>
        <v>140.56753986332572</v>
      </c>
      <c r="M602" s="3" t="s">
        <v>1154</v>
      </c>
    </row>
    <row r="603" spans="1:13" x14ac:dyDescent="0.35">
      <c r="A603" s="11" t="s">
        <v>1671</v>
      </c>
      <c r="B603" s="11" t="s">
        <v>7</v>
      </c>
      <c r="C603" s="11" t="s">
        <v>30</v>
      </c>
      <c r="D603" s="11" t="s">
        <v>27</v>
      </c>
      <c r="E603" s="11" t="s">
        <v>733</v>
      </c>
      <c r="F603" s="20">
        <v>3</v>
      </c>
      <c r="G603" s="21">
        <v>39.15</v>
      </c>
      <c r="H603" s="13">
        <v>137.4062739097169</v>
      </c>
      <c r="I603" s="13">
        <v>122.27084927314461</v>
      </c>
      <c r="J603" s="13">
        <v>138.08130759282929</v>
      </c>
      <c r="K603" s="7">
        <f t="shared" si="18"/>
        <v>144.27658760520276</v>
      </c>
      <c r="L603" s="7">
        <f t="shared" si="19"/>
        <v>130.53596021423104</v>
      </c>
      <c r="M603" s="3" t="s">
        <v>1158</v>
      </c>
    </row>
    <row r="604" spans="1:13" x14ac:dyDescent="0.35">
      <c r="A604" s="11" t="s">
        <v>653</v>
      </c>
      <c r="B604" s="11" t="s">
        <v>7</v>
      </c>
      <c r="C604" s="11" t="s">
        <v>30</v>
      </c>
      <c r="D604" s="11" t="s">
        <v>27</v>
      </c>
      <c r="E604" s="11" t="s">
        <v>131</v>
      </c>
      <c r="F604" s="20">
        <v>35</v>
      </c>
      <c r="G604" s="21">
        <v>360.52</v>
      </c>
      <c r="H604" s="13">
        <v>144.05763688760811</v>
      </c>
      <c r="I604" s="13">
        <v>130.90552944619941</v>
      </c>
      <c r="J604" s="13">
        <v>159.15239423299101</v>
      </c>
      <c r="K604" s="7">
        <f t="shared" si="18"/>
        <v>151.26051873198853</v>
      </c>
      <c r="L604" s="7">
        <f t="shared" si="19"/>
        <v>136.8547550432277</v>
      </c>
      <c r="M604" s="3" t="s">
        <v>1149</v>
      </c>
    </row>
    <row r="605" spans="1:13" x14ac:dyDescent="0.35">
      <c r="A605" s="11" t="s">
        <v>1672</v>
      </c>
      <c r="B605" s="11" t="s">
        <v>7</v>
      </c>
      <c r="C605" s="11" t="s">
        <v>30</v>
      </c>
      <c r="D605" s="11" t="s">
        <v>1630</v>
      </c>
      <c r="E605" s="11" t="s">
        <v>131</v>
      </c>
      <c r="F605" s="20">
        <v>12</v>
      </c>
      <c r="G605" s="21">
        <v>162.6</v>
      </c>
      <c r="H605" s="13">
        <v>121.5161627167118</v>
      </c>
      <c r="I605" s="13">
        <v>110.45187583742739</v>
      </c>
      <c r="J605" s="13">
        <v>132.68206703402049</v>
      </c>
      <c r="K605" s="7">
        <f t="shared" si="18"/>
        <v>127.59197085254741</v>
      </c>
      <c r="L605" s="7">
        <f t="shared" si="19"/>
        <v>115.4403545808762</v>
      </c>
      <c r="M605" s="3" t="s">
        <v>1525</v>
      </c>
    </row>
    <row r="606" spans="1:13" x14ac:dyDescent="0.35">
      <c r="A606" s="11" t="s">
        <v>1673</v>
      </c>
      <c r="B606" s="11" t="s">
        <v>7</v>
      </c>
      <c r="C606" s="11" t="s">
        <v>30</v>
      </c>
      <c r="D606" s="11" t="s">
        <v>1632</v>
      </c>
      <c r="E606" s="11" t="s">
        <v>364</v>
      </c>
      <c r="F606" s="20">
        <v>6</v>
      </c>
      <c r="G606" s="21">
        <v>33.42</v>
      </c>
      <c r="H606" s="13">
        <v>121.4865350089767</v>
      </c>
      <c r="I606" s="13">
        <v>110.42190305206459</v>
      </c>
      <c r="J606" s="13">
        <v>132.26032315978449</v>
      </c>
      <c r="K606" s="7">
        <f t="shared" si="18"/>
        <v>127.56086175942555</v>
      </c>
      <c r="L606" s="7">
        <f t="shared" si="19"/>
        <v>115.41220825852785</v>
      </c>
      <c r="M606" s="3" t="s">
        <v>1143</v>
      </c>
    </row>
    <row r="607" spans="1:13" x14ac:dyDescent="0.35">
      <c r="A607" s="11" t="s">
        <v>1674</v>
      </c>
      <c r="B607" s="11" t="s">
        <v>7</v>
      </c>
      <c r="C607" s="11" t="s">
        <v>30</v>
      </c>
      <c r="D607" s="11" t="s">
        <v>1632</v>
      </c>
      <c r="E607" s="11" t="s">
        <v>502</v>
      </c>
      <c r="F607" s="20">
        <v>6</v>
      </c>
      <c r="G607" s="21">
        <v>54.780000000000008</v>
      </c>
      <c r="H607" s="13">
        <v>123.4186746987952</v>
      </c>
      <c r="I607" s="13">
        <v>101.11837349397589</v>
      </c>
      <c r="J607" s="13">
        <v>127.6807776560788</v>
      </c>
      <c r="K607" s="7">
        <f t="shared" si="18"/>
        <v>129.58960843373495</v>
      </c>
      <c r="L607" s="7">
        <f t="shared" si="19"/>
        <v>117.24774096385543</v>
      </c>
      <c r="M607" s="3" t="s">
        <v>1143</v>
      </c>
    </row>
    <row r="608" spans="1:13" x14ac:dyDescent="0.35">
      <c r="A608" s="11" t="s">
        <v>1675</v>
      </c>
      <c r="B608" s="11" t="s">
        <v>7</v>
      </c>
      <c r="C608" s="11" t="s">
        <v>30</v>
      </c>
      <c r="D608" s="11" t="s">
        <v>1632</v>
      </c>
      <c r="E608" s="11" t="s">
        <v>35</v>
      </c>
      <c r="F608" s="20">
        <v>6</v>
      </c>
      <c r="G608" s="21">
        <v>45.6</v>
      </c>
      <c r="H608" s="13">
        <v>136.65723684210531</v>
      </c>
      <c r="I608" s="13">
        <v>96.865131578947384</v>
      </c>
      <c r="J608" s="13">
        <v>144.89328947368421</v>
      </c>
      <c r="K608" s="7">
        <f t="shared" si="18"/>
        <v>143.49009868421058</v>
      </c>
      <c r="L608" s="7">
        <f t="shared" si="19"/>
        <v>129.82437500000003</v>
      </c>
      <c r="M608" s="3" t="s">
        <v>1143</v>
      </c>
    </row>
    <row r="609" spans="1:13" x14ac:dyDescent="0.35">
      <c r="A609" s="11" t="s">
        <v>1676</v>
      </c>
      <c r="B609" s="11" t="s">
        <v>7</v>
      </c>
      <c r="C609" s="11" t="s">
        <v>30</v>
      </c>
      <c r="D609" s="11" t="s">
        <v>1632</v>
      </c>
      <c r="E609" s="11" t="s">
        <v>633</v>
      </c>
      <c r="F609" s="20">
        <v>4</v>
      </c>
      <c r="G609" s="21">
        <v>53.4</v>
      </c>
      <c r="H609" s="13">
        <v>123.4343071161049</v>
      </c>
      <c r="I609" s="13">
        <v>120.3064794007491</v>
      </c>
      <c r="J609" s="13">
        <v>126.94621722846441</v>
      </c>
      <c r="K609" s="7">
        <f t="shared" si="18"/>
        <v>129.60602247191017</v>
      </c>
      <c r="L609" s="7">
        <f t="shared" si="19"/>
        <v>117.26259176029966</v>
      </c>
      <c r="M609" s="3" t="s">
        <v>1215</v>
      </c>
    </row>
    <row r="610" spans="1:13" x14ac:dyDescent="0.35">
      <c r="A610" s="11" t="s">
        <v>1677</v>
      </c>
      <c r="B610" s="11" t="s">
        <v>7</v>
      </c>
      <c r="C610" s="11" t="s">
        <v>30</v>
      </c>
      <c r="D610" s="11" t="s">
        <v>1632</v>
      </c>
      <c r="E610" s="11" t="s">
        <v>28</v>
      </c>
      <c r="F610" s="20">
        <v>7</v>
      </c>
      <c r="G610" s="21">
        <v>23.45</v>
      </c>
      <c r="H610" s="13">
        <v>115.3307462686567</v>
      </c>
      <c r="I610" s="13">
        <v>103.4388059701492</v>
      </c>
      <c r="J610" s="13">
        <v>138.20149253731341</v>
      </c>
      <c r="K610" s="7">
        <f t="shared" si="18"/>
        <v>121.09728358208953</v>
      </c>
      <c r="L610" s="7">
        <f t="shared" si="19"/>
        <v>109.56420895522386</v>
      </c>
      <c r="M610" s="3" t="s">
        <v>1134</v>
      </c>
    </row>
    <row r="611" spans="1:13" x14ac:dyDescent="0.35">
      <c r="A611" s="11" t="s">
        <v>1678</v>
      </c>
      <c r="B611" s="11" t="s">
        <v>7</v>
      </c>
      <c r="C611" s="11" t="s">
        <v>30</v>
      </c>
      <c r="D611" s="11" t="s">
        <v>1632</v>
      </c>
      <c r="E611" s="11" t="s">
        <v>131</v>
      </c>
      <c r="F611" s="20">
        <v>7</v>
      </c>
      <c r="G611" s="21">
        <v>68.28</v>
      </c>
      <c r="H611" s="13">
        <v>102.9944444444445</v>
      </c>
      <c r="I611" s="13">
        <v>98.202988332007408</v>
      </c>
      <c r="J611" s="13">
        <v>116.2086953062848</v>
      </c>
      <c r="K611" s="7">
        <f t="shared" si="18"/>
        <v>108.14416666666672</v>
      </c>
      <c r="L611" s="7">
        <f t="shared" si="19"/>
        <v>97.844722222222273</v>
      </c>
      <c r="M611" s="3" t="s">
        <v>1198</v>
      </c>
    </row>
    <row r="612" spans="1:13" x14ac:dyDescent="0.35">
      <c r="A612" s="11" t="s">
        <v>1679</v>
      </c>
      <c r="B612" s="11" t="s">
        <v>7</v>
      </c>
      <c r="C612" s="11" t="s">
        <v>30</v>
      </c>
      <c r="D612" s="11" t="s">
        <v>1634</v>
      </c>
      <c r="E612" s="11" t="s">
        <v>667</v>
      </c>
      <c r="F612" s="20">
        <v>5</v>
      </c>
      <c r="G612" s="21">
        <v>45.95</v>
      </c>
      <c r="H612" s="13">
        <v>106.9657236126224</v>
      </c>
      <c r="I612" s="13">
        <v>104.4983677910773</v>
      </c>
      <c r="J612" s="13">
        <v>107.8389553862894</v>
      </c>
      <c r="K612" s="7">
        <f t="shared" si="18"/>
        <v>112.31400979325352</v>
      </c>
      <c r="L612" s="7">
        <f t="shared" si="19"/>
        <v>101.61743743199128</v>
      </c>
      <c r="M612" s="3" t="s">
        <v>1145</v>
      </c>
    </row>
    <row r="613" spans="1:13" x14ac:dyDescent="0.35">
      <c r="A613" s="11" t="s">
        <v>1680</v>
      </c>
      <c r="B613" s="11" t="s">
        <v>7</v>
      </c>
      <c r="C613" s="11" t="s">
        <v>30</v>
      </c>
      <c r="D613" s="11" t="s">
        <v>1634</v>
      </c>
      <c r="E613" s="11" t="s">
        <v>28</v>
      </c>
      <c r="F613" s="20">
        <v>4</v>
      </c>
      <c r="G613" s="21">
        <v>42.17</v>
      </c>
      <c r="H613" s="13">
        <v>127.2136105860113</v>
      </c>
      <c r="I613" s="13">
        <v>119.6312618147448</v>
      </c>
      <c r="J613" s="13">
        <v>137.26950452381249</v>
      </c>
      <c r="K613" s="7">
        <f t="shared" si="18"/>
        <v>133.57429111531187</v>
      </c>
      <c r="L613" s="7">
        <f t="shared" si="19"/>
        <v>120.85293005671073</v>
      </c>
      <c r="M613" s="3" t="s">
        <v>1466</v>
      </c>
    </row>
    <row r="614" spans="1:13" x14ac:dyDescent="0.35">
      <c r="A614" s="11" t="s">
        <v>1681</v>
      </c>
      <c r="B614" s="11" t="s">
        <v>7</v>
      </c>
      <c r="C614" s="11" t="s">
        <v>30</v>
      </c>
      <c r="D614" s="11" t="s">
        <v>34</v>
      </c>
      <c r="E614" s="11" t="s">
        <v>39</v>
      </c>
      <c r="F614" s="20">
        <v>1</v>
      </c>
      <c r="G614" s="21">
        <v>10.72</v>
      </c>
      <c r="H614" s="13">
        <v>176.94496268656721</v>
      </c>
      <c r="I614" s="13">
        <v>176.94496268656721</v>
      </c>
      <c r="J614" s="13">
        <v>176.94496268656721</v>
      </c>
      <c r="K614" s="7">
        <f t="shared" si="18"/>
        <v>185.79221082089558</v>
      </c>
      <c r="L614" s="7">
        <f t="shared" si="19"/>
        <v>168.09771455223884</v>
      </c>
      <c r="M614" s="3" t="s">
        <v>1157</v>
      </c>
    </row>
    <row r="615" spans="1:13" x14ac:dyDescent="0.35">
      <c r="A615" s="11" t="s">
        <v>1682</v>
      </c>
      <c r="B615" s="11" t="s">
        <v>7</v>
      </c>
      <c r="C615" s="11" t="s">
        <v>30</v>
      </c>
      <c r="D615" s="11" t="s">
        <v>34</v>
      </c>
      <c r="E615" s="11" t="s">
        <v>502</v>
      </c>
      <c r="F615" s="20">
        <v>1</v>
      </c>
      <c r="G615" s="21">
        <v>9.3800000000000008</v>
      </c>
      <c r="H615" s="13">
        <v>159.48805970149249</v>
      </c>
      <c r="I615" s="13">
        <v>159.48805970149249</v>
      </c>
      <c r="J615" s="13">
        <v>159.48805970149249</v>
      </c>
      <c r="K615" s="7">
        <f t="shared" si="18"/>
        <v>167.46246268656711</v>
      </c>
      <c r="L615" s="7">
        <f t="shared" si="19"/>
        <v>151.51365671641787</v>
      </c>
      <c r="M615" s="3" t="s">
        <v>1157</v>
      </c>
    </row>
    <row r="616" spans="1:13" x14ac:dyDescent="0.35">
      <c r="A616" s="11" t="s">
        <v>726</v>
      </c>
      <c r="B616" s="11" t="s">
        <v>7</v>
      </c>
      <c r="C616" s="11" t="s">
        <v>30</v>
      </c>
      <c r="D616" s="11" t="s">
        <v>34</v>
      </c>
      <c r="E616" s="11" t="s">
        <v>35</v>
      </c>
      <c r="F616" s="20">
        <v>11</v>
      </c>
      <c r="G616" s="21">
        <v>97.559999999999988</v>
      </c>
      <c r="H616" s="13">
        <v>152.2432150313152</v>
      </c>
      <c r="I616" s="13">
        <v>130.54952581664909</v>
      </c>
      <c r="J616" s="13">
        <v>157.84749872900221</v>
      </c>
      <c r="K616" s="7">
        <f t="shared" si="18"/>
        <v>159.85537578288097</v>
      </c>
      <c r="L616" s="7">
        <f t="shared" si="19"/>
        <v>144.63105427974943</v>
      </c>
      <c r="M616" s="3" t="s">
        <v>1134</v>
      </c>
    </row>
    <row r="617" spans="1:13" x14ac:dyDescent="0.35">
      <c r="A617" s="11" t="s">
        <v>1683</v>
      </c>
      <c r="B617" s="11" t="s">
        <v>7</v>
      </c>
      <c r="C617" s="11" t="s">
        <v>30</v>
      </c>
      <c r="D617" s="11" t="s">
        <v>34</v>
      </c>
      <c r="E617" s="11" t="s">
        <v>169</v>
      </c>
      <c r="F617" s="20">
        <v>1</v>
      </c>
      <c r="G617" s="21">
        <v>7.82</v>
      </c>
      <c r="H617" s="13">
        <v>123.0882352941176</v>
      </c>
      <c r="I617" s="13">
        <v>123.0882352941176</v>
      </c>
      <c r="J617" s="13">
        <v>123.0882352941176</v>
      </c>
      <c r="K617" s="7">
        <f t="shared" si="18"/>
        <v>129.24264705882348</v>
      </c>
      <c r="L617" s="7">
        <f t="shared" si="19"/>
        <v>116.93382352941171</v>
      </c>
      <c r="M617" s="3" t="s">
        <v>1157</v>
      </c>
    </row>
    <row r="618" spans="1:13" x14ac:dyDescent="0.35">
      <c r="A618" s="11" t="s">
        <v>1684</v>
      </c>
      <c r="B618" s="11" t="s">
        <v>7</v>
      </c>
      <c r="C618" s="11" t="s">
        <v>30</v>
      </c>
      <c r="D618" s="11" t="s">
        <v>34</v>
      </c>
      <c r="E618" s="11" t="s">
        <v>667</v>
      </c>
      <c r="F618" s="20">
        <v>1</v>
      </c>
      <c r="G618" s="21">
        <v>7.27</v>
      </c>
      <c r="H618" s="13">
        <v>147.53782668500691</v>
      </c>
      <c r="I618" s="13">
        <v>147.53782668500691</v>
      </c>
      <c r="J618" s="13">
        <v>147.53782668500691</v>
      </c>
      <c r="K618" s="7">
        <f t="shared" si="18"/>
        <v>154.91471801925726</v>
      </c>
      <c r="L618" s="7">
        <f t="shared" si="19"/>
        <v>140.16093535075655</v>
      </c>
      <c r="M618" s="3" t="s">
        <v>1157</v>
      </c>
    </row>
    <row r="619" spans="1:13" x14ac:dyDescent="0.35">
      <c r="A619" s="11" t="s">
        <v>1685</v>
      </c>
      <c r="B619" s="11" t="s">
        <v>7</v>
      </c>
      <c r="C619" s="11" t="s">
        <v>30</v>
      </c>
      <c r="D619" s="11" t="s">
        <v>34</v>
      </c>
      <c r="E619" s="11" t="s">
        <v>633</v>
      </c>
      <c r="F619" s="20">
        <v>2</v>
      </c>
      <c r="G619" s="21">
        <v>20.6</v>
      </c>
      <c r="H619" s="13">
        <v>134.34719305355981</v>
      </c>
      <c r="I619" s="13">
        <v>124.7338374906353</v>
      </c>
      <c r="J619" s="13">
        <v>143.96054861648429</v>
      </c>
      <c r="K619" s="7">
        <f t="shared" si="18"/>
        <v>141.06455270623781</v>
      </c>
      <c r="L619" s="7">
        <f t="shared" si="19"/>
        <v>127.62983340088181</v>
      </c>
      <c r="M619" s="3" t="s">
        <v>1686</v>
      </c>
    </row>
    <row r="620" spans="1:13" x14ac:dyDescent="0.35">
      <c r="A620" s="11" t="s">
        <v>1687</v>
      </c>
      <c r="B620" s="11" t="s">
        <v>7</v>
      </c>
      <c r="C620" s="11" t="s">
        <v>30</v>
      </c>
      <c r="D620" s="11" t="s">
        <v>34</v>
      </c>
      <c r="E620" s="11" t="s">
        <v>28</v>
      </c>
      <c r="F620" s="20">
        <v>1</v>
      </c>
      <c r="G620" s="21">
        <v>9.6199999999999992</v>
      </c>
      <c r="H620" s="13">
        <v>142.16632016632019</v>
      </c>
      <c r="I620" s="13">
        <v>142.16632016632019</v>
      </c>
      <c r="J620" s="13">
        <v>142.16632016632019</v>
      </c>
      <c r="K620" s="7">
        <f t="shared" si="18"/>
        <v>149.27463617463621</v>
      </c>
      <c r="L620" s="7">
        <f t="shared" si="19"/>
        <v>135.05800415800417</v>
      </c>
      <c r="M620" s="3" t="s">
        <v>1157</v>
      </c>
    </row>
    <row r="621" spans="1:13" x14ac:dyDescent="0.35">
      <c r="A621" s="11" t="s">
        <v>865</v>
      </c>
      <c r="B621" s="11" t="s">
        <v>7</v>
      </c>
      <c r="C621" s="11" t="s">
        <v>30</v>
      </c>
      <c r="D621" s="11" t="s">
        <v>666</v>
      </c>
      <c r="E621" s="11" t="s">
        <v>364</v>
      </c>
      <c r="F621" s="20">
        <v>6</v>
      </c>
      <c r="G621" s="21">
        <v>115.65</v>
      </c>
      <c r="H621" s="13">
        <v>124.3893175074184</v>
      </c>
      <c r="I621" s="13">
        <v>120.27292284866471</v>
      </c>
      <c r="J621" s="13">
        <v>125.27151335311569</v>
      </c>
      <c r="K621" s="7">
        <f t="shared" si="18"/>
        <v>130.60878338278931</v>
      </c>
      <c r="L621" s="7">
        <f t="shared" si="19"/>
        <v>118.16985163204747</v>
      </c>
      <c r="M621" s="3" t="s">
        <v>1130</v>
      </c>
    </row>
    <row r="622" spans="1:13" x14ac:dyDescent="0.35">
      <c r="A622" s="11" t="s">
        <v>1688</v>
      </c>
      <c r="B622" s="11" t="s">
        <v>7</v>
      </c>
      <c r="C622" s="11" t="s">
        <v>30</v>
      </c>
      <c r="D622" s="11" t="s">
        <v>666</v>
      </c>
      <c r="E622" s="11" t="s">
        <v>39</v>
      </c>
      <c r="F622" s="20">
        <v>6</v>
      </c>
      <c r="G622" s="21">
        <v>13.08</v>
      </c>
      <c r="H622" s="13">
        <v>108.4357798165138</v>
      </c>
      <c r="I622" s="13">
        <v>99.933486238532112</v>
      </c>
      <c r="J622" s="13">
        <v>115.5997706422018</v>
      </c>
      <c r="K622" s="7">
        <f t="shared" si="18"/>
        <v>113.85756880733949</v>
      </c>
      <c r="L622" s="7">
        <f t="shared" si="19"/>
        <v>103.01399082568811</v>
      </c>
      <c r="M622" s="3" t="s">
        <v>1130</v>
      </c>
    </row>
    <row r="623" spans="1:13" x14ac:dyDescent="0.35">
      <c r="A623" s="11" t="s">
        <v>925</v>
      </c>
      <c r="B623" s="11" t="s">
        <v>7</v>
      </c>
      <c r="C623" s="11" t="s">
        <v>30</v>
      </c>
      <c r="D623" s="11" t="s">
        <v>666</v>
      </c>
      <c r="E623" s="11" t="s">
        <v>35</v>
      </c>
      <c r="F623" s="20">
        <v>16</v>
      </c>
      <c r="G623" s="21">
        <v>173.48</v>
      </c>
      <c r="H623" s="13">
        <v>138.60791787829879</v>
      </c>
      <c r="I623" s="13">
        <v>129.37033943605499</v>
      </c>
      <c r="J623" s="13">
        <v>147.58350465879511</v>
      </c>
      <c r="K623" s="7">
        <f t="shared" si="18"/>
        <v>145.53831377221374</v>
      </c>
      <c r="L623" s="7">
        <f t="shared" si="19"/>
        <v>131.67752198438384</v>
      </c>
      <c r="M623" s="3" t="s">
        <v>1134</v>
      </c>
    </row>
    <row r="624" spans="1:13" x14ac:dyDescent="0.35">
      <c r="A624" s="11" t="s">
        <v>668</v>
      </c>
      <c r="B624" s="11" t="s">
        <v>7</v>
      </c>
      <c r="C624" s="11" t="s">
        <v>30</v>
      </c>
      <c r="D624" s="11" t="s">
        <v>666</v>
      </c>
      <c r="E624" s="11" t="s">
        <v>667</v>
      </c>
      <c r="F624" s="20">
        <v>9</v>
      </c>
      <c r="G624" s="21">
        <v>89.079999999999984</v>
      </c>
      <c r="H624" s="13">
        <v>102.7644787644788</v>
      </c>
      <c r="I624" s="13">
        <v>100.4469111969112</v>
      </c>
      <c r="J624" s="13">
        <v>122.1321428571429</v>
      </c>
      <c r="K624" s="7">
        <f t="shared" si="18"/>
        <v>107.90270270270274</v>
      </c>
      <c r="L624" s="7">
        <f t="shared" si="19"/>
        <v>97.626254826254851</v>
      </c>
      <c r="M624" s="3" t="s">
        <v>1221</v>
      </c>
    </row>
    <row r="625" spans="1:13" x14ac:dyDescent="0.35">
      <c r="A625" s="11" t="s">
        <v>1689</v>
      </c>
      <c r="B625" s="11" t="s">
        <v>7</v>
      </c>
      <c r="C625" s="11" t="s">
        <v>30</v>
      </c>
      <c r="D625" s="11" t="s">
        <v>666</v>
      </c>
      <c r="E625" s="11" t="s">
        <v>730</v>
      </c>
      <c r="F625" s="20">
        <v>6</v>
      </c>
      <c r="G625" s="21">
        <v>50.1</v>
      </c>
      <c r="H625" s="13">
        <v>122.9335329341317</v>
      </c>
      <c r="I625" s="13">
        <v>103.2805389221557</v>
      </c>
      <c r="J625" s="13">
        <v>126.4026946107785</v>
      </c>
      <c r="K625" s="7">
        <f t="shared" si="18"/>
        <v>129.0802095808383</v>
      </c>
      <c r="L625" s="7">
        <f t="shared" si="19"/>
        <v>116.78685628742511</v>
      </c>
      <c r="M625" s="3" t="s">
        <v>1130</v>
      </c>
    </row>
    <row r="626" spans="1:13" x14ac:dyDescent="0.35">
      <c r="A626" s="11" t="s">
        <v>1690</v>
      </c>
      <c r="B626" s="11" t="s">
        <v>7</v>
      </c>
      <c r="C626" s="11" t="s">
        <v>30</v>
      </c>
      <c r="D626" s="11" t="s">
        <v>666</v>
      </c>
      <c r="E626" s="11" t="s">
        <v>633</v>
      </c>
      <c r="F626" s="20">
        <v>6</v>
      </c>
      <c r="G626" s="21">
        <v>87.34</v>
      </c>
      <c r="H626" s="13">
        <v>122.03019662921351</v>
      </c>
      <c r="I626" s="13">
        <v>115.529845505618</v>
      </c>
      <c r="J626" s="13">
        <v>122.9764922752809</v>
      </c>
      <c r="K626" s="7">
        <f t="shared" si="18"/>
        <v>128.1317064606742</v>
      </c>
      <c r="L626" s="7">
        <f t="shared" si="19"/>
        <v>115.92868679775283</v>
      </c>
      <c r="M626" s="3" t="s">
        <v>1148</v>
      </c>
    </row>
    <row r="627" spans="1:13" x14ac:dyDescent="0.35">
      <c r="A627" s="11" t="s">
        <v>1691</v>
      </c>
      <c r="B627" s="11" t="s">
        <v>7</v>
      </c>
      <c r="C627" s="11" t="s">
        <v>30</v>
      </c>
      <c r="D627" s="11" t="s">
        <v>666</v>
      </c>
      <c r="E627" s="11" t="s">
        <v>670</v>
      </c>
      <c r="F627" s="20">
        <v>4</v>
      </c>
      <c r="G627" s="21">
        <v>22.08</v>
      </c>
      <c r="H627" s="13">
        <v>109.71557971014489</v>
      </c>
      <c r="I627" s="13">
        <v>97.333786231884062</v>
      </c>
      <c r="J627" s="13">
        <v>131.09995471014491</v>
      </c>
      <c r="K627" s="7">
        <f t="shared" si="18"/>
        <v>115.20135869565215</v>
      </c>
      <c r="L627" s="7">
        <f t="shared" si="19"/>
        <v>104.22980072463764</v>
      </c>
      <c r="M627" s="3" t="s">
        <v>1148</v>
      </c>
    </row>
    <row r="628" spans="1:13" x14ac:dyDescent="0.35">
      <c r="A628" s="11" t="s">
        <v>1692</v>
      </c>
      <c r="B628" s="11" t="s">
        <v>7</v>
      </c>
      <c r="C628" s="11" t="s">
        <v>30</v>
      </c>
      <c r="D628" s="11" t="s">
        <v>666</v>
      </c>
      <c r="E628" s="11" t="s">
        <v>131</v>
      </c>
      <c r="F628" s="20">
        <v>10</v>
      </c>
      <c r="G628" s="21">
        <v>105.85</v>
      </c>
      <c r="H628" s="13">
        <v>125.1452173913044</v>
      </c>
      <c r="I628" s="13">
        <v>101.40223363592931</v>
      </c>
      <c r="J628" s="13">
        <v>131.7049299883314</v>
      </c>
      <c r="K628" s="7">
        <f t="shared" si="18"/>
        <v>131.40247826086963</v>
      </c>
      <c r="L628" s="7">
        <f t="shared" si="19"/>
        <v>118.88795652173917</v>
      </c>
      <c r="M628" s="3" t="s">
        <v>1134</v>
      </c>
    </row>
    <row r="629" spans="1:13" x14ac:dyDescent="0.35">
      <c r="A629" s="11" t="s">
        <v>1693</v>
      </c>
      <c r="B629" s="11" t="s">
        <v>7</v>
      </c>
      <c r="C629" s="11" t="s">
        <v>30</v>
      </c>
      <c r="D629" s="11" t="s">
        <v>1090</v>
      </c>
      <c r="E629" s="11" t="s">
        <v>364</v>
      </c>
      <c r="F629" s="20">
        <v>1</v>
      </c>
      <c r="G629" s="21">
        <v>6.12</v>
      </c>
      <c r="H629" s="13">
        <v>129.09477124182999</v>
      </c>
      <c r="I629" s="13">
        <v>129.09477124182999</v>
      </c>
      <c r="J629" s="13">
        <v>129.09477124182999</v>
      </c>
      <c r="K629" s="7">
        <f t="shared" si="18"/>
        <v>135.5495098039215</v>
      </c>
      <c r="L629" s="7">
        <f t="shared" si="19"/>
        <v>122.64003267973848</v>
      </c>
      <c r="M629" s="3" t="s">
        <v>1157</v>
      </c>
    </row>
    <row r="630" spans="1:13" x14ac:dyDescent="0.35">
      <c r="A630" s="11" t="s">
        <v>1694</v>
      </c>
      <c r="B630" s="11" t="s">
        <v>7</v>
      </c>
      <c r="C630" s="11" t="s">
        <v>30</v>
      </c>
      <c r="D630" s="11" t="s">
        <v>1090</v>
      </c>
      <c r="E630" s="11" t="s">
        <v>502</v>
      </c>
      <c r="F630" s="20">
        <v>3</v>
      </c>
      <c r="G630" s="21">
        <v>15.78</v>
      </c>
      <c r="H630" s="13">
        <v>149.28947368421049</v>
      </c>
      <c r="I630" s="13">
        <v>139.40588925846211</v>
      </c>
      <c r="J630" s="13">
        <v>162.7870726085286</v>
      </c>
      <c r="K630" s="7">
        <f t="shared" si="18"/>
        <v>156.75394736842102</v>
      </c>
      <c r="L630" s="7">
        <f t="shared" si="19"/>
        <v>141.82499999999996</v>
      </c>
      <c r="M630" s="3" t="s">
        <v>1154</v>
      </c>
    </row>
    <row r="631" spans="1:13" x14ac:dyDescent="0.35">
      <c r="A631" s="11" t="s">
        <v>1695</v>
      </c>
      <c r="B631" s="11" t="s">
        <v>7</v>
      </c>
      <c r="C631" s="11" t="s">
        <v>30</v>
      </c>
      <c r="D631" s="11" t="s">
        <v>1090</v>
      </c>
      <c r="E631" s="11" t="s">
        <v>35</v>
      </c>
      <c r="F631" s="20">
        <v>3</v>
      </c>
      <c r="G631" s="21">
        <v>26.54</v>
      </c>
      <c r="H631" s="13">
        <v>151.60256410256409</v>
      </c>
      <c r="I631" s="13">
        <v>142.75210849756311</v>
      </c>
      <c r="J631" s="13">
        <v>157.8946704810341</v>
      </c>
      <c r="K631" s="7">
        <f t="shared" si="18"/>
        <v>159.18269230769229</v>
      </c>
      <c r="L631" s="7">
        <f t="shared" si="19"/>
        <v>144.02243589743588</v>
      </c>
      <c r="M631" s="3" t="s">
        <v>1154</v>
      </c>
    </row>
    <row r="632" spans="1:13" x14ac:dyDescent="0.35">
      <c r="A632" s="11" t="s">
        <v>1696</v>
      </c>
      <c r="B632" s="11" t="s">
        <v>7</v>
      </c>
      <c r="C632" s="11" t="s">
        <v>30</v>
      </c>
      <c r="D632" s="11" t="s">
        <v>1090</v>
      </c>
      <c r="E632" s="11" t="s">
        <v>733</v>
      </c>
      <c r="F632" s="20">
        <v>2</v>
      </c>
      <c r="G632" s="21">
        <v>26.28</v>
      </c>
      <c r="H632" s="13">
        <v>120.1830289193303</v>
      </c>
      <c r="I632" s="13">
        <v>108.31297564687971</v>
      </c>
      <c r="J632" s="13">
        <v>132.05308219178079</v>
      </c>
      <c r="K632" s="7">
        <f t="shared" si="18"/>
        <v>126.19218036529682</v>
      </c>
      <c r="L632" s="7">
        <f t="shared" si="19"/>
        <v>114.17387747336377</v>
      </c>
      <c r="M632" s="3" t="s">
        <v>1154</v>
      </c>
    </row>
    <row r="633" spans="1:13" x14ac:dyDescent="0.35">
      <c r="A633" s="11" t="s">
        <v>1697</v>
      </c>
      <c r="B633" s="11" t="s">
        <v>7</v>
      </c>
      <c r="C633" s="11" t="s">
        <v>30</v>
      </c>
      <c r="D633" s="11" t="s">
        <v>1090</v>
      </c>
      <c r="E633" s="11" t="s">
        <v>131</v>
      </c>
      <c r="F633" s="20">
        <v>1</v>
      </c>
      <c r="G633" s="21">
        <v>2.4500000000000002</v>
      </c>
      <c r="H633" s="13">
        <v>125.37142857142859</v>
      </c>
      <c r="I633" s="13">
        <v>125.37142857142859</v>
      </c>
      <c r="J633" s="13">
        <v>125.37142857142859</v>
      </c>
      <c r="K633" s="7">
        <f t="shared" si="18"/>
        <v>131.64000000000004</v>
      </c>
      <c r="L633" s="7">
        <f t="shared" si="19"/>
        <v>119.10285714285716</v>
      </c>
      <c r="M633" s="3" t="s">
        <v>1157</v>
      </c>
    </row>
    <row r="634" spans="1:13" x14ac:dyDescent="0.35">
      <c r="A634" s="11" t="s">
        <v>1698</v>
      </c>
      <c r="B634" s="11" t="s">
        <v>7</v>
      </c>
      <c r="C634" s="11" t="s">
        <v>30</v>
      </c>
      <c r="D634" s="11" t="s">
        <v>48</v>
      </c>
      <c r="E634" s="11" t="s">
        <v>364</v>
      </c>
      <c r="F634" s="20">
        <v>1</v>
      </c>
      <c r="G634" s="21">
        <v>3.2</v>
      </c>
      <c r="H634" s="13">
        <v>137.19374999999999</v>
      </c>
      <c r="I634" s="13">
        <v>137.19374999999999</v>
      </c>
      <c r="J634" s="13">
        <v>137.19374999999999</v>
      </c>
      <c r="K634" s="7">
        <f t="shared" si="18"/>
        <v>144.0534375</v>
      </c>
      <c r="L634" s="7">
        <f t="shared" si="19"/>
        <v>130.33406249999999</v>
      </c>
      <c r="M634" s="3" t="s">
        <v>1157</v>
      </c>
    </row>
    <row r="635" spans="1:13" x14ac:dyDescent="0.35">
      <c r="A635" s="11" t="s">
        <v>706</v>
      </c>
      <c r="B635" s="11" t="s">
        <v>7</v>
      </c>
      <c r="C635" s="11" t="s">
        <v>30</v>
      </c>
      <c r="D635" s="11" t="s">
        <v>48</v>
      </c>
      <c r="E635" s="11" t="s">
        <v>633</v>
      </c>
      <c r="F635" s="20">
        <v>10</v>
      </c>
      <c r="G635" s="21">
        <v>55.569999999999993</v>
      </c>
      <c r="H635" s="13">
        <v>146.84543051486679</v>
      </c>
      <c r="I635" s="13">
        <v>136.8986565158979</v>
      </c>
      <c r="J635" s="13">
        <v>149.46590564703499</v>
      </c>
      <c r="K635" s="7">
        <f t="shared" si="18"/>
        <v>154.18770204061013</v>
      </c>
      <c r="L635" s="7">
        <f t="shared" si="19"/>
        <v>139.50315898912345</v>
      </c>
      <c r="M635" s="3" t="s">
        <v>1154</v>
      </c>
    </row>
    <row r="636" spans="1:13" x14ac:dyDescent="0.35">
      <c r="A636" s="11" t="s">
        <v>1699</v>
      </c>
      <c r="B636" s="11" t="s">
        <v>7</v>
      </c>
      <c r="C636" s="11" t="s">
        <v>30</v>
      </c>
      <c r="D636" s="11" t="s">
        <v>48</v>
      </c>
      <c r="E636" s="11" t="s">
        <v>186</v>
      </c>
      <c r="F636" s="20">
        <v>2</v>
      </c>
      <c r="G636" s="21">
        <v>21.04</v>
      </c>
      <c r="H636" s="13">
        <v>133.90684410646389</v>
      </c>
      <c r="I636" s="13">
        <v>127.06083650190121</v>
      </c>
      <c r="J636" s="13">
        <v>140.75285171102661</v>
      </c>
      <c r="K636" s="7">
        <f t="shared" si="18"/>
        <v>140.60218631178711</v>
      </c>
      <c r="L636" s="7">
        <f t="shared" si="19"/>
        <v>127.21150190114069</v>
      </c>
      <c r="M636" s="3" t="s">
        <v>1154</v>
      </c>
    </row>
    <row r="637" spans="1:13" x14ac:dyDescent="0.35">
      <c r="A637" s="11" t="s">
        <v>1700</v>
      </c>
      <c r="B637" s="11" t="s">
        <v>7</v>
      </c>
      <c r="C637" s="11" t="s">
        <v>30</v>
      </c>
      <c r="D637" s="11" t="s">
        <v>48</v>
      </c>
      <c r="E637" s="11" t="s">
        <v>131</v>
      </c>
      <c r="F637" s="20">
        <v>3</v>
      </c>
      <c r="G637" s="21">
        <v>46.16</v>
      </c>
      <c r="H637" s="13">
        <v>146.77168307548061</v>
      </c>
      <c r="I637" s="13">
        <v>135.31441296631169</v>
      </c>
      <c r="J637" s="13">
        <v>156.85255508673231</v>
      </c>
      <c r="K637" s="7">
        <f t="shared" si="18"/>
        <v>154.11026722925465</v>
      </c>
      <c r="L637" s="7">
        <f t="shared" si="19"/>
        <v>139.43309892170657</v>
      </c>
      <c r="M637" s="3" t="s">
        <v>1154</v>
      </c>
    </row>
    <row r="638" spans="1:13" x14ac:dyDescent="0.35">
      <c r="A638" s="11" t="s">
        <v>1701</v>
      </c>
      <c r="B638" s="11" t="s">
        <v>7</v>
      </c>
      <c r="C638" s="11" t="s">
        <v>30</v>
      </c>
      <c r="D638" s="11" t="s">
        <v>1636</v>
      </c>
      <c r="E638" s="11" t="s">
        <v>667</v>
      </c>
      <c r="F638" s="20">
        <v>1</v>
      </c>
      <c r="G638" s="21">
        <v>8.07</v>
      </c>
      <c r="H638" s="13">
        <v>138.59231722428751</v>
      </c>
      <c r="I638" s="13">
        <v>138.59231722428751</v>
      </c>
      <c r="J638" s="13">
        <v>138.59231722428751</v>
      </c>
      <c r="K638" s="7">
        <f t="shared" si="18"/>
        <v>145.5219330855019</v>
      </c>
      <c r="L638" s="7">
        <f t="shared" si="19"/>
        <v>131.66270136307313</v>
      </c>
      <c r="M638" s="3" t="s">
        <v>1157</v>
      </c>
    </row>
    <row r="639" spans="1:13" x14ac:dyDescent="0.35">
      <c r="A639" s="11" t="s">
        <v>637</v>
      </c>
      <c r="B639" s="11" t="s">
        <v>7</v>
      </c>
      <c r="C639" s="11" t="s">
        <v>30</v>
      </c>
      <c r="D639" s="11" t="s">
        <v>104</v>
      </c>
      <c r="E639" s="11" t="s">
        <v>364</v>
      </c>
      <c r="F639" s="20">
        <v>27</v>
      </c>
      <c r="G639" s="21">
        <v>370.9500000000001</v>
      </c>
      <c r="H639" s="13">
        <v>114.22005012531331</v>
      </c>
      <c r="I639" s="13">
        <v>98.596910963052693</v>
      </c>
      <c r="J639" s="13">
        <v>123.2542182227222</v>
      </c>
      <c r="K639" s="7">
        <f t="shared" si="18"/>
        <v>119.93105263157898</v>
      </c>
      <c r="L639" s="7">
        <f t="shared" si="19"/>
        <v>108.50904761904764</v>
      </c>
      <c r="M639" s="3" t="s">
        <v>1130</v>
      </c>
    </row>
    <row r="640" spans="1:13" x14ac:dyDescent="0.35">
      <c r="A640" s="11" t="s">
        <v>815</v>
      </c>
      <c r="B640" s="11" t="s">
        <v>7</v>
      </c>
      <c r="C640" s="11" t="s">
        <v>30</v>
      </c>
      <c r="D640" s="11" t="s">
        <v>104</v>
      </c>
      <c r="E640" s="11" t="s">
        <v>39</v>
      </c>
      <c r="F640" s="20">
        <v>9</v>
      </c>
      <c r="G640" s="21">
        <v>101.91</v>
      </c>
      <c r="H640" s="13">
        <v>118.28950695322381</v>
      </c>
      <c r="I640" s="13">
        <v>104.67762326169409</v>
      </c>
      <c r="J640" s="13">
        <v>124.2937780628608</v>
      </c>
      <c r="K640" s="7">
        <f t="shared" si="18"/>
        <v>124.203982300885</v>
      </c>
      <c r="L640" s="7">
        <f t="shared" si="19"/>
        <v>112.37503160556261</v>
      </c>
      <c r="M640" s="3" t="s">
        <v>1148</v>
      </c>
    </row>
    <row r="641" spans="1:13" x14ac:dyDescent="0.35">
      <c r="A641" s="11" t="s">
        <v>724</v>
      </c>
      <c r="B641" s="11" t="s">
        <v>7</v>
      </c>
      <c r="C641" s="11" t="s">
        <v>30</v>
      </c>
      <c r="D641" s="11" t="s">
        <v>104</v>
      </c>
      <c r="E641" s="11" t="s">
        <v>35</v>
      </c>
      <c r="F641" s="20">
        <v>26</v>
      </c>
      <c r="G641" s="21">
        <v>207.21</v>
      </c>
      <c r="H641" s="13">
        <v>121.5558031293326</v>
      </c>
      <c r="I641" s="13">
        <v>107.5493586155425</v>
      </c>
      <c r="J641" s="13">
        <v>132.9504550255952</v>
      </c>
      <c r="K641" s="7">
        <f t="shared" si="18"/>
        <v>127.63359328579924</v>
      </c>
      <c r="L641" s="7">
        <f t="shared" si="19"/>
        <v>115.47801297286597</v>
      </c>
      <c r="M641" s="3" t="s">
        <v>1148</v>
      </c>
    </row>
    <row r="642" spans="1:13" x14ac:dyDescent="0.35">
      <c r="A642" s="11" t="s">
        <v>1057</v>
      </c>
      <c r="B642" s="11" t="s">
        <v>7</v>
      </c>
      <c r="C642" s="11" t="s">
        <v>30</v>
      </c>
      <c r="D642" s="11" t="s">
        <v>104</v>
      </c>
      <c r="E642" s="11" t="s">
        <v>169</v>
      </c>
      <c r="F642" s="20">
        <v>5</v>
      </c>
      <c r="G642" s="21">
        <v>14.49</v>
      </c>
      <c r="H642" s="13">
        <v>106.03816793893129</v>
      </c>
      <c r="I642" s="13">
        <v>86.385496183206115</v>
      </c>
      <c r="J642" s="13">
        <v>130.09975062344139</v>
      </c>
      <c r="K642" s="7">
        <f t="shared" si="18"/>
        <v>111.34007633587787</v>
      </c>
      <c r="L642" s="7">
        <f t="shared" si="19"/>
        <v>100.73625954198472</v>
      </c>
      <c r="M642" s="3" t="s">
        <v>1149</v>
      </c>
    </row>
    <row r="643" spans="1:13" x14ac:dyDescent="0.35">
      <c r="A643" s="11" t="s">
        <v>1702</v>
      </c>
      <c r="B643" s="11" t="s">
        <v>7</v>
      </c>
      <c r="C643" s="11" t="s">
        <v>30</v>
      </c>
      <c r="D643" s="11" t="s">
        <v>104</v>
      </c>
      <c r="E643" s="11" t="s">
        <v>667</v>
      </c>
      <c r="F643" s="20">
        <v>3</v>
      </c>
      <c r="G643" s="21">
        <v>16.36</v>
      </c>
      <c r="H643" s="13">
        <v>122.1480446927374</v>
      </c>
      <c r="I643" s="13">
        <v>110.5</v>
      </c>
      <c r="J643" s="13">
        <v>132.22347886810789</v>
      </c>
      <c r="K643" s="7">
        <f t="shared" si="18"/>
        <v>128.25544692737427</v>
      </c>
      <c r="L643" s="7">
        <f t="shared" si="19"/>
        <v>116.04064245810052</v>
      </c>
      <c r="M643" s="3" t="s">
        <v>1154</v>
      </c>
    </row>
    <row r="644" spans="1:13" x14ac:dyDescent="0.35">
      <c r="A644" s="11" t="s">
        <v>802</v>
      </c>
      <c r="B644" s="11" t="s">
        <v>7</v>
      </c>
      <c r="C644" s="11" t="s">
        <v>30</v>
      </c>
      <c r="D644" s="11" t="s">
        <v>104</v>
      </c>
      <c r="E644" s="11" t="s">
        <v>730</v>
      </c>
      <c r="F644" s="20">
        <v>5</v>
      </c>
      <c r="G644" s="21">
        <v>27.8</v>
      </c>
      <c r="H644" s="13">
        <v>131.57553956834531</v>
      </c>
      <c r="I644" s="13">
        <v>129.48741007194249</v>
      </c>
      <c r="J644" s="13">
        <v>142.16007194244611</v>
      </c>
      <c r="K644" s="7">
        <f t="shared" si="18"/>
        <v>138.15431654676257</v>
      </c>
      <c r="L644" s="7">
        <f t="shared" si="19"/>
        <v>124.99676258992804</v>
      </c>
      <c r="M644" s="3" t="s">
        <v>1148</v>
      </c>
    </row>
    <row r="645" spans="1:13" x14ac:dyDescent="0.35">
      <c r="A645" s="11" t="s">
        <v>700</v>
      </c>
      <c r="B645" s="11" t="s">
        <v>7</v>
      </c>
      <c r="C645" s="11" t="s">
        <v>30</v>
      </c>
      <c r="D645" s="11" t="s">
        <v>104</v>
      </c>
      <c r="E645" s="11" t="s">
        <v>633</v>
      </c>
      <c r="F645" s="20">
        <v>72</v>
      </c>
      <c r="G645" s="21">
        <v>687.14</v>
      </c>
      <c r="H645" s="13">
        <v>114.9706913557601</v>
      </c>
      <c r="I645" s="13">
        <v>99.493734549451091</v>
      </c>
      <c r="J645" s="13">
        <v>127.76010910458599</v>
      </c>
      <c r="K645" s="7">
        <f t="shared" ref="K645:K708" si="20">H645*(1+$B$2)</f>
        <v>120.71922592354811</v>
      </c>
      <c r="L645" s="7">
        <f t="shared" ref="L645:L708" si="21">H645*(1-$B$2)</f>
        <v>109.22215678797208</v>
      </c>
      <c r="M645" s="3" t="s">
        <v>1130</v>
      </c>
    </row>
    <row r="646" spans="1:13" x14ac:dyDescent="0.35">
      <c r="A646" s="11" t="s">
        <v>671</v>
      </c>
      <c r="B646" s="11" t="s">
        <v>7</v>
      </c>
      <c r="C646" s="11" t="s">
        <v>30</v>
      </c>
      <c r="D646" s="11" t="s">
        <v>104</v>
      </c>
      <c r="E646" s="11" t="s">
        <v>670</v>
      </c>
      <c r="F646" s="20">
        <v>11</v>
      </c>
      <c r="G646" s="21">
        <v>109.1</v>
      </c>
      <c r="H646" s="13">
        <v>109.35250371839361</v>
      </c>
      <c r="I646" s="13">
        <v>91.916325888644224</v>
      </c>
      <c r="J646" s="13">
        <v>131.01592216617331</v>
      </c>
      <c r="K646" s="7">
        <f t="shared" si="20"/>
        <v>114.82012890431329</v>
      </c>
      <c r="L646" s="7">
        <f t="shared" si="21"/>
        <v>103.88487853247392</v>
      </c>
      <c r="M646" s="3" t="s">
        <v>1148</v>
      </c>
    </row>
    <row r="647" spans="1:13" x14ac:dyDescent="0.35">
      <c r="A647" s="11" t="s">
        <v>690</v>
      </c>
      <c r="B647" s="11" t="s">
        <v>7</v>
      </c>
      <c r="C647" s="11" t="s">
        <v>30</v>
      </c>
      <c r="D647" s="11" t="s">
        <v>104</v>
      </c>
      <c r="E647" s="11" t="s">
        <v>28</v>
      </c>
      <c r="F647" s="20">
        <v>7</v>
      </c>
      <c r="G647" s="21">
        <v>24.34</v>
      </c>
      <c r="H647" s="13">
        <v>101.08450704225351</v>
      </c>
      <c r="I647" s="13">
        <v>99.970021323158079</v>
      </c>
      <c r="J647" s="13">
        <v>128.15737051792831</v>
      </c>
      <c r="K647" s="7">
        <f t="shared" si="20"/>
        <v>106.13873239436619</v>
      </c>
      <c r="L647" s="7">
        <f t="shared" si="21"/>
        <v>96.030281690140825</v>
      </c>
      <c r="M647" s="3" t="s">
        <v>1148</v>
      </c>
    </row>
    <row r="648" spans="1:13" x14ac:dyDescent="0.35">
      <c r="A648" s="11" t="s">
        <v>1703</v>
      </c>
      <c r="B648" s="11" t="s">
        <v>7</v>
      </c>
      <c r="C648" s="11" t="s">
        <v>30</v>
      </c>
      <c r="D648" s="11" t="s">
        <v>104</v>
      </c>
      <c r="E648" s="11" t="s">
        <v>641</v>
      </c>
      <c r="F648" s="20">
        <v>3</v>
      </c>
      <c r="G648" s="21">
        <v>13.29</v>
      </c>
      <c r="H648" s="13">
        <v>117.3476297968397</v>
      </c>
      <c r="I648" s="13">
        <v>104.2686230248307</v>
      </c>
      <c r="J648" s="13">
        <v>119.1828442437923</v>
      </c>
      <c r="K648" s="7">
        <f t="shared" si="20"/>
        <v>123.21501128668169</v>
      </c>
      <c r="L648" s="7">
        <f t="shared" si="21"/>
        <v>111.48024830699771</v>
      </c>
      <c r="M648" s="3" t="s">
        <v>1158</v>
      </c>
    </row>
    <row r="649" spans="1:13" x14ac:dyDescent="0.35">
      <c r="A649" s="11" t="s">
        <v>1704</v>
      </c>
      <c r="B649" s="11" t="s">
        <v>7</v>
      </c>
      <c r="C649" s="11" t="s">
        <v>30</v>
      </c>
      <c r="D649" s="11" t="s">
        <v>104</v>
      </c>
      <c r="E649" s="11" t="s">
        <v>790</v>
      </c>
      <c r="F649" s="20">
        <v>1</v>
      </c>
      <c r="G649" s="21">
        <v>8.7899999999999991</v>
      </c>
      <c r="H649" s="13">
        <v>79.050056882821394</v>
      </c>
      <c r="I649" s="13">
        <v>79.050056882821394</v>
      </c>
      <c r="J649" s="13">
        <v>79.050056882821394</v>
      </c>
      <c r="K649" s="7">
        <f t="shared" si="20"/>
        <v>83.002559726962474</v>
      </c>
      <c r="L649" s="7">
        <f t="shared" si="21"/>
        <v>75.097554038680315</v>
      </c>
      <c r="M649" s="3" t="s">
        <v>1336</v>
      </c>
    </row>
    <row r="650" spans="1:13" x14ac:dyDescent="0.35">
      <c r="A650" s="11" t="s">
        <v>649</v>
      </c>
      <c r="B650" s="11" t="s">
        <v>7</v>
      </c>
      <c r="C650" s="11" t="s">
        <v>30</v>
      </c>
      <c r="D650" s="11" t="s">
        <v>104</v>
      </c>
      <c r="E650" s="11" t="s">
        <v>131</v>
      </c>
      <c r="F650" s="20">
        <v>30</v>
      </c>
      <c r="G650" s="21">
        <v>261.27</v>
      </c>
      <c r="H650" s="13">
        <v>119.7159232038653</v>
      </c>
      <c r="I650" s="13">
        <v>108.7530172413793</v>
      </c>
      <c r="J650" s="13">
        <v>126.0999448391733</v>
      </c>
      <c r="K650" s="7">
        <f t="shared" si="20"/>
        <v>125.70171936405858</v>
      </c>
      <c r="L650" s="7">
        <f t="shared" si="21"/>
        <v>113.73012704367203</v>
      </c>
      <c r="M650" s="3" t="s">
        <v>1148</v>
      </c>
    </row>
    <row r="651" spans="1:13" x14ac:dyDescent="0.35">
      <c r="A651" s="11" t="s">
        <v>1705</v>
      </c>
      <c r="B651" s="11" t="s">
        <v>7</v>
      </c>
      <c r="C651" s="11" t="s">
        <v>30</v>
      </c>
      <c r="D651" s="11" t="s">
        <v>156</v>
      </c>
      <c r="E651" s="11" t="s">
        <v>360</v>
      </c>
      <c r="F651" s="20">
        <v>5</v>
      </c>
      <c r="G651" s="21">
        <v>74.75</v>
      </c>
      <c r="H651" s="13">
        <v>112.1946488294314</v>
      </c>
      <c r="I651" s="13">
        <v>107.0749163879599</v>
      </c>
      <c r="J651" s="13">
        <v>126.4341137123746</v>
      </c>
      <c r="K651" s="7">
        <f t="shared" si="20"/>
        <v>117.80438127090298</v>
      </c>
      <c r="L651" s="7">
        <f t="shared" si="21"/>
        <v>106.58491638795982</v>
      </c>
      <c r="M651" s="3" t="s">
        <v>1148</v>
      </c>
    </row>
    <row r="652" spans="1:13" x14ac:dyDescent="0.35">
      <c r="A652" s="11" t="s">
        <v>1706</v>
      </c>
      <c r="B652" s="11" t="s">
        <v>7</v>
      </c>
      <c r="C652" s="11" t="s">
        <v>30</v>
      </c>
      <c r="D652" s="11" t="s">
        <v>156</v>
      </c>
      <c r="E652" s="11" t="s">
        <v>39</v>
      </c>
      <c r="F652" s="20">
        <v>4</v>
      </c>
      <c r="G652" s="21">
        <v>55.44</v>
      </c>
      <c r="H652" s="13">
        <v>115.1381998582566</v>
      </c>
      <c r="I652" s="13">
        <v>99.886073706591063</v>
      </c>
      <c r="J652" s="13">
        <v>130.05063723733269</v>
      </c>
      <c r="K652" s="7">
        <f t="shared" si="20"/>
        <v>120.89510985116944</v>
      </c>
      <c r="L652" s="7">
        <f t="shared" si="21"/>
        <v>109.38128986534376</v>
      </c>
      <c r="M652" s="3" t="s">
        <v>1221</v>
      </c>
    </row>
    <row r="653" spans="1:13" x14ac:dyDescent="0.35">
      <c r="A653" s="11" t="s">
        <v>1707</v>
      </c>
      <c r="B653" s="11" t="s">
        <v>7</v>
      </c>
      <c r="C653" s="11" t="s">
        <v>30</v>
      </c>
      <c r="D653" s="11" t="s">
        <v>156</v>
      </c>
      <c r="E653" s="11" t="s">
        <v>502</v>
      </c>
      <c r="F653" s="20">
        <v>6</v>
      </c>
      <c r="G653" s="21">
        <v>48.44</v>
      </c>
      <c r="H653" s="13">
        <v>105.1003717472119</v>
      </c>
      <c r="I653" s="13">
        <v>88.566294919454762</v>
      </c>
      <c r="J653" s="13">
        <v>116.5303593556382</v>
      </c>
      <c r="K653" s="7">
        <f t="shared" si="20"/>
        <v>110.35539033457249</v>
      </c>
      <c r="L653" s="7">
        <f t="shared" si="21"/>
        <v>99.8453531598513</v>
      </c>
      <c r="M653" s="3" t="s">
        <v>1130</v>
      </c>
    </row>
    <row r="654" spans="1:13" x14ac:dyDescent="0.35">
      <c r="A654" s="11" t="s">
        <v>721</v>
      </c>
      <c r="B654" s="11" t="s">
        <v>7</v>
      </c>
      <c r="C654" s="11" t="s">
        <v>30</v>
      </c>
      <c r="D654" s="11" t="s">
        <v>156</v>
      </c>
      <c r="E654" s="11" t="s">
        <v>633</v>
      </c>
      <c r="F654" s="20">
        <v>41</v>
      </c>
      <c r="G654" s="21">
        <v>380.07</v>
      </c>
      <c r="H654" s="13">
        <v>109.79014598540149</v>
      </c>
      <c r="I654" s="13">
        <v>97.647450110864753</v>
      </c>
      <c r="J654" s="13">
        <v>118.1075388026608</v>
      </c>
      <c r="K654" s="7">
        <f t="shared" si="20"/>
        <v>115.27965328467157</v>
      </c>
      <c r="L654" s="7">
        <f t="shared" si="21"/>
        <v>104.30063868613142</v>
      </c>
      <c r="M654" s="3" t="s">
        <v>1130</v>
      </c>
    </row>
    <row r="655" spans="1:13" x14ac:dyDescent="0.35">
      <c r="A655" s="11" t="s">
        <v>851</v>
      </c>
      <c r="B655" s="11" t="s">
        <v>7</v>
      </c>
      <c r="C655" s="11" t="s">
        <v>30</v>
      </c>
      <c r="D655" s="11" t="s">
        <v>156</v>
      </c>
      <c r="E655" s="11" t="s">
        <v>670</v>
      </c>
      <c r="F655" s="20">
        <v>11</v>
      </c>
      <c r="G655" s="21">
        <v>107.94</v>
      </c>
      <c r="H655" s="13">
        <v>96.118439716312054</v>
      </c>
      <c r="I655" s="13">
        <v>89.755357451750797</v>
      </c>
      <c r="J655" s="13">
        <v>105.3244180443324</v>
      </c>
      <c r="K655" s="7">
        <f t="shared" si="20"/>
        <v>100.92436170212765</v>
      </c>
      <c r="L655" s="7">
        <f t="shared" si="21"/>
        <v>91.312517730496452</v>
      </c>
      <c r="M655" s="3" t="s">
        <v>1148</v>
      </c>
    </row>
    <row r="656" spans="1:13" x14ac:dyDescent="0.35">
      <c r="A656" s="11" t="s">
        <v>892</v>
      </c>
      <c r="B656" s="11" t="s">
        <v>7</v>
      </c>
      <c r="C656" s="11" t="s">
        <v>30</v>
      </c>
      <c r="D656" s="11" t="s">
        <v>156</v>
      </c>
      <c r="E656" s="11" t="s">
        <v>28</v>
      </c>
      <c r="F656" s="20">
        <v>5</v>
      </c>
      <c r="G656" s="21">
        <v>43.150000000000013</v>
      </c>
      <c r="H656" s="13">
        <v>113.199304750869</v>
      </c>
      <c r="I656" s="13">
        <v>109.6152954808806</v>
      </c>
      <c r="J656" s="13">
        <v>133.76129779837771</v>
      </c>
      <c r="K656" s="7">
        <f t="shared" si="20"/>
        <v>118.85926998841246</v>
      </c>
      <c r="L656" s="7">
        <f t="shared" si="21"/>
        <v>107.53933951332554</v>
      </c>
      <c r="M656" s="3" t="s">
        <v>1148</v>
      </c>
    </row>
    <row r="657" spans="1:13" x14ac:dyDescent="0.35">
      <c r="A657" s="11" t="s">
        <v>867</v>
      </c>
      <c r="B657" s="11" t="s">
        <v>7</v>
      </c>
      <c r="C657" s="11" t="s">
        <v>30</v>
      </c>
      <c r="D657" s="11" t="s">
        <v>156</v>
      </c>
      <c r="E657" s="11" t="s">
        <v>641</v>
      </c>
      <c r="F657" s="20">
        <v>16</v>
      </c>
      <c r="G657" s="21">
        <v>174.06</v>
      </c>
      <c r="H657" s="13">
        <v>117.07890000610089</v>
      </c>
      <c r="I657" s="13">
        <v>107.7456352141195</v>
      </c>
      <c r="J657" s="13">
        <v>134.4215575620768</v>
      </c>
      <c r="K657" s="7">
        <f t="shared" si="20"/>
        <v>122.93284500640594</v>
      </c>
      <c r="L657" s="7">
        <f t="shared" si="21"/>
        <v>111.22495500579585</v>
      </c>
      <c r="M657" s="3" t="s">
        <v>1130</v>
      </c>
    </row>
    <row r="658" spans="1:13" x14ac:dyDescent="0.35">
      <c r="A658" s="11" t="s">
        <v>938</v>
      </c>
      <c r="B658" s="11" t="s">
        <v>7</v>
      </c>
      <c r="C658" s="11" t="s">
        <v>30</v>
      </c>
      <c r="D658" s="11" t="s">
        <v>156</v>
      </c>
      <c r="E658" s="11" t="s">
        <v>131</v>
      </c>
      <c r="F658" s="20">
        <v>16</v>
      </c>
      <c r="G658" s="21">
        <v>177.4</v>
      </c>
      <c r="H658" s="13">
        <v>114.63865248226951</v>
      </c>
      <c r="I658" s="13">
        <v>111.2167711499493</v>
      </c>
      <c r="J658" s="13">
        <v>131.85870726968921</v>
      </c>
      <c r="K658" s="7">
        <f t="shared" si="20"/>
        <v>120.37058510638299</v>
      </c>
      <c r="L658" s="7">
        <f t="shared" si="21"/>
        <v>108.90671985815602</v>
      </c>
      <c r="M658" s="3" t="s">
        <v>1130</v>
      </c>
    </row>
    <row r="659" spans="1:13" x14ac:dyDescent="0.35">
      <c r="A659" s="11" t="s">
        <v>1708</v>
      </c>
      <c r="B659" s="11" t="s">
        <v>7</v>
      </c>
      <c r="C659" s="11" t="s">
        <v>30</v>
      </c>
      <c r="D659" s="11" t="s">
        <v>604</v>
      </c>
      <c r="E659" s="11" t="s">
        <v>364</v>
      </c>
      <c r="F659" s="20">
        <v>4</v>
      </c>
      <c r="G659" s="21">
        <v>17.86</v>
      </c>
      <c r="H659" s="13">
        <v>96.826621923937367</v>
      </c>
      <c r="I659" s="13">
        <v>90.730125349866086</v>
      </c>
      <c r="J659" s="13">
        <v>104.30689273783371</v>
      </c>
      <c r="K659" s="7">
        <f t="shared" si="20"/>
        <v>101.66795302013423</v>
      </c>
      <c r="L659" s="7">
        <f t="shared" si="21"/>
        <v>91.985290827740499</v>
      </c>
      <c r="M659" s="3" t="s">
        <v>1154</v>
      </c>
    </row>
    <row r="660" spans="1:13" x14ac:dyDescent="0.35">
      <c r="A660" s="11" t="s">
        <v>1709</v>
      </c>
      <c r="B660" s="11" t="s">
        <v>7</v>
      </c>
      <c r="C660" s="11" t="s">
        <v>30</v>
      </c>
      <c r="D660" s="11" t="s">
        <v>604</v>
      </c>
      <c r="E660" s="11" t="s">
        <v>502</v>
      </c>
      <c r="F660" s="20">
        <v>2</v>
      </c>
      <c r="G660" s="21">
        <v>14.65</v>
      </c>
      <c r="H660" s="13">
        <v>121.0059867962439</v>
      </c>
      <c r="I660" s="13">
        <v>114.630192315578</v>
      </c>
      <c r="J660" s="13">
        <v>127.38178127690981</v>
      </c>
      <c r="K660" s="7">
        <f t="shared" si="20"/>
        <v>127.0562861360561</v>
      </c>
      <c r="L660" s="7">
        <f t="shared" si="21"/>
        <v>114.9556874564317</v>
      </c>
      <c r="M660" s="3" t="s">
        <v>1157</v>
      </c>
    </row>
    <row r="661" spans="1:13" x14ac:dyDescent="0.35">
      <c r="A661" s="11" t="s">
        <v>1710</v>
      </c>
      <c r="B661" s="11" t="s">
        <v>7</v>
      </c>
      <c r="C661" s="11" t="s">
        <v>30</v>
      </c>
      <c r="D661" s="11" t="s">
        <v>604</v>
      </c>
      <c r="E661" s="11" t="s">
        <v>35</v>
      </c>
      <c r="F661" s="20">
        <v>2</v>
      </c>
      <c r="G661" s="21">
        <v>10.86</v>
      </c>
      <c r="H661" s="13">
        <v>110.74585635359119</v>
      </c>
      <c r="I661" s="13">
        <v>110.44935543278091</v>
      </c>
      <c r="J661" s="13">
        <v>111.0423572744015</v>
      </c>
      <c r="K661" s="7">
        <f t="shared" si="20"/>
        <v>116.28314917127076</v>
      </c>
      <c r="L661" s="7">
        <f t="shared" si="21"/>
        <v>105.20856353591162</v>
      </c>
      <c r="M661" s="3" t="s">
        <v>1154</v>
      </c>
    </row>
    <row r="662" spans="1:13" x14ac:dyDescent="0.35">
      <c r="A662" s="11" t="s">
        <v>1711</v>
      </c>
      <c r="B662" s="11" t="s">
        <v>7</v>
      </c>
      <c r="C662" s="11" t="s">
        <v>30</v>
      </c>
      <c r="D662" s="11" t="s">
        <v>604</v>
      </c>
      <c r="E662" s="11" t="s">
        <v>169</v>
      </c>
      <c r="F662" s="20">
        <v>3</v>
      </c>
      <c r="G662" s="21">
        <v>12.99</v>
      </c>
      <c r="H662" s="13">
        <v>110.0864197530864</v>
      </c>
      <c r="I662" s="13">
        <v>99.21599785650983</v>
      </c>
      <c r="J662" s="13">
        <v>113.5664440772867</v>
      </c>
      <c r="K662" s="7">
        <f t="shared" si="20"/>
        <v>115.59074074074073</v>
      </c>
      <c r="L662" s="7">
        <f t="shared" si="21"/>
        <v>104.58209876543208</v>
      </c>
      <c r="M662" s="3" t="s">
        <v>1154</v>
      </c>
    </row>
    <row r="663" spans="1:13" x14ac:dyDescent="0.35">
      <c r="A663" s="11" t="s">
        <v>1712</v>
      </c>
      <c r="B663" s="11" t="s">
        <v>7</v>
      </c>
      <c r="C663" s="11" t="s">
        <v>30</v>
      </c>
      <c r="D663" s="11" t="s">
        <v>604</v>
      </c>
      <c r="E663" s="11" t="s">
        <v>667</v>
      </c>
      <c r="F663" s="20">
        <v>2</v>
      </c>
      <c r="G663" s="21">
        <v>28.04</v>
      </c>
      <c r="H663" s="13">
        <v>107.1269614835949</v>
      </c>
      <c r="I663" s="13">
        <v>102.4910841654779</v>
      </c>
      <c r="J663" s="13">
        <v>111.76283880171179</v>
      </c>
      <c r="K663" s="7">
        <f t="shared" si="20"/>
        <v>112.48330955777465</v>
      </c>
      <c r="L663" s="7">
        <f t="shared" si="21"/>
        <v>101.77061340941515</v>
      </c>
      <c r="M663" s="3" t="s">
        <v>1154</v>
      </c>
    </row>
    <row r="664" spans="1:13" x14ac:dyDescent="0.35">
      <c r="A664" s="11" t="s">
        <v>1713</v>
      </c>
      <c r="B664" s="11" t="s">
        <v>7</v>
      </c>
      <c r="C664" s="11" t="s">
        <v>30</v>
      </c>
      <c r="D664" s="11" t="s">
        <v>604</v>
      </c>
      <c r="E664" s="11" t="s">
        <v>730</v>
      </c>
      <c r="F664" s="20">
        <v>1</v>
      </c>
      <c r="G664" s="21">
        <v>19.28</v>
      </c>
      <c r="H664" s="13">
        <v>151.15612033195021</v>
      </c>
      <c r="I664" s="13">
        <v>151.15612033195021</v>
      </c>
      <c r="J664" s="13">
        <v>151.15612033195021</v>
      </c>
      <c r="K664" s="7">
        <f t="shared" si="20"/>
        <v>158.71392634854772</v>
      </c>
      <c r="L664" s="7">
        <f t="shared" si="21"/>
        <v>143.5983143153527</v>
      </c>
      <c r="M664" s="3" t="s">
        <v>1157</v>
      </c>
    </row>
    <row r="665" spans="1:13" x14ac:dyDescent="0.35">
      <c r="A665" s="11" t="s">
        <v>1102</v>
      </c>
      <c r="B665" s="11" t="s">
        <v>7</v>
      </c>
      <c r="C665" s="11" t="s">
        <v>30</v>
      </c>
      <c r="D665" s="11" t="s">
        <v>604</v>
      </c>
      <c r="E665" s="11" t="s">
        <v>633</v>
      </c>
      <c r="F665" s="20">
        <v>6</v>
      </c>
      <c r="G665" s="21">
        <v>48.65</v>
      </c>
      <c r="H665" s="13">
        <v>117.89542515216939</v>
      </c>
      <c r="I665" s="13">
        <v>113.77584759140331</v>
      </c>
      <c r="J665" s="13">
        <v>124.75375930614869</v>
      </c>
      <c r="K665" s="7">
        <f t="shared" si="20"/>
        <v>123.79019640977786</v>
      </c>
      <c r="L665" s="7">
        <f t="shared" si="21"/>
        <v>112.00065389456093</v>
      </c>
      <c r="M665" s="3" t="s">
        <v>1154</v>
      </c>
    </row>
    <row r="666" spans="1:13" x14ac:dyDescent="0.35">
      <c r="A666" s="11" t="s">
        <v>1714</v>
      </c>
      <c r="B666" s="11" t="s">
        <v>7</v>
      </c>
      <c r="C666" s="11" t="s">
        <v>30</v>
      </c>
      <c r="D666" s="11" t="s">
        <v>604</v>
      </c>
      <c r="E666" s="11" t="s">
        <v>670</v>
      </c>
      <c r="F666" s="20">
        <v>1</v>
      </c>
      <c r="G666" s="21">
        <v>4.6500000000000004</v>
      </c>
      <c r="H666" s="13">
        <v>119.8666666666667</v>
      </c>
      <c r="I666" s="13">
        <v>119.8666666666667</v>
      </c>
      <c r="J666" s="13">
        <v>119.8666666666667</v>
      </c>
      <c r="K666" s="7">
        <f t="shared" si="20"/>
        <v>125.86000000000004</v>
      </c>
      <c r="L666" s="7">
        <f t="shared" si="21"/>
        <v>113.87333333333336</v>
      </c>
      <c r="M666" s="3" t="s">
        <v>1157</v>
      </c>
    </row>
    <row r="667" spans="1:13" x14ac:dyDescent="0.35">
      <c r="A667" s="11" t="s">
        <v>1715</v>
      </c>
      <c r="B667" s="11" t="s">
        <v>7</v>
      </c>
      <c r="C667" s="11" t="s">
        <v>30</v>
      </c>
      <c r="D667" s="11" t="s">
        <v>604</v>
      </c>
      <c r="E667" s="11" t="s">
        <v>186</v>
      </c>
      <c r="F667" s="20">
        <v>2</v>
      </c>
      <c r="G667" s="21">
        <v>5.16</v>
      </c>
      <c r="H667" s="13">
        <v>76.744186046511629</v>
      </c>
      <c r="I667" s="13">
        <v>70.556201550387598</v>
      </c>
      <c r="J667" s="13">
        <v>82.93217054263566</v>
      </c>
      <c r="K667" s="7">
        <f t="shared" si="20"/>
        <v>80.581395348837219</v>
      </c>
      <c r="L667" s="7">
        <f t="shared" si="21"/>
        <v>72.906976744186039</v>
      </c>
      <c r="M667" s="3" t="s">
        <v>1154</v>
      </c>
    </row>
    <row r="668" spans="1:13" x14ac:dyDescent="0.35">
      <c r="A668" s="11" t="s">
        <v>1716</v>
      </c>
      <c r="B668" s="11" t="s">
        <v>7</v>
      </c>
      <c r="C668" s="11" t="s">
        <v>30</v>
      </c>
      <c r="D668" s="11" t="s">
        <v>604</v>
      </c>
      <c r="E668" s="11" t="s">
        <v>733</v>
      </c>
      <c r="F668" s="20">
        <v>2</v>
      </c>
      <c r="G668" s="21">
        <v>8.76</v>
      </c>
      <c r="H668" s="13">
        <v>117.3479556771162</v>
      </c>
      <c r="I668" s="13">
        <v>111.6069675292798</v>
      </c>
      <c r="J668" s="13">
        <v>123.08894382495269</v>
      </c>
      <c r="K668" s="7">
        <f t="shared" si="20"/>
        <v>123.21535346097203</v>
      </c>
      <c r="L668" s="7">
        <f t="shared" si="21"/>
        <v>111.48055789326038</v>
      </c>
      <c r="M668" s="3" t="s">
        <v>1154</v>
      </c>
    </row>
    <row r="669" spans="1:13" x14ac:dyDescent="0.35">
      <c r="A669" s="11" t="s">
        <v>1717</v>
      </c>
      <c r="B669" s="11" t="s">
        <v>7</v>
      </c>
      <c r="C669" s="11" t="s">
        <v>30</v>
      </c>
      <c r="D669" s="11" t="s">
        <v>1078</v>
      </c>
      <c r="E669" s="11" t="s">
        <v>667</v>
      </c>
      <c r="F669" s="20">
        <v>1</v>
      </c>
      <c r="G669" s="21">
        <v>4.92</v>
      </c>
      <c r="H669" s="13">
        <v>182.1849593495935</v>
      </c>
      <c r="I669" s="13">
        <v>182.1849593495935</v>
      </c>
      <c r="J669" s="13">
        <v>182.1849593495935</v>
      </c>
      <c r="K669" s="7">
        <f t="shared" si="20"/>
        <v>191.29420731707319</v>
      </c>
      <c r="L669" s="7">
        <f t="shared" si="21"/>
        <v>173.07571138211381</v>
      </c>
      <c r="M669" s="3" t="s">
        <v>1157</v>
      </c>
    </row>
    <row r="670" spans="1:13" x14ac:dyDescent="0.35">
      <c r="A670" s="11" t="s">
        <v>1718</v>
      </c>
      <c r="B670" s="11" t="s">
        <v>7</v>
      </c>
      <c r="C670" s="11" t="s">
        <v>30</v>
      </c>
      <c r="D670" s="11" t="s">
        <v>1078</v>
      </c>
      <c r="E670" s="11" t="s">
        <v>641</v>
      </c>
      <c r="F670" s="20">
        <v>2</v>
      </c>
      <c r="G670" s="21">
        <v>23.36</v>
      </c>
      <c r="H670" s="13">
        <v>147.58949408602271</v>
      </c>
      <c r="I670" s="13">
        <v>146.24723405117771</v>
      </c>
      <c r="J670" s="13">
        <v>148.93175412086779</v>
      </c>
      <c r="K670" s="7">
        <f t="shared" si="20"/>
        <v>154.96896879032386</v>
      </c>
      <c r="L670" s="7">
        <f t="shared" si="21"/>
        <v>140.21001938172157</v>
      </c>
      <c r="M670" s="3" t="s">
        <v>1157</v>
      </c>
    </row>
    <row r="671" spans="1:13" x14ac:dyDescent="0.35">
      <c r="A671" s="11" t="s">
        <v>1719</v>
      </c>
      <c r="B671" s="11" t="s">
        <v>7</v>
      </c>
      <c r="C671" s="11" t="s">
        <v>30</v>
      </c>
      <c r="D671" s="11" t="s">
        <v>1640</v>
      </c>
      <c r="E671" s="11" t="s">
        <v>633</v>
      </c>
      <c r="F671" s="20">
        <v>1</v>
      </c>
      <c r="G671" s="21">
        <v>3.98</v>
      </c>
      <c r="H671" s="13">
        <v>120.8718592964824</v>
      </c>
      <c r="I671" s="13">
        <v>120.8718592964824</v>
      </c>
      <c r="J671" s="13">
        <v>120.8718592964824</v>
      </c>
      <c r="K671" s="7">
        <f t="shared" si="20"/>
        <v>126.91545226130653</v>
      </c>
      <c r="L671" s="7">
        <f t="shared" si="21"/>
        <v>114.82826633165827</v>
      </c>
      <c r="M671" s="3" t="s">
        <v>1157</v>
      </c>
    </row>
    <row r="672" spans="1:13" x14ac:dyDescent="0.35">
      <c r="A672" s="11" t="s">
        <v>1720</v>
      </c>
      <c r="B672" s="11" t="s">
        <v>7</v>
      </c>
      <c r="C672" s="11" t="s">
        <v>30</v>
      </c>
      <c r="D672" s="11" t="s">
        <v>1165</v>
      </c>
      <c r="E672" s="11" t="s">
        <v>670</v>
      </c>
      <c r="F672" s="20">
        <v>1</v>
      </c>
      <c r="G672" s="21">
        <v>5.84</v>
      </c>
      <c r="H672" s="13">
        <v>150.67808219178079</v>
      </c>
      <c r="I672" s="13">
        <v>150.67808219178079</v>
      </c>
      <c r="J672" s="13">
        <v>150.67808219178079</v>
      </c>
      <c r="K672" s="7">
        <f t="shared" si="20"/>
        <v>158.21198630136985</v>
      </c>
      <c r="L672" s="7">
        <f t="shared" si="21"/>
        <v>143.14417808219173</v>
      </c>
      <c r="M672" s="3" t="s">
        <v>1157</v>
      </c>
    </row>
    <row r="673" spans="1:13" x14ac:dyDescent="0.35">
      <c r="A673" s="11" t="s">
        <v>1721</v>
      </c>
      <c r="B673" s="11" t="s">
        <v>7</v>
      </c>
      <c r="C673" s="11" t="s">
        <v>30</v>
      </c>
      <c r="D673" s="11" t="s">
        <v>1165</v>
      </c>
      <c r="E673" s="11" t="s">
        <v>28</v>
      </c>
      <c r="F673" s="20">
        <v>2</v>
      </c>
      <c r="G673" s="21">
        <v>14.17</v>
      </c>
      <c r="H673" s="13">
        <v>94.063460759439693</v>
      </c>
      <c r="I673" s="13">
        <v>93.896898919045697</v>
      </c>
      <c r="J673" s="13">
        <v>94.230022599833703</v>
      </c>
      <c r="K673" s="7">
        <f t="shared" si="20"/>
        <v>98.766633797411686</v>
      </c>
      <c r="L673" s="7">
        <f t="shared" si="21"/>
        <v>89.360287721467699</v>
      </c>
      <c r="M673" s="3" t="s">
        <v>1157</v>
      </c>
    </row>
    <row r="674" spans="1:13" x14ac:dyDescent="0.35">
      <c r="A674" s="11" t="s">
        <v>1722</v>
      </c>
      <c r="B674" s="11" t="s">
        <v>7</v>
      </c>
      <c r="C674" s="11" t="s">
        <v>30</v>
      </c>
      <c r="D674" s="11" t="s">
        <v>1643</v>
      </c>
      <c r="E674" s="11" t="s">
        <v>499</v>
      </c>
      <c r="F674" s="20">
        <v>1</v>
      </c>
      <c r="G674" s="21">
        <v>5.61</v>
      </c>
      <c r="H674" s="13">
        <v>138.81639928698749</v>
      </c>
      <c r="I674" s="13">
        <v>138.81639928698749</v>
      </c>
      <c r="J674" s="13">
        <v>138.81639928698749</v>
      </c>
      <c r="K674" s="7">
        <f t="shared" si="20"/>
        <v>145.75721925133686</v>
      </c>
      <c r="L674" s="7">
        <f t="shared" si="21"/>
        <v>131.87557932263812</v>
      </c>
      <c r="M674" s="3" t="s">
        <v>1157</v>
      </c>
    </row>
    <row r="675" spans="1:13" x14ac:dyDescent="0.35">
      <c r="A675" s="11" t="s">
        <v>1723</v>
      </c>
      <c r="B675" s="11" t="s">
        <v>7</v>
      </c>
      <c r="C675" s="11" t="s">
        <v>30</v>
      </c>
      <c r="D675" s="11" t="s">
        <v>1178</v>
      </c>
      <c r="E675" s="11" t="s">
        <v>364</v>
      </c>
      <c r="F675" s="20">
        <v>1</v>
      </c>
      <c r="G675" s="21">
        <v>7.16</v>
      </c>
      <c r="H675" s="13">
        <v>124.6117318435754</v>
      </c>
      <c r="I675" s="13">
        <v>124.6117318435754</v>
      </c>
      <c r="J675" s="13">
        <v>124.6117318435754</v>
      </c>
      <c r="K675" s="7">
        <f t="shared" si="20"/>
        <v>130.84231843575418</v>
      </c>
      <c r="L675" s="7">
        <f t="shared" si="21"/>
        <v>118.38114525139662</v>
      </c>
      <c r="M675" s="3" t="s">
        <v>1189</v>
      </c>
    </row>
    <row r="676" spans="1:13" x14ac:dyDescent="0.35">
      <c r="A676" s="11" t="s">
        <v>1724</v>
      </c>
      <c r="B676" s="11" t="s">
        <v>7</v>
      </c>
      <c r="C676" s="11" t="s">
        <v>30</v>
      </c>
      <c r="D676" s="11" t="s">
        <v>1178</v>
      </c>
      <c r="E676" s="11" t="s">
        <v>169</v>
      </c>
      <c r="F676" s="20">
        <v>1</v>
      </c>
      <c r="G676" s="21">
        <v>12.44</v>
      </c>
      <c r="H676" s="13">
        <v>112.342845659164</v>
      </c>
      <c r="I676" s="13">
        <v>112.342845659164</v>
      </c>
      <c r="J676" s="13">
        <v>112.342845659164</v>
      </c>
      <c r="K676" s="7">
        <f t="shared" si="20"/>
        <v>117.9599879421222</v>
      </c>
      <c r="L676" s="7">
        <f t="shared" si="21"/>
        <v>106.7257033762058</v>
      </c>
      <c r="M676" s="3" t="s">
        <v>1189</v>
      </c>
    </row>
    <row r="677" spans="1:13" x14ac:dyDescent="0.35">
      <c r="A677" s="11" t="s">
        <v>1725</v>
      </c>
      <c r="B677" s="11" t="s">
        <v>7</v>
      </c>
      <c r="C677" s="11" t="s">
        <v>30</v>
      </c>
      <c r="D677" s="11" t="s">
        <v>1178</v>
      </c>
      <c r="E677" s="11" t="s">
        <v>667</v>
      </c>
      <c r="F677" s="20">
        <v>20</v>
      </c>
      <c r="G677" s="21">
        <v>131.47</v>
      </c>
      <c r="H677" s="13">
        <v>124.3253824415595</v>
      </c>
      <c r="I677" s="13">
        <v>106.0587689133425</v>
      </c>
      <c r="J677" s="13">
        <v>136.05588942307691</v>
      </c>
      <c r="K677" s="7">
        <f t="shared" si="20"/>
        <v>130.54165156363749</v>
      </c>
      <c r="L677" s="7">
        <f t="shared" si="21"/>
        <v>118.10911331948152</v>
      </c>
      <c r="M677" s="3" t="s">
        <v>1125</v>
      </c>
    </row>
    <row r="678" spans="1:13" x14ac:dyDescent="0.35">
      <c r="A678" s="11" t="s">
        <v>1726</v>
      </c>
      <c r="B678" s="11" t="s">
        <v>7</v>
      </c>
      <c r="C678" s="11" t="s">
        <v>30</v>
      </c>
      <c r="D678" s="11" t="s">
        <v>1178</v>
      </c>
      <c r="E678" s="11" t="s">
        <v>633</v>
      </c>
      <c r="F678" s="20">
        <v>24</v>
      </c>
      <c r="G678" s="21">
        <v>232.85</v>
      </c>
      <c r="H678" s="13">
        <v>117.6116871098284</v>
      </c>
      <c r="I678" s="13">
        <v>105.315666418245</v>
      </c>
      <c r="J678" s="13">
        <v>125.771819919664</v>
      </c>
      <c r="K678" s="7">
        <f t="shared" si="20"/>
        <v>123.49227146531982</v>
      </c>
      <c r="L678" s="7">
        <f t="shared" si="21"/>
        <v>111.73110275433697</v>
      </c>
      <c r="M678" s="3" t="s">
        <v>1140</v>
      </c>
    </row>
    <row r="679" spans="1:13" x14ac:dyDescent="0.35">
      <c r="A679" s="11" t="s">
        <v>1727</v>
      </c>
      <c r="B679" s="11" t="s">
        <v>7</v>
      </c>
      <c r="C679" s="11" t="s">
        <v>30</v>
      </c>
      <c r="D679" s="11" t="s">
        <v>1178</v>
      </c>
      <c r="E679" s="11" t="s">
        <v>670</v>
      </c>
      <c r="F679" s="20">
        <v>1</v>
      </c>
      <c r="G679" s="21">
        <v>10.84</v>
      </c>
      <c r="H679" s="13">
        <v>108.0387453874539</v>
      </c>
      <c r="I679" s="13">
        <v>108.0387453874539</v>
      </c>
      <c r="J679" s="13">
        <v>108.0387453874539</v>
      </c>
      <c r="K679" s="7">
        <f t="shared" si="20"/>
        <v>113.4406826568266</v>
      </c>
      <c r="L679" s="7">
        <f t="shared" si="21"/>
        <v>102.63680811808121</v>
      </c>
      <c r="M679" s="3" t="s">
        <v>1189</v>
      </c>
    </row>
    <row r="680" spans="1:13" x14ac:dyDescent="0.35">
      <c r="A680" s="11" t="s">
        <v>1728</v>
      </c>
      <c r="B680" s="11" t="s">
        <v>7</v>
      </c>
      <c r="C680" s="11" t="s">
        <v>30</v>
      </c>
      <c r="D680" s="11" t="s">
        <v>1178</v>
      </c>
      <c r="E680" s="11" t="s">
        <v>28</v>
      </c>
      <c r="F680" s="20">
        <v>5</v>
      </c>
      <c r="G680" s="21">
        <v>37.049999999999997</v>
      </c>
      <c r="H680" s="13">
        <v>123.9932523616734</v>
      </c>
      <c r="I680" s="13">
        <v>114.2078272604588</v>
      </c>
      <c r="J680" s="13">
        <v>125.6248313090418</v>
      </c>
      <c r="K680" s="7">
        <f t="shared" si="20"/>
        <v>130.19291497975706</v>
      </c>
      <c r="L680" s="7">
        <f t="shared" si="21"/>
        <v>117.79358974358972</v>
      </c>
      <c r="M680" s="3" t="s">
        <v>1140</v>
      </c>
    </row>
    <row r="681" spans="1:13" x14ac:dyDescent="0.35">
      <c r="A681" s="11" t="s">
        <v>1729</v>
      </c>
      <c r="B681" s="11" t="s">
        <v>7</v>
      </c>
      <c r="C681" s="11" t="s">
        <v>30</v>
      </c>
      <c r="D681" s="11" t="s">
        <v>1178</v>
      </c>
      <c r="E681" s="11" t="s">
        <v>186</v>
      </c>
      <c r="F681" s="20">
        <v>1</v>
      </c>
      <c r="G681" s="21">
        <v>14.42</v>
      </c>
      <c r="H681" s="13">
        <v>111.2871012482663</v>
      </c>
      <c r="I681" s="13">
        <v>111.2871012482663</v>
      </c>
      <c r="J681" s="13">
        <v>111.2871012482663</v>
      </c>
      <c r="K681" s="7">
        <f t="shared" si="20"/>
        <v>116.85145631067961</v>
      </c>
      <c r="L681" s="7">
        <f t="shared" si="21"/>
        <v>105.72274618585298</v>
      </c>
      <c r="M681" s="3" t="s">
        <v>1189</v>
      </c>
    </row>
    <row r="682" spans="1:13" x14ac:dyDescent="0.35">
      <c r="A682" s="11" t="s">
        <v>1730</v>
      </c>
      <c r="B682" s="11" t="s">
        <v>7</v>
      </c>
      <c r="C682" s="11" t="s">
        <v>30</v>
      </c>
      <c r="D682" s="11" t="s">
        <v>1178</v>
      </c>
      <c r="E682" s="11" t="s">
        <v>131</v>
      </c>
      <c r="F682" s="20">
        <v>1</v>
      </c>
      <c r="G682" s="21">
        <v>18.059999999999999</v>
      </c>
      <c r="H682" s="13">
        <v>97.287929125138433</v>
      </c>
      <c r="I682" s="13">
        <v>97.287929125138433</v>
      </c>
      <c r="J682" s="13">
        <v>97.287929125138433</v>
      </c>
      <c r="K682" s="7">
        <f t="shared" si="20"/>
        <v>102.15232558139536</v>
      </c>
      <c r="L682" s="7">
        <f t="shared" si="21"/>
        <v>92.423532668881506</v>
      </c>
      <c r="M682" s="3" t="s">
        <v>1189</v>
      </c>
    </row>
    <row r="683" spans="1:13" x14ac:dyDescent="0.35">
      <c r="A683" s="11" t="s">
        <v>1731</v>
      </c>
      <c r="B683" s="11" t="s">
        <v>7</v>
      </c>
      <c r="C683" s="11" t="s">
        <v>30</v>
      </c>
      <c r="D683" s="11" t="s">
        <v>114</v>
      </c>
      <c r="E683" s="11" t="s">
        <v>360</v>
      </c>
      <c r="F683" s="20">
        <v>2</v>
      </c>
      <c r="G683" s="21">
        <v>13.58</v>
      </c>
      <c r="H683" s="13">
        <v>130.16899852724589</v>
      </c>
      <c r="I683" s="13">
        <v>126.5333210603829</v>
      </c>
      <c r="J683" s="13">
        <v>133.804675994109</v>
      </c>
      <c r="K683" s="7">
        <f t="shared" si="20"/>
        <v>136.67744845360818</v>
      </c>
      <c r="L683" s="7">
        <f t="shared" si="21"/>
        <v>123.66054860088359</v>
      </c>
      <c r="M683" s="3" t="s">
        <v>1511</v>
      </c>
    </row>
    <row r="684" spans="1:13" x14ac:dyDescent="0.35">
      <c r="A684" s="11" t="s">
        <v>718</v>
      </c>
      <c r="B684" s="11" t="s">
        <v>7</v>
      </c>
      <c r="C684" s="11" t="s">
        <v>30</v>
      </c>
      <c r="D684" s="11" t="s">
        <v>114</v>
      </c>
      <c r="E684" s="11" t="s">
        <v>364</v>
      </c>
      <c r="F684" s="20">
        <v>72</v>
      </c>
      <c r="G684" s="21">
        <v>767.96</v>
      </c>
      <c r="H684" s="13">
        <v>126.82149084568439</v>
      </c>
      <c r="I684" s="13">
        <v>119.326051487534</v>
      </c>
      <c r="J684" s="13">
        <v>138.79889140717381</v>
      </c>
      <c r="K684" s="7">
        <f t="shared" si="20"/>
        <v>133.16256538796861</v>
      </c>
      <c r="L684" s="7">
        <f t="shared" si="21"/>
        <v>120.48041630340018</v>
      </c>
      <c r="M684" s="3" t="s">
        <v>1125</v>
      </c>
    </row>
    <row r="685" spans="1:13" x14ac:dyDescent="0.35">
      <c r="A685" s="11" t="s">
        <v>1732</v>
      </c>
      <c r="B685" s="11" t="s">
        <v>7</v>
      </c>
      <c r="C685" s="11" t="s">
        <v>30</v>
      </c>
      <c r="D685" s="11" t="s">
        <v>114</v>
      </c>
      <c r="E685" s="11" t="s">
        <v>39</v>
      </c>
      <c r="F685" s="20">
        <v>1</v>
      </c>
      <c r="G685" s="21">
        <v>14.9</v>
      </c>
      <c r="H685" s="13">
        <v>104.3791946308725</v>
      </c>
      <c r="I685" s="13">
        <v>104.3791946308725</v>
      </c>
      <c r="J685" s="13">
        <v>104.3791946308725</v>
      </c>
      <c r="K685" s="7">
        <f t="shared" si="20"/>
        <v>109.59815436241614</v>
      </c>
      <c r="L685" s="7">
        <f t="shared" si="21"/>
        <v>99.16023489932887</v>
      </c>
      <c r="M685" s="3" t="s">
        <v>1189</v>
      </c>
    </row>
    <row r="686" spans="1:13" x14ac:dyDescent="0.35">
      <c r="A686" s="11" t="s">
        <v>639</v>
      </c>
      <c r="B686" s="11" t="s">
        <v>7</v>
      </c>
      <c r="C686" s="11" t="s">
        <v>30</v>
      </c>
      <c r="D686" s="11" t="s">
        <v>114</v>
      </c>
      <c r="E686" s="11" t="s">
        <v>502</v>
      </c>
      <c r="F686" s="20">
        <v>57</v>
      </c>
      <c r="G686" s="21">
        <v>348.35778113244658</v>
      </c>
      <c r="H686" s="13">
        <v>130.28391959799001</v>
      </c>
      <c r="I686" s="13">
        <v>117.5667870036101</v>
      </c>
      <c r="J686" s="13">
        <v>142.30629139072849</v>
      </c>
      <c r="K686" s="7">
        <f t="shared" si="20"/>
        <v>136.79811557788952</v>
      </c>
      <c r="L686" s="7">
        <f t="shared" si="21"/>
        <v>123.7697236180905</v>
      </c>
      <c r="M686" s="3" t="s">
        <v>1152</v>
      </c>
    </row>
    <row r="687" spans="1:13" x14ac:dyDescent="0.35">
      <c r="A687" s="11" t="s">
        <v>1733</v>
      </c>
      <c r="B687" s="11" t="s">
        <v>7</v>
      </c>
      <c r="C687" s="11" t="s">
        <v>30</v>
      </c>
      <c r="D687" s="11" t="s">
        <v>114</v>
      </c>
      <c r="E687" s="11" t="s">
        <v>499</v>
      </c>
      <c r="F687" s="20">
        <v>2</v>
      </c>
      <c r="G687" s="21">
        <v>22.94</v>
      </c>
      <c r="H687" s="13">
        <v>119.7371246166452</v>
      </c>
      <c r="I687" s="13">
        <v>118.17553360299161</v>
      </c>
      <c r="J687" s="13">
        <v>121.2987156302987</v>
      </c>
      <c r="K687" s="7">
        <f t="shared" si="20"/>
        <v>125.72398084747746</v>
      </c>
      <c r="L687" s="7">
        <f t="shared" si="21"/>
        <v>113.75026838581294</v>
      </c>
      <c r="M687" s="3" t="s">
        <v>1189</v>
      </c>
    </row>
    <row r="688" spans="1:13" x14ac:dyDescent="0.35">
      <c r="A688" s="11" t="s">
        <v>1051</v>
      </c>
      <c r="B688" s="11" t="s">
        <v>7</v>
      </c>
      <c r="C688" s="11" t="s">
        <v>30</v>
      </c>
      <c r="D688" s="11" t="s">
        <v>114</v>
      </c>
      <c r="E688" s="11" t="s">
        <v>35</v>
      </c>
      <c r="F688" s="20">
        <v>70</v>
      </c>
      <c r="G688" s="21">
        <v>836.14</v>
      </c>
      <c r="H688" s="13">
        <v>124.19047304803701</v>
      </c>
      <c r="I688" s="13">
        <v>114.3790204093148</v>
      </c>
      <c r="J688" s="13">
        <v>134.5460852683278</v>
      </c>
      <c r="K688" s="7">
        <f t="shared" si="20"/>
        <v>130.39999670043886</v>
      </c>
      <c r="L688" s="7">
        <f t="shared" si="21"/>
        <v>117.98094939563515</v>
      </c>
      <c r="M688" s="3" t="s">
        <v>1125</v>
      </c>
    </row>
    <row r="689" spans="1:13" x14ac:dyDescent="0.35">
      <c r="A689" s="11" t="s">
        <v>1734</v>
      </c>
      <c r="B689" s="11" t="s">
        <v>7</v>
      </c>
      <c r="C689" s="11" t="s">
        <v>30</v>
      </c>
      <c r="D689" s="11" t="s">
        <v>114</v>
      </c>
      <c r="E689" s="11" t="s">
        <v>169</v>
      </c>
      <c r="F689" s="20">
        <v>9</v>
      </c>
      <c r="G689" s="21">
        <v>86.010000000000019</v>
      </c>
      <c r="H689" s="13">
        <v>111.55955188679241</v>
      </c>
      <c r="I689" s="13">
        <v>94.75316455696202</v>
      </c>
      <c r="J689" s="13">
        <v>126.31666666666671</v>
      </c>
      <c r="K689" s="7">
        <f t="shared" si="20"/>
        <v>117.13752948113203</v>
      </c>
      <c r="L689" s="7">
        <f t="shared" si="21"/>
        <v>105.98157429245278</v>
      </c>
      <c r="M689" s="3" t="s">
        <v>1226</v>
      </c>
    </row>
    <row r="690" spans="1:13" x14ac:dyDescent="0.35">
      <c r="A690" s="11" t="s">
        <v>1735</v>
      </c>
      <c r="B690" s="11" t="s">
        <v>7</v>
      </c>
      <c r="C690" s="11" t="s">
        <v>30</v>
      </c>
      <c r="D690" s="11" t="s">
        <v>114</v>
      </c>
      <c r="E690" s="11" t="s">
        <v>667</v>
      </c>
      <c r="F690" s="20">
        <v>4</v>
      </c>
      <c r="G690" s="21">
        <v>32.119999999999997</v>
      </c>
      <c r="H690" s="13">
        <v>114.2542347656462</v>
      </c>
      <c r="I690" s="13">
        <v>113.5098039215686</v>
      </c>
      <c r="J690" s="13">
        <v>117.907401902497</v>
      </c>
      <c r="K690" s="7">
        <f t="shared" si="20"/>
        <v>119.96694650392851</v>
      </c>
      <c r="L690" s="7">
        <f t="shared" si="21"/>
        <v>108.54152302736389</v>
      </c>
      <c r="M690" s="3" t="s">
        <v>1185</v>
      </c>
    </row>
    <row r="691" spans="1:13" x14ac:dyDescent="0.35">
      <c r="A691" s="11" t="s">
        <v>1736</v>
      </c>
      <c r="B691" s="11" t="s">
        <v>7</v>
      </c>
      <c r="C691" s="11" t="s">
        <v>30</v>
      </c>
      <c r="D691" s="11" t="s">
        <v>114</v>
      </c>
      <c r="E691" s="11" t="s">
        <v>730</v>
      </c>
      <c r="F691" s="20">
        <v>8</v>
      </c>
      <c r="G691" s="21">
        <v>100.92</v>
      </c>
      <c r="H691" s="13">
        <v>124.85186627744891</v>
      </c>
      <c r="I691" s="13">
        <v>115.4369731370125</v>
      </c>
      <c r="J691" s="13">
        <v>130.11816682246311</v>
      </c>
      <c r="K691" s="7">
        <f t="shared" si="20"/>
        <v>131.09445959132137</v>
      </c>
      <c r="L691" s="7">
        <f t="shared" si="21"/>
        <v>118.60927296357646</v>
      </c>
      <c r="M691" s="3" t="s">
        <v>1231</v>
      </c>
    </row>
    <row r="692" spans="1:13" x14ac:dyDescent="0.35">
      <c r="A692" s="11" t="s">
        <v>1737</v>
      </c>
      <c r="B692" s="11" t="s">
        <v>7</v>
      </c>
      <c r="C692" s="11" t="s">
        <v>30</v>
      </c>
      <c r="D692" s="11" t="s">
        <v>114</v>
      </c>
      <c r="E692" s="11" t="s">
        <v>122</v>
      </c>
      <c r="F692" s="20">
        <v>15</v>
      </c>
      <c r="G692" s="21">
        <v>157.54</v>
      </c>
      <c r="H692" s="13">
        <v>123.6532803180914</v>
      </c>
      <c r="I692" s="13">
        <v>114.5545022527761</v>
      </c>
      <c r="J692" s="13">
        <v>132.12551530293561</v>
      </c>
      <c r="K692" s="7">
        <f t="shared" si="20"/>
        <v>129.83594433399597</v>
      </c>
      <c r="L692" s="7">
        <f t="shared" si="21"/>
        <v>117.47061630218683</v>
      </c>
      <c r="M692" s="3" t="s">
        <v>1182</v>
      </c>
    </row>
    <row r="693" spans="1:13" x14ac:dyDescent="0.35">
      <c r="A693" s="11" t="s">
        <v>1738</v>
      </c>
      <c r="B693" s="11" t="s">
        <v>7</v>
      </c>
      <c r="C693" s="11" t="s">
        <v>30</v>
      </c>
      <c r="D693" s="11" t="s">
        <v>114</v>
      </c>
      <c r="E693" s="11" t="s">
        <v>827</v>
      </c>
      <c r="F693" s="20">
        <v>9</v>
      </c>
      <c r="G693" s="21">
        <v>76.23</v>
      </c>
      <c r="H693" s="13">
        <v>123.3860684769776</v>
      </c>
      <c r="I693" s="13">
        <v>110.7768595041322</v>
      </c>
      <c r="J693" s="13">
        <v>133.37532467532469</v>
      </c>
      <c r="K693" s="7">
        <f t="shared" si="20"/>
        <v>129.55537190082649</v>
      </c>
      <c r="L693" s="7">
        <f t="shared" si="21"/>
        <v>117.21676505312871</v>
      </c>
      <c r="M693" s="3" t="s">
        <v>1125</v>
      </c>
    </row>
    <row r="694" spans="1:13" x14ac:dyDescent="0.35">
      <c r="A694" s="11" t="s">
        <v>1739</v>
      </c>
      <c r="B694" s="11" t="s">
        <v>7</v>
      </c>
      <c r="C694" s="11" t="s">
        <v>30</v>
      </c>
      <c r="D694" s="11" t="s">
        <v>114</v>
      </c>
      <c r="E694" s="11" t="s">
        <v>749</v>
      </c>
      <c r="F694" s="20">
        <v>18</v>
      </c>
      <c r="G694" s="21">
        <v>194.92</v>
      </c>
      <c r="H694" s="13">
        <v>121.3253012048193</v>
      </c>
      <c r="I694" s="13">
        <v>99.898092369477894</v>
      </c>
      <c r="J694" s="13">
        <v>134.38237901993861</v>
      </c>
      <c r="K694" s="7">
        <f t="shared" si="20"/>
        <v>127.39156626506026</v>
      </c>
      <c r="L694" s="7">
        <f t="shared" si="21"/>
        <v>115.25903614457833</v>
      </c>
      <c r="M694" s="3" t="s">
        <v>1125</v>
      </c>
    </row>
    <row r="695" spans="1:13" x14ac:dyDescent="0.35">
      <c r="A695" s="11" t="s">
        <v>1033</v>
      </c>
      <c r="B695" s="11" t="s">
        <v>7</v>
      </c>
      <c r="C695" s="11" t="s">
        <v>30</v>
      </c>
      <c r="D695" s="11" t="s">
        <v>114</v>
      </c>
      <c r="E695" s="11" t="s">
        <v>633</v>
      </c>
      <c r="F695" s="20">
        <v>130</v>
      </c>
      <c r="G695" s="21">
        <v>1354.49</v>
      </c>
      <c r="H695" s="13">
        <v>118.3729713237831</v>
      </c>
      <c r="I695" s="13">
        <v>106.7746485488107</v>
      </c>
      <c r="J695" s="13">
        <v>129.4959976440461</v>
      </c>
      <c r="K695" s="7">
        <f t="shared" si="20"/>
        <v>124.29161988997227</v>
      </c>
      <c r="L695" s="7">
        <f t="shared" si="21"/>
        <v>112.45432275759394</v>
      </c>
      <c r="M695" s="3" t="s">
        <v>1125</v>
      </c>
    </row>
    <row r="696" spans="1:13" x14ac:dyDescent="0.35">
      <c r="A696" s="11" t="s">
        <v>1740</v>
      </c>
      <c r="B696" s="11" t="s">
        <v>7</v>
      </c>
      <c r="C696" s="11" t="s">
        <v>30</v>
      </c>
      <c r="D696" s="11" t="s">
        <v>114</v>
      </c>
      <c r="E696" s="11" t="s">
        <v>670</v>
      </c>
      <c r="F696" s="20">
        <v>3</v>
      </c>
      <c r="G696" s="21">
        <v>42.3</v>
      </c>
      <c r="H696" s="13">
        <v>99.35248226950354</v>
      </c>
      <c r="I696" s="13">
        <v>98.182092198581557</v>
      </c>
      <c r="J696" s="13">
        <v>112.1904255319149</v>
      </c>
      <c r="K696" s="7">
        <f t="shared" si="20"/>
        <v>104.32010638297872</v>
      </c>
      <c r="L696" s="7">
        <f t="shared" si="21"/>
        <v>94.384858156028358</v>
      </c>
      <c r="M696" s="3" t="s">
        <v>1231</v>
      </c>
    </row>
    <row r="697" spans="1:13" x14ac:dyDescent="0.35">
      <c r="A697" s="11" t="s">
        <v>1053</v>
      </c>
      <c r="B697" s="11" t="s">
        <v>7</v>
      </c>
      <c r="C697" s="11" t="s">
        <v>30</v>
      </c>
      <c r="D697" s="11" t="s">
        <v>114</v>
      </c>
      <c r="E697" s="11" t="s">
        <v>28</v>
      </c>
      <c r="F697" s="20">
        <v>53</v>
      </c>
      <c r="G697" s="21">
        <v>457.59</v>
      </c>
      <c r="H697" s="13">
        <v>121.1575</v>
      </c>
      <c r="I697" s="13">
        <v>104.21513605442181</v>
      </c>
      <c r="J697" s="13">
        <v>136.82588235294119</v>
      </c>
      <c r="K697" s="7">
        <f t="shared" si="20"/>
        <v>127.21537500000001</v>
      </c>
      <c r="L697" s="7">
        <f t="shared" si="21"/>
        <v>115.09962499999999</v>
      </c>
      <c r="M697" s="3" t="s">
        <v>1125</v>
      </c>
    </row>
    <row r="698" spans="1:13" x14ac:dyDescent="0.35">
      <c r="A698" s="11" t="s">
        <v>1741</v>
      </c>
      <c r="B698" s="11" t="s">
        <v>7</v>
      </c>
      <c r="C698" s="11" t="s">
        <v>30</v>
      </c>
      <c r="D698" s="11" t="s">
        <v>114</v>
      </c>
      <c r="E698" s="11" t="s">
        <v>186</v>
      </c>
      <c r="F698" s="20">
        <v>3</v>
      </c>
      <c r="G698" s="21">
        <v>54.69</v>
      </c>
      <c r="H698" s="13">
        <v>114.0224904004388</v>
      </c>
      <c r="I698" s="13">
        <v>113.41936368623151</v>
      </c>
      <c r="J698" s="13">
        <v>120.5608886450905</v>
      </c>
      <c r="K698" s="7">
        <f t="shared" si="20"/>
        <v>119.72361492046075</v>
      </c>
      <c r="L698" s="7">
        <f t="shared" si="21"/>
        <v>108.32136588041685</v>
      </c>
      <c r="M698" s="3" t="s">
        <v>1226</v>
      </c>
    </row>
    <row r="699" spans="1:13" x14ac:dyDescent="0.35">
      <c r="A699" s="11" t="s">
        <v>1742</v>
      </c>
      <c r="B699" s="11" t="s">
        <v>7</v>
      </c>
      <c r="C699" s="11" t="s">
        <v>30</v>
      </c>
      <c r="D699" s="11" t="s">
        <v>114</v>
      </c>
      <c r="E699" s="11" t="s">
        <v>641</v>
      </c>
      <c r="F699" s="20">
        <v>26</v>
      </c>
      <c r="G699" s="21">
        <v>311.13</v>
      </c>
      <c r="H699" s="13">
        <v>112.0025957386472</v>
      </c>
      <c r="I699" s="13">
        <v>103.19988313124151</v>
      </c>
      <c r="J699" s="13">
        <v>116.4258565200782</v>
      </c>
      <c r="K699" s="7">
        <f t="shared" si="20"/>
        <v>117.60272552557957</v>
      </c>
      <c r="L699" s="7">
        <f t="shared" si="21"/>
        <v>106.40246595171483</v>
      </c>
      <c r="M699" s="3" t="s">
        <v>1231</v>
      </c>
    </row>
    <row r="700" spans="1:13" x14ac:dyDescent="0.35">
      <c r="A700" s="11" t="s">
        <v>1743</v>
      </c>
      <c r="B700" s="11" t="s">
        <v>7</v>
      </c>
      <c r="C700" s="11" t="s">
        <v>30</v>
      </c>
      <c r="D700" s="11" t="s">
        <v>114</v>
      </c>
      <c r="E700" s="11" t="s">
        <v>733</v>
      </c>
      <c r="F700" s="20">
        <v>5</v>
      </c>
      <c r="G700" s="21">
        <v>51.62</v>
      </c>
      <c r="H700" s="13">
        <v>121.5653287788215</v>
      </c>
      <c r="I700" s="13">
        <v>109.1275216138329</v>
      </c>
      <c r="J700" s="13">
        <v>123.2045454545455</v>
      </c>
      <c r="K700" s="7">
        <f t="shared" si="20"/>
        <v>127.64359521776258</v>
      </c>
      <c r="L700" s="7">
        <f t="shared" si="21"/>
        <v>115.48706233988041</v>
      </c>
      <c r="M700" s="3" t="s">
        <v>1226</v>
      </c>
    </row>
    <row r="701" spans="1:13" x14ac:dyDescent="0.35">
      <c r="A701" s="11" t="s">
        <v>1744</v>
      </c>
      <c r="B701" s="11" t="s">
        <v>7</v>
      </c>
      <c r="C701" s="11" t="s">
        <v>30</v>
      </c>
      <c r="D701" s="11" t="s">
        <v>114</v>
      </c>
      <c r="E701" s="11" t="s">
        <v>790</v>
      </c>
      <c r="F701" s="20">
        <v>2</v>
      </c>
      <c r="G701" s="21">
        <v>18.760000000000002</v>
      </c>
      <c r="H701" s="13">
        <v>108.7001599147121</v>
      </c>
      <c r="I701" s="13">
        <v>107.58168976545841</v>
      </c>
      <c r="J701" s="13">
        <v>109.8186300639659</v>
      </c>
      <c r="K701" s="7">
        <f t="shared" si="20"/>
        <v>114.13516791044771</v>
      </c>
      <c r="L701" s="7">
        <f t="shared" si="21"/>
        <v>103.2651519189765</v>
      </c>
      <c r="M701" s="3" t="s">
        <v>1226</v>
      </c>
    </row>
    <row r="702" spans="1:13" x14ac:dyDescent="0.35">
      <c r="A702" s="11" t="s">
        <v>1745</v>
      </c>
      <c r="B702" s="11" t="s">
        <v>7</v>
      </c>
      <c r="C702" s="11" t="s">
        <v>30</v>
      </c>
      <c r="D702" s="11" t="s">
        <v>114</v>
      </c>
      <c r="E702" s="11" t="s">
        <v>131</v>
      </c>
      <c r="F702" s="20">
        <v>82</v>
      </c>
      <c r="G702" s="21">
        <v>935.81</v>
      </c>
      <c r="H702" s="13">
        <v>122.8535644191732</v>
      </c>
      <c r="I702" s="13">
        <v>112.21751770285189</v>
      </c>
      <c r="J702" s="13">
        <v>134.75768866448831</v>
      </c>
      <c r="K702" s="7">
        <f t="shared" si="20"/>
        <v>128.99624264013187</v>
      </c>
      <c r="L702" s="7">
        <f t="shared" si="21"/>
        <v>116.71088619821452</v>
      </c>
      <c r="M702" s="3" t="s">
        <v>1125</v>
      </c>
    </row>
    <row r="703" spans="1:13" x14ac:dyDescent="0.35">
      <c r="A703" s="11" t="s">
        <v>1746</v>
      </c>
      <c r="B703" s="11" t="s">
        <v>7</v>
      </c>
      <c r="C703" s="11" t="s">
        <v>30</v>
      </c>
      <c r="D703" s="11" t="s">
        <v>1181</v>
      </c>
      <c r="E703" s="11" t="s">
        <v>131</v>
      </c>
      <c r="F703" s="20">
        <v>1</v>
      </c>
      <c r="G703" s="21">
        <v>5.85</v>
      </c>
      <c r="H703" s="13">
        <v>126.26153846153851</v>
      </c>
      <c r="I703" s="13">
        <v>126.26153846153851</v>
      </c>
      <c r="J703" s="13">
        <v>126.26153846153851</v>
      </c>
      <c r="K703" s="7">
        <f t="shared" si="20"/>
        <v>132.57461538461544</v>
      </c>
      <c r="L703" s="7">
        <f t="shared" si="21"/>
        <v>119.94846153846157</v>
      </c>
      <c r="M703" s="3" t="s">
        <v>1327</v>
      </c>
    </row>
    <row r="704" spans="1:13" x14ac:dyDescent="0.35">
      <c r="A704" s="11" t="s">
        <v>1747</v>
      </c>
      <c r="B704" s="11" t="s">
        <v>7</v>
      </c>
      <c r="C704" s="11" t="s">
        <v>30</v>
      </c>
      <c r="D704" s="11" t="s">
        <v>972</v>
      </c>
      <c r="E704" s="11" t="s">
        <v>364</v>
      </c>
      <c r="F704" s="20">
        <v>1</v>
      </c>
      <c r="G704" s="21">
        <v>6.03</v>
      </c>
      <c r="H704" s="13">
        <v>121.98673300165839</v>
      </c>
      <c r="I704" s="13">
        <v>121.98673300165839</v>
      </c>
      <c r="J704" s="13">
        <v>121.98673300165839</v>
      </c>
      <c r="K704" s="7">
        <f t="shared" si="20"/>
        <v>128.08606965174133</v>
      </c>
      <c r="L704" s="7">
        <f t="shared" si="21"/>
        <v>115.88739635157548</v>
      </c>
      <c r="M704" s="3" t="s">
        <v>1189</v>
      </c>
    </row>
    <row r="705" spans="1:13" x14ac:dyDescent="0.35">
      <c r="A705" s="11" t="s">
        <v>1748</v>
      </c>
      <c r="B705" s="11" t="s">
        <v>7</v>
      </c>
      <c r="C705" s="11" t="s">
        <v>30</v>
      </c>
      <c r="D705" s="11" t="s">
        <v>972</v>
      </c>
      <c r="E705" s="11" t="s">
        <v>502</v>
      </c>
      <c r="F705" s="20">
        <v>1</v>
      </c>
      <c r="G705" s="21">
        <v>8.32</v>
      </c>
      <c r="H705" s="13">
        <v>114.5096153846154</v>
      </c>
      <c r="I705" s="13">
        <v>114.5096153846154</v>
      </c>
      <c r="J705" s="13">
        <v>114.5096153846154</v>
      </c>
      <c r="K705" s="7">
        <f t="shared" si="20"/>
        <v>120.23509615384617</v>
      </c>
      <c r="L705" s="7">
        <f t="shared" si="21"/>
        <v>108.78413461538463</v>
      </c>
      <c r="M705" s="3" t="s">
        <v>1189</v>
      </c>
    </row>
    <row r="706" spans="1:13" x14ac:dyDescent="0.35">
      <c r="A706" s="11" t="s">
        <v>1749</v>
      </c>
      <c r="B706" s="11" t="s">
        <v>7</v>
      </c>
      <c r="C706" s="11" t="s">
        <v>30</v>
      </c>
      <c r="D706" s="11" t="s">
        <v>972</v>
      </c>
      <c r="E706" s="11" t="s">
        <v>667</v>
      </c>
      <c r="F706" s="20">
        <v>10</v>
      </c>
      <c r="G706" s="21">
        <v>49.4</v>
      </c>
      <c r="H706" s="13">
        <v>108.0708502024291</v>
      </c>
      <c r="I706" s="13">
        <v>89.187702429149795</v>
      </c>
      <c r="J706" s="13">
        <v>128.61594129554649</v>
      </c>
      <c r="K706" s="7">
        <f t="shared" si="20"/>
        <v>113.47439271255055</v>
      </c>
      <c r="L706" s="7">
        <f t="shared" si="21"/>
        <v>102.66730769230765</v>
      </c>
      <c r="M706" s="3" t="s">
        <v>1125</v>
      </c>
    </row>
    <row r="707" spans="1:13" x14ac:dyDescent="0.35">
      <c r="A707" s="11" t="s">
        <v>973</v>
      </c>
      <c r="B707" s="11" t="s">
        <v>7</v>
      </c>
      <c r="C707" s="11" t="s">
        <v>30</v>
      </c>
      <c r="D707" s="11" t="s">
        <v>972</v>
      </c>
      <c r="E707" s="11" t="s">
        <v>633</v>
      </c>
      <c r="F707" s="20">
        <v>29</v>
      </c>
      <c r="G707" s="21">
        <v>202.46</v>
      </c>
      <c r="H707" s="13">
        <v>107.7068493150685</v>
      </c>
      <c r="I707" s="13">
        <v>101.8470790378007</v>
      </c>
      <c r="J707" s="13">
        <v>126.28006872852229</v>
      </c>
      <c r="K707" s="7">
        <f t="shared" si="20"/>
        <v>113.09219178082192</v>
      </c>
      <c r="L707" s="7">
        <f t="shared" si="21"/>
        <v>102.32150684931507</v>
      </c>
      <c r="M707" s="3" t="s">
        <v>1125</v>
      </c>
    </row>
    <row r="708" spans="1:13" x14ac:dyDescent="0.35">
      <c r="A708" s="11" t="s">
        <v>1750</v>
      </c>
      <c r="B708" s="11" t="s">
        <v>7</v>
      </c>
      <c r="C708" s="11" t="s">
        <v>30</v>
      </c>
      <c r="D708" s="11" t="s">
        <v>972</v>
      </c>
      <c r="E708" s="11" t="s">
        <v>670</v>
      </c>
      <c r="F708" s="20">
        <v>7</v>
      </c>
      <c r="G708" s="21">
        <v>72.52</v>
      </c>
      <c r="H708" s="13">
        <v>122.8011583011583</v>
      </c>
      <c r="I708" s="13">
        <v>114.0268822393822</v>
      </c>
      <c r="J708" s="13">
        <v>134.07311776061781</v>
      </c>
      <c r="K708" s="7">
        <f t="shared" si="20"/>
        <v>128.94121621621622</v>
      </c>
      <c r="L708" s="7">
        <f t="shared" si="21"/>
        <v>116.66110038610037</v>
      </c>
      <c r="M708" s="3" t="s">
        <v>1182</v>
      </c>
    </row>
    <row r="709" spans="1:13" x14ac:dyDescent="0.35">
      <c r="A709" s="11" t="s">
        <v>1751</v>
      </c>
      <c r="B709" s="11" t="s">
        <v>7</v>
      </c>
      <c r="C709" s="11" t="s">
        <v>30</v>
      </c>
      <c r="D709" s="11" t="s">
        <v>972</v>
      </c>
      <c r="E709" s="11" t="s">
        <v>28</v>
      </c>
      <c r="F709" s="20">
        <v>7</v>
      </c>
      <c r="G709" s="21">
        <v>60.640000000000008</v>
      </c>
      <c r="H709" s="13">
        <v>120.2830080367394</v>
      </c>
      <c r="I709" s="13">
        <v>105.7468023255814</v>
      </c>
      <c r="J709" s="13">
        <v>135.23682148292531</v>
      </c>
      <c r="K709" s="7">
        <f t="shared" ref="K709:K772" si="22">H709*(1+$B$2)</f>
        <v>126.29715843857637</v>
      </c>
      <c r="L709" s="7">
        <f t="shared" ref="L709:L772" si="23">H709*(1-$B$2)</f>
        <v>114.26885763490243</v>
      </c>
      <c r="M709" s="3" t="s">
        <v>1231</v>
      </c>
    </row>
    <row r="710" spans="1:13" x14ac:dyDescent="0.35">
      <c r="A710" s="11" t="s">
        <v>1752</v>
      </c>
      <c r="B710" s="11" t="s">
        <v>7</v>
      </c>
      <c r="C710" s="11" t="s">
        <v>30</v>
      </c>
      <c r="D710" s="11" t="s">
        <v>972</v>
      </c>
      <c r="E710" s="11" t="s">
        <v>641</v>
      </c>
      <c r="F710" s="20">
        <v>1</v>
      </c>
      <c r="G710" s="21">
        <v>4.67</v>
      </c>
      <c r="H710" s="13">
        <v>111.75802997858671</v>
      </c>
      <c r="I710" s="13">
        <v>111.75802997858671</v>
      </c>
      <c r="J710" s="13">
        <v>111.75802997858671</v>
      </c>
      <c r="K710" s="7">
        <f t="shared" si="22"/>
        <v>117.34593147751605</v>
      </c>
      <c r="L710" s="7">
        <f t="shared" si="23"/>
        <v>106.17012847965736</v>
      </c>
      <c r="M710" s="3" t="s">
        <v>1189</v>
      </c>
    </row>
    <row r="711" spans="1:13" x14ac:dyDescent="0.35">
      <c r="A711" s="11" t="s">
        <v>1753</v>
      </c>
      <c r="B711" s="11" t="s">
        <v>7</v>
      </c>
      <c r="C711" s="11" t="s">
        <v>30</v>
      </c>
      <c r="D711" s="11" t="s">
        <v>972</v>
      </c>
      <c r="E711" s="11" t="s">
        <v>131</v>
      </c>
      <c r="F711" s="20">
        <v>3</v>
      </c>
      <c r="G711" s="21">
        <v>11.74</v>
      </c>
      <c r="H711" s="13">
        <v>102.2419825072886</v>
      </c>
      <c r="I711" s="13">
        <v>102.0390240405296</v>
      </c>
      <c r="J711" s="13">
        <v>111.1291879749558</v>
      </c>
      <c r="K711" s="7">
        <f t="shared" si="22"/>
        <v>107.35408163265303</v>
      </c>
      <c r="L711" s="7">
        <f t="shared" si="23"/>
        <v>97.129883381924159</v>
      </c>
      <c r="M711" s="3" t="s">
        <v>1185</v>
      </c>
    </row>
    <row r="712" spans="1:13" x14ac:dyDescent="0.35">
      <c r="A712" s="11" t="s">
        <v>1754</v>
      </c>
      <c r="B712" s="11" t="s">
        <v>7</v>
      </c>
      <c r="C712" s="11" t="s">
        <v>30</v>
      </c>
      <c r="D712" s="11" t="s">
        <v>1649</v>
      </c>
      <c r="E712" s="11" t="s">
        <v>667</v>
      </c>
      <c r="F712" s="20">
        <v>1</v>
      </c>
      <c r="G712" s="21">
        <v>7.92</v>
      </c>
      <c r="H712" s="13">
        <v>174.02272727272731</v>
      </c>
      <c r="I712" s="13">
        <v>174.02272727272731</v>
      </c>
      <c r="J712" s="13">
        <v>174.02272727272731</v>
      </c>
      <c r="K712" s="7">
        <f t="shared" si="22"/>
        <v>182.72386363636369</v>
      </c>
      <c r="L712" s="7">
        <f t="shared" si="23"/>
        <v>165.32159090909093</v>
      </c>
      <c r="M712" s="3" t="s">
        <v>1626</v>
      </c>
    </row>
    <row r="713" spans="1:13" x14ac:dyDescent="0.35">
      <c r="A713" s="11" t="s">
        <v>1755</v>
      </c>
      <c r="B713" s="11" t="s">
        <v>7</v>
      </c>
      <c r="C713" s="11" t="s">
        <v>30</v>
      </c>
      <c r="D713" s="11" t="s">
        <v>1649</v>
      </c>
      <c r="E713" s="11" t="s">
        <v>28</v>
      </c>
      <c r="F713" s="20">
        <v>1</v>
      </c>
      <c r="G713" s="21">
        <v>1.330000000000001</v>
      </c>
      <c r="H713" s="13">
        <v>169.16541353383451</v>
      </c>
      <c r="I713" s="13">
        <v>169.16541353383451</v>
      </c>
      <c r="J713" s="13">
        <v>169.16541353383451</v>
      </c>
      <c r="K713" s="7">
        <f t="shared" si="22"/>
        <v>177.62368421052625</v>
      </c>
      <c r="L713" s="7">
        <f t="shared" si="23"/>
        <v>160.70714285714277</v>
      </c>
      <c r="M713" s="3" t="s">
        <v>1292</v>
      </c>
    </row>
    <row r="714" spans="1:13" x14ac:dyDescent="0.35">
      <c r="A714" s="11" t="s">
        <v>1756</v>
      </c>
      <c r="B714" s="11" t="s">
        <v>7</v>
      </c>
      <c r="C714" s="11" t="s">
        <v>30</v>
      </c>
      <c r="D714" s="11" t="s">
        <v>1005</v>
      </c>
      <c r="E714" s="11" t="s">
        <v>364</v>
      </c>
      <c r="F714" s="20">
        <v>7</v>
      </c>
      <c r="G714" s="21">
        <v>77.98</v>
      </c>
      <c r="H714" s="13">
        <v>96.759425493716336</v>
      </c>
      <c r="I714" s="13">
        <v>85.982271095152612</v>
      </c>
      <c r="J714" s="13">
        <v>117.3049820466786</v>
      </c>
      <c r="K714" s="7">
        <f t="shared" si="22"/>
        <v>101.59739676840216</v>
      </c>
      <c r="L714" s="7">
        <f t="shared" si="23"/>
        <v>91.921454219030508</v>
      </c>
      <c r="M714" s="3" t="s">
        <v>1525</v>
      </c>
    </row>
    <row r="715" spans="1:13" x14ac:dyDescent="0.35">
      <c r="A715" s="11" t="s">
        <v>1757</v>
      </c>
      <c r="B715" s="11" t="s">
        <v>7</v>
      </c>
      <c r="C715" s="11" t="s">
        <v>30</v>
      </c>
      <c r="D715" s="11" t="s">
        <v>1005</v>
      </c>
      <c r="E715" s="11" t="s">
        <v>502</v>
      </c>
      <c r="F715" s="20">
        <v>15</v>
      </c>
      <c r="G715" s="21">
        <v>113.02</v>
      </c>
      <c r="H715" s="13">
        <v>102.4102163461538</v>
      </c>
      <c r="I715" s="13">
        <v>95.228333333333339</v>
      </c>
      <c r="J715" s="13">
        <v>125.28919413919409</v>
      </c>
      <c r="K715" s="7">
        <f t="shared" si="22"/>
        <v>107.53072716346149</v>
      </c>
      <c r="L715" s="7">
        <f t="shared" si="23"/>
        <v>97.289705528846113</v>
      </c>
      <c r="M715" s="3" t="s">
        <v>1152</v>
      </c>
    </row>
    <row r="716" spans="1:13" x14ac:dyDescent="0.35">
      <c r="A716" s="11" t="s">
        <v>1758</v>
      </c>
      <c r="B716" s="11" t="s">
        <v>7</v>
      </c>
      <c r="C716" s="11" t="s">
        <v>30</v>
      </c>
      <c r="D716" s="11" t="s">
        <v>1005</v>
      </c>
      <c r="E716" s="11" t="s">
        <v>499</v>
      </c>
      <c r="F716" s="20">
        <v>12</v>
      </c>
      <c r="G716" s="21">
        <v>68.44</v>
      </c>
      <c r="H716" s="13">
        <v>126.14894179894181</v>
      </c>
      <c r="I716" s="13">
        <v>116.1168430335097</v>
      </c>
      <c r="J716" s="13">
        <v>130.1882013736784</v>
      </c>
      <c r="K716" s="7">
        <f t="shared" si="22"/>
        <v>132.45638888888891</v>
      </c>
      <c r="L716" s="7">
        <f t="shared" si="23"/>
        <v>119.84149470899472</v>
      </c>
      <c r="M716" s="3" t="s">
        <v>1125</v>
      </c>
    </row>
    <row r="717" spans="1:13" x14ac:dyDescent="0.35">
      <c r="A717" s="11" t="s">
        <v>1066</v>
      </c>
      <c r="B717" s="11" t="s">
        <v>7</v>
      </c>
      <c r="C717" s="11" t="s">
        <v>30</v>
      </c>
      <c r="D717" s="11" t="s">
        <v>1005</v>
      </c>
      <c r="E717" s="11" t="s">
        <v>35</v>
      </c>
      <c r="F717" s="20">
        <v>66</v>
      </c>
      <c r="G717" s="21">
        <v>793.3</v>
      </c>
      <c r="H717" s="13">
        <v>123.4504776588506</v>
      </c>
      <c r="I717" s="13">
        <v>114.0167973684611</v>
      </c>
      <c r="J717" s="13">
        <v>134.23637592570819</v>
      </c>
      <c r="K717" s="7">
        <f t="shared" si="22"/>
        <v>129.62300154179314</v>
      </c>
      <c r="L717" s="7">
        <f t="shared" si="23"/>
        <v>117.27795377590806</v>
      </c>
      <c r="M717" s="3" t="s">
        <v>1125</v>
      </c>
    </row>
    <row r="718" spans="1:13" x14ac:dyDescent="0.35">
      <c r="A718" s="11" t="s">
        <v>1759</v>
      </c>
      <c r="B718" s="11" t="s">
        <v>7</v>
      </c>
      <c r="C718" s="11" t="s">
        <v>30</v>
      </c>
      <c r="D718" s="11" t="s">
        <v>1005</v>
      </c>
      <c r="E718" s="11" t="s">
        <v>169</v>
      </c>
      <c r="F718" s="20">
        <v>6</v>
      </c>
      <c r="G718" s="21">
        <v>92.11</v>
      </c>
      <c r="H718" s="13">
        <v>107.7648852632975</v>
      </c>
      <c r="I718" s="13">
        <v>98.257103064066854</v>
      </c>
      <c r="J718" s="13">
        <v>113.5873896898209</v>
      </c>
      <c r="K718" s="7">
        <f t="shared" si="22"/>
        <v>113.15312952646238</v>
      </c>
      <c r="L718" s="7">
        <f t="shared" si="23"/>
        <v>102.37664100013262</v>
      </c>
      <c r="M718" s="3" t="s">
        <v>1231</v>
      </c>
    </row>
    <row r="719" spans="1:13" x14ac:dyDescent="0.35">
      <c r="A719" s="11" t="s">
        <v>1760</v>
      </c>
      <c r="B719" s="11" t="s">
        <v>7</v>
      </c>
      <c r="C719" s="11" t="s">
        <v>30</v>
      </c>
      <c r="D719" s="11" t="s">
        <v>1005</v>
      </c>
      <c r="E719" s="11" t="s">
        <v>667</v>
      </c>
      <c r="F719" s="20">
        <v>16</v>
      </c>
      <c r="G719" s="21">
        <v>180.24</v>
      </c>
      <c r="H719" s="13">
        <v>113.60390718100371</v>
      </c>
      <c r="I719" s="13">
        <v>107.53790404654001</v>
      </c>
      <c r="J719" s="13">
        <v>121.3899027133027</v>
      </c>
      <c r="K719" s="7">
        <f t="shared" si="22"/>
        <v>119.28410254005389</v>
      </c>
      <c r="L719" s="7">
        <f t="shared" si="23"/>
        <v>107.92371182195352</v>
      </c>
      <c r="M719" s="3" t="s">
        <v>1152</v>
      </c>
    </row>
    <row r="720" spans="1:13" x14ac:dyDescent="0.35">
      <c r="A720" s="11" t="s">
        <v>1069</v>
      </c>
      <c r="B720" s="11" t="s">
        <v>7</v>
      </c>
      <c r="C720" s="11" t="s">
        <v>30</v>
      </c>
      <c r="D720" s="11" t="s">
        <v>1005</v>
      </c>
      <c r="E720" s="11" t="s">
        <v>730</v>
      </c>
      <c r="F720" s="20">
        <v>18</v>
      </c>
      <c r="G720" s="21">
        <v>126.46</v>
      </c>
      <c r="H720" s="13">
        <v>129.38610478359911</v>
      </c>
      <c r="I720" s="13">
        <v>118.4645113059286</v>
      </c>
      <c r="J720" s="13">
        <v>143.12807183364839</v>
      </c>
      <c r="K720" s="7">
        <f t="shared" si="22"/>
        <v>135.85541002277907</v>
      </c>
      <c r="L720" s="7">
        <f t="shared" si="23"/>
        <v>122.91679954441915</v>
      </c>
      <c r="M720" s="3" t="s">
        <v>1125</v>
      </c>
    </row>
    <row r="721" spans="1:13" x14ac:dyDescent="0.35">
      <c r="A721" s="11" t="s">
        <v>1761</v>
      </c>
      <c r="B721" s="11" t="s">
        <v>7</v>
      </c>
      <c r="C721" s="11" t="s">
        <v>30</v>
      </c>
      <c r="D721" s="11" t="s">
        <v>1005</v>
      </c>
      <c r="E721" s="11" t="s">
        <v>122</v>
      </c>
      <c r="F721" s="20">
        <v>6</v>
      </c>
      <c r="G721" s="21">
        <v>102.54</v>
      </c>
      <c r="H721" s="13">
        <v>130.2627559976595</v>
      </c>
      <c r="I721" s="13">
        <v>124.2844938560562</v>
      </c>
      <c r="J721" s="13">
        <v>137.05539789350499</v>
      </c>
      <c r="K721" s="7">
        <f t="shared" si="22"/>
        <v>136.77589379754247</v>
      </c>
      <c r="L721" s="7">
        <f t="shared" si="23"/>
        <v>123.74961819777651</v>
      </c>
      <c r="M721" s="3" t="s">
        <v>1182</v>
      </c>
    </row>
    <row r="722" spans="1:13" x14ac:dyDescent="0.35">
      <c r="A722" s="11" t="s">
        <v>1762</v>
      </c>
      <c r="B722" s="11" t="s">
        <v>7</v>
      </c>
      <c r="C722" s="11" t="s">
        <v>30</v>
      </c>
      <c r="D722" s="11" t="s">
        <v>1005</v>
      </c>
      <c r="E722" s="11" t="s">
        <v>827</v>
      </c>
      <c r="F722" s="20">
        <v>5</v>
      </c>
      <c r="G722" s="21">
        <v>67.8</v>
      </c>
      <c r="H722" s="13">
        <v>118.3967551622419</v>
      </c>
      <c r="I722" s="13">
        <v>104.32374631268441</v>
      </c>
      <c r="J722" s="13">
        <v>122.2912979351032</v>
      </c>
      <c r="K722" s="7">
        <f t="shared" si="22"/>
        <v>124.316592920354</v>
      </c>
      <c r="L722" s="7">
        <f t="shared" si="23"/>
        <v>112.47691740412981</v>
      </c>
      <c r="M722" s="3" t="s">
        <v>1240</v>
      </c>
    </row>
    <row r="723" spans="1:13" x14ac:dyDescent="0.35">
      <c r="A723" s="11" t="s">
        <v>1763</v>
      </c>
      <c r="B723" s="11" t="s">
        <v>7</v>
      </c>
      <c r="C723" s="11" t="s">
        <v>30</v>
      </c>
      <c r="D723" s="11" t="s">
        <v>1005</v>
      </c>
      <c r="E723" s="11" t="s">
        <v>633</v>
      </c>
      <c r="F723" s="20">
        <v>4</v>
      </c>
      <c r="G723" s="21">
        <v>31.08</v>
      </c>
      <c r="H723" s="13">
        <v>117.0776865121136</v>
      </c>
      <c r="I723" s="13">
        <v>113.05894039735099</v>
      </c>
      <c r="J723" s="13">
        <v>123.0312891113892</v>
      </c>
      <c r="K723" s="7">
        <f t="shared" si="22"/>
        <v>122.93157083771929</v>
      </c>
      <c r="L723" s="7">
        <f t="shared" si="23"/>
        <v>111.22380218650791</v>
      </c>
      <c r="M723" s="3" t="s">
        <v>1226</v>
      </c>
    </row>
    <row r="724" spans="1:13" x14ac:dyDescent="0.35">
      <c r="A724" s="11" t="s">
        <v>1006</v>
      </c>
      <c r="B724" s="11" t="s">
        <v>7</v>
      </c>
      <c r="C724" s="11" t="s">
        <v>30</v>
      </c>
      <c r="D724" s="11" t="s">
        <v>1005</v>
      </c>
      <c r="E724" s="11" t="s">
        <v>28</v>
      </c>
      <c r="F724" s="20">
        <v>28</v>
      </c>
      <c r="G724" s="21">
        <v>182</v>
      </c>
      <c r="H724" s="13">
        <v>135.26493415974741</v>
      </c>
      <c r="I724" s="13">
        <v>121.71171346213831</v>
      </c>
      <c r="J724" s="13">
        <v>148.3914980704011</v>
      </c>
      <c r="K724" s="7">
        <f t="shared" si="22"/>
        <v>142.02818086773479</v>
      </c>
      <c r="L724" s="7">
        <f t="shared" si="23"/>
        <v>128.50168745176003</v>
      </c>
      <c r="M724" s="3" t="s">
        <v>1125</v>
      </c>
    </row>
    <row r="725" spans="1:13" x14ac:dyDescent="0.35">
      <c r="A725" s="11" t="s">
        <v>1764</v>
      </c>
      <c r="B725" s="11" t="s">
        <v>7</v>
      </c>
      <c r="C725" s="11" t="s">
        <v>30</v>
      </c>
      <c r="D725" s="11" t="s">
        <v>1005</v>
      </c>
      <c r="E725" s="11" t="s">
        <v>641</v>
      </c>
      <c r="F725" s="20">
        <v>5</v>
      </c>
      <c r="G725" s="21">
        <v>36.700000000000003</v>
      </c>
      <c r="H725" s="13">
        <v>120.2431034482759</v>
      </c>
      <c r="I725" s="13">
        <v>107.3340740740741</v>
      </c>
      <c r="J725" s="13">
        <v>123.70517241379309</v>
      </c>
      <c r="K725" s="7">
        <f t="shared" si="22"/>
        <v>126.2552586206897</v>
      </c>
      <c r="L725" s="7">
        <f t="shared" si="23"/>
        <v>114.2309482758621</v>
      </c>
      <c r="M725" s="3" t="s">
        <v>1231</v>
      </c>
    </row>
    <row r="726" spans="1:13" x14ac:dyDescent="0.35">
      <c r="A726" s="11" t="s">
        <v>1765</v>
      </c>
      <c r="B726" s="11" t="s">
        <v>7</v>
      </c>
      <c r="C726" s="11" t="s">
        <v>30</v>
      </c>
      <c r="D726" s="11" t="s">
        <v>1005</v>
      </c>
      <c r="E726" s="11" t="s">
        <v>733</v>
      </c>
      <c r="F726" s="20">
        <v>8</v>
      </c>
      <c r="G726" s="21">
        <v>62.87</v>
      </c>
      <c r="H726" s="13">
        <v>111.4963436928702</v>
      </c>
      <c r="I726" s="13">
        <v>103.9805873574533</v>
      </c>
      <c r="J726" s="13">
        <v>119.2487500410067</v>
      </c>
      <c r="K726" s="7">
        <f t="shared" si="22"/>
        <v>117.07116087751372</v>
      </c>
      <c r="L726" s="7">
        <f t="shared" si="23"/>
        <v>105.92152650822668</v>
      </c>
      <c r="M726" s="3" t="s">
        <v>1231</v>
      </c>
    </row>
    <row r="727" spans="1:13" x14ac:dyDescent="0.35">
      <c r="A727" s="11" t="s">
        <v>1766</v>
      </c>
      <c r="B727" s="11" t="s">
        <v>7</v>
      </c>
      <c r="C727" s="11" t="s">
        <v>30</v>
      </c>
      <c r="D727" s="11" t="s">
        <v>1005</v>
      </c>
      <c r="E727" s="11" t="s">
        <v>131</v>
      </c>
      <c r="F727" s="20">
        <v>6</v>
      </c>
      <c r="G727" s="21">
        <v>42.85</v>
      </c>
      <c r="H727" s="13">
        <v>109.6960414751251</v>
      </c>
      <c r="I727" s="13">
        <v>105.33440851976709</v>
      </c>
      <c r="J727" s="13">
        <v>116.7086321381142</v>
      </c>
      <c r="K727" s="7">
        <f t="shared" si="22"/>
        <v>115.18084354888136</v>
      </c>
      <c r="L727" s="7">
        <f t="shared" si="23"/>
        <v>104.21123940136884</v>
      </c>
      <c r="M727" s="3" t="s">
        <v>1182</v>
      </c>
    </row>
    <row r="728" spans="1:13" x14ac:dyDescent="0.35">
      <c r="A728" s="11" t="s">
        <v>1767</v>
      </c>
      <c r="B728" s="11" t="s">
        <v>7</v>
      </c>
      <c r="C728" s="11" t="s">
        <v>30</v>
      </c>
      <c r="D728" s="11" t="s">
        <v>1652</v>
      </c>
      <c r="E728" s="11" t="s">
        <v>667</v>
      </c>
      <c r="F728" s="20">
        <v>3</v>
      </c>
      <c r="G728" s="21">
        <v>24.1</v>
      </c>
      <c r="H728" s="13">
        <v>115.2867737948084</v>
      </c>
      <c r="I728" s="13">
        <v>112.1332858873032</v>
      </c>
      <c r="J728" s="13">
        <v>116.2997527812114</v>
      </c>
      <c r="K728" s="7">
        <f t="shared" si="22"/>
        <v>121.05111248454882</v>
      </c>
      <c r="L728" s="7">
        <f t="shared" si="23"/>
        <v>109.52243510506797</v>
      </c>
      <c r="M728" s="3" t="s">
        <v>1185</v>
      </c>
    </row>
    <row r="729" spans="1:13" x14ac:dyDescent="0.35">
      <c r="A729" s="11" t="s">
        <v>1768</v>
      </c>
      <c r="B729" s="11" t="s">
        <v>7</v>
      </c>
      <c r="C729" s="11" t="s">
        <v>30</v>
      </c>
      <c r="D729" s="11" t="s">
        <v>1652</v>
      </c>
      <c r="E729" s="11" t="s">
        <v>633</v>
      </c>
      <c r="F729" s="20">
        <v>3</v>
      </c>
      <c r="G729" s="21">
        <v>9.0299999999999994</v>
      </c>
      <c r="H729" s="13">
        <v>138.10631229235881</v>
      </c>
      <c r="I729" s="13">
        <v>127.6129568106312</v>
      </c>
      <c r="J729" s="13">
        <v>139.42857142857139</v>
      </c>
      <c r="K729" s="7">
        <f t="shared" si="22"/>
        <v>145.01162790697674</v>
      </c>
      <c r="L729" s="7">
        <f t="shared" si="23"/>
        <v>131.20099667774087</v>
      </c>
      <c r="M729" s="3" t="s">
        <v>1226</v>
      </c>
    </row>
    <row r="730" spans="1:13" x14ac:dyDescent="0.35">
      <c r="A730" s="11" t="s">
        <v>1769</v>
      </c>
      <c r="B730" s="11" t="s">
        <v>7</v>
      </c>
      <c r="C730" s="11" t="s">
        <v>30</v>
      </c>
      <c r="D730" s="11" t="s">
        <v>1652</v>
      </c>
      <c r="E730" s="11" t="s">
        <v>641</v>
      </c>
      <c r="F730" s="20">
        <v>1</v>
      </c>
      <c r="G730" s="21">
        <v>13.62</v>
      </c>
      <c r="H730" s="13">
        <v>102.374449339207</v>
      </c>
      <c r="I730" s="13">
        <v>102.374449339207</v>
      </c>
      <c r="J730" s="13">
        <v>102.374449339207</v>
      </c>
      <c r="K730" s="7">
        <f t="shared" si="22"/>
        <v>107.49317180616735</v>
      </c>
      <c r="L730" s="7">
        <f t="shared" si="23"/>
        <v>97.255726872246655</v>
      </c>
      <c r="M730" s="3" t="s">
        <v>1189</v>
      </c>
    </row>
    <row r="731" spans="1:13" x14ac:dyDescent="0.35">
      <c r="A731" s="11" t="s">
        <v>1770</v>
      </c>
      <c r="B731" s="11" t="s">
        <v>7</v>
      </c>
      <c r="C731" s="11" t="s">
        <v>30</v>
      </c>
      <c r="D731" s="11" t="s">
        <v>489</v>
      </c>
      <c r="E731" s="11" t="s">
        <v>360</v>
      </c>
      <c r="F731" s="20">
        <v>6</v>
      </c>
      <c r="G731" s="21">
        <v>92.759999999999991</v>
      </c>
      <c r="H731" s="13">
        <v>123.2616551740482</v>
      </c>
      <c r="I731" s="13">
        <v>116.6146530681124</v>
      </c>
      <c r="J731" s="13">
        <v>124.74742866622429</v>
      </c>
      <c r="K731" s="7">
        <f t="shared" si="22"/>
        <v>129.42473793275062</v>
      </c>
      <c r="L731" s="7">
        <f t="shared" si="23"/>
        <v>117.09857241534579</v>
      </c>
      <c r="M731" s="3" t="s">
        <v>1231</v>
      </c>
    </row>
    <row r="732" spans="1:13" x14ac:dyDescent="0.35">
      <c r="A732" s="11" t="s">
        <v>1771</v>
      </c>
      <c r="B732" s="11" t="s">
        <v>7</v>
      </c>
      <c r="C732" s="11" t="s">
        <v>30</v>
      </c>
      <c r="D732" s="11" t="s">
        <v>489</v>
      </c>
      <c r="E732" s="11" t="s">
        <v>364</v>
      </c>
      <c r="F732" s="20">
        <v>5</v>
      </c>
      <c r="G732" s="21">
        <v>39.070000000000007</v>
      </c>
      <c r="H732" s="13">
        <v>127.8456014362657</v>
      </c>
      <c r="I732" s="13">
        <v>125.8815080789946</v>
      </c>
      <c r="J732" s="13">
        <v>138.6890440386681</v>
      </c>
      <c r="K732" s="7">
        <f t="shared" si="22"/>
        <v>134.237881508079</v>
      </c>
      <c r="L732" s="7">
        <f t="shared" si="23"/>
        <v>121.45332136445241</v>
      </c>
      <c r="M732" s="3" t="s">
        <v>1226</v>
      </c>
    </row>
    <row r="733" spans="1:13" x14ac:dyDescent="0.35">
      <c r="A733" s="11" t="s">
        <v>1772</v>
      </c>
      <c r="B733" s="11" t="s">
        <v>7</v>
      </c>
      <c r="C733" s="11" t="s">
        <v>30</v>
      </c>
      <c r="D733" s="11" t="s">
        <v>489</v>
      </c>
      <c r="E733" s="11" t="s">
        <v>39</v>
      </c>
      <c r="F733" s="20">
        <v>12</v>
      </c>
      <c r="G733" s="21">
        <v>109.2</v>
      </c>
      <c r="H733" s="13">
        <v>114.25939011904519</v>
      </c>
      <c r="I733" s="13">
        <v>105.9838797101158</v>
      </c>
      <c r="J733" s="13">
        <v>129.9125766871166</v>
      </c>
      <c r="K733" s="7">
        <f t="shared" si="22"/>
        <v>119.97235962499745</v>
      </c>
      <c r="L733" s="7">
        <f t="shared" si="23"/>
        <v>108.54642061309293</v>
      </c>
      <c r="M733" s="3" t="s">
        <v>1140</v>
      </c>
    </row>
    <row r="734" spans="1:13" x14ac:dyDescent="0.35">
      <c r="A734" s="11" t="s">
        <v>1773</v>
      </c>
      <c r="B734" s="11" t="s">
        <v>7</v>
      </c>
      <c r="C734" s="11" t="s">
        <v>30</v>
      </c>
      <c r="D734" s="11" t="s">
        <v>489</v>
      </c>
      <c r="E734" s="11" t="s">
        <v>502</v>
      </c>
      <c r="F734" s="20">
        <v>16</v>
      </c>
      <c r="G734" s="21">
        <v>152.15</v>
      </c>
      <c r="H734" s="13">
        <v>117.70938592813761</v>
      </c>
      <c r="I734" s="13">
        <v>99.332513217471913</v>
      </c>
      <c r="J734" s="13">
        <v>142.97463765709469</v>
      </c>
      <c r="K734" s="7">
        <f t="shared" si="22"/>
        <v>123.59485522454449</v>
      </c>
      <c r="L734" s="7">
        <f t="shared" si="23"/>
        <v>111.82391663173073</v>
      </c>
      <c r="M734" s="3" t="s">
        <v>1193</v>
      </c>
    </row>
    <row r="735" spans="1:13" x14ac:dyDescent="0.35">
      <c r="A735" s="11" t="s">
        <v>896</v>
      </c>
      <c r="B735" s="11" t="s">
        <v>7</v>
      </c>
      <c r="C735" s="11" t="s">
        <v>30</v>
      </c>
      <c r="D735" s="11" t="s">
        <v>489</v>
      </c>
      <c r="E735" s="11" t="s">
        <v>35</v>
      </c>
      <c r="F735" s="20">
        <v>44</v>
      </c>
      <c r="G735" s="21">
        <v>386.67999999999989</v>
      </c>
      <c r="H735" s="13">
        <v>121.4813241005366</v>
      </c>
      <c r="I735" s="13">
        <v>110.2402956354413</v>
      </c>
      <c r="J735" s="13">
        <v>132.3400420734491</v>
      </c>
      <c r="K735" s="7">
        <f t="shared" si="22"/>
        <v>127.55539030556344</v>
      </c>
      <c r="L735" s="7">
        <f t="shared" si="23"/>
        <v>115.40725789550976</v>
      </c>
      <c r="M735" s="3" t="s">
        <v>1125</v>
      </c>
    </row>
    <row r="736" spans="1:13" x14ac:dyDescent="0.35">
      <c r="A736" s="11" t="s">
        <v>1774</v>
      </c>
      <c r="B736" s="11" t="s">
        <v>7</v>
      </c>
      <c r="C736" s="11" t="s">
        <v>30</v>
      </c>
      <c r="D736" s="11" t="s">
        <v>489</v>
      </c>
      <c r="E736" s="11" t="s">
        <v>169</v>
      </c>
      <c r="F736" s="20">
        <v>3</v>
      </c>
      <c r="G736" s="21">
        <v>30.13</v>
      </c>
      <c r="H736" s="13">
        <v>94.932597105864417</v>
      </c>
      <c r="I736" s="13">
        <v>94.303507855257777</v>
      </c>
      <c r="J736" s="13">
        <v>96.079398324447823</v>
      </c>
      <c r="K736" s="7">
        <f t="shared" si="22"/>
        <v>99.679226961157639</v>
      </c>
      <c r="L736" s="7">
        <f t="shared" si="23"/>
        <v>90.185967250571196</v>
      </c>
      <c r="M736" s="3" t="s">
        <v>1185</v>
      </c>
    </row>
    <row r="737" spans="1:13" x14ac:dyDescent="0.35">
      <c r="A737" s="11" t="s">
        <v>1775</v>
      </c>
      <c r="B737" s="11" t="s">
        <v>7</v>
      </c>
      <c r="C737" s="11" t="s">
        <v>30</v>
      </c>
      <c r="D737" s="11" t="s">
        <v>489</v>
      </c>
      <c r="E737" s="11" t="s">
        <v>667</v>
      </c>
      <c r="F737" s="20">
        <v>4</v>
      </c>
      <c r="G737" s="21">
        <v>41.44</v>
      </c>
      <c r="H737" s="13">
        <v>106.3894787644788</v>
      </c>
      <c r="I737" s="13">
        <v>100.20574324324321</v>
      </c>
      <c r="J737" s="13">
        <v>123.1662644787645</v>
      </c>
      <c r="K737" s="7">
        <f t="shared" si="22"/>
        <v>111.70895270270275</v>
      </c>
      <c r="L737" s="7">
        <f t="shared" si="23"/>
        <v>101.07000482625484</v>
      </c>
      <c r="M737" s="3" t="s">
        <v>1231</v>
      </c>
    </row>
    <row r="738" spans="1:13" x14ac:dyDescent="0.35">
      <c r="A738" s="11" t="s">
        <v>1776</v>
      </c>
      <c r="B738" s="11" t="s">
        <v>7</v>
      </c>
      <c r="C738" s="11" t="s">
        <v>30</v>
      </c>
      <c r="D738" s="11" t="s">
        <v>489</v>
      </c>
      <c r="E738" s="11" t="s">
        <v>633</v>
      </c>
      <c r="F738" s="20">
        <v>15</v>
      </c>
      <c r="G738" s="21">
        <v>90.490000000000009</v>
      </c>
      <c r="H738" s="13">
        <v>135.37108013937279</v>
      </c>
      <c r="I738" s="13">
        <v>121.5631842510745</v>
      </c>
      <c r="J738" s="13">
        <v>146.67787539802941</v>
      </c>
      <c r="K738" s="7">
        <f t="shared" si="22"/>
        <v>142.13963414634145</v>
      </c>
      <c r="L738" s="7">
        <f t="shared" si="23"/>
        <v>128.60252613240414</v>
      </c>
      <c r="M738" s="3" t="s">
        <v>1193</v>
      </c>
    </row>
    <row r="739" spans="1:13" x14ac:dyDescent="0.35">
      <c r="A739" s="11" t="s">
        <v>1777</v>
      </c>
      <c r="B739" s="11" t="s">
        <v>7</v>
      </c>
      <c r="C739" s="11" t="s">
        <v>30</v>
      </c>
      <c r="D739" s="11" t="s">
        <v>489</v>
      </c>
      <c r="E739" s="11" t="s">
        <v>28</v>
      </c>
      <c r="F739" s="20">
        <v>30</v>
      </c>
      <c r="G739" s="21">
        <v>313.70999999999998</v>
      </c>
      <c r="H739" s="13">
        <v>120.8311241458743</v>
      </c>
      <c r="I739" s="13">
        <v>108.09863919176119</v>
      </c>
      <c r="J739" s="13">
        <v>135.07705248990581</v>
      </c>
      <c r="K739" s="7">
        <f t="shared" si="22"/>
        <v>126.87268035316802</v>
      </c>
      <c r="L739" s="7">
        <f t="shared" si="23"/>
        <v>114.78956793858057</v>
      </c>
      <c r="M739" s="3" t="s">
        <v>1152</v>
      </c>
    </row>
    <row r="740" spans="1:13" x14ac:dyDescent="0.35">
      <c r="A740" s="11" t="s">
        <v>1778</v>
      </c>
      <c r="B740" s="11" t="s">
        <v>7</v>
      </c>
      <c r="C740" s="11" t="s">
        <v>30</v>
      </c>
      <c r="D740" s="11" t="s">
        <v>489</v>
      </c>
      <c r="E740" s="11" t="s">
        <v>186</v>
      </c>
      <c r="F740" s="20">
        <v>4</v>
      </c>
      <c r="G740" s="21">
        <v>31.08</v>
      </c>
      <c r="H740" s="13">
        <v>129.03732303732309</v>
      </c>
      <c r="I740" s="13">
        <v>98.651544401544413</v>
      </c>
      <c r="J740" s="13">
        <v>150.62290862290871</v>
      </c>
      <c r="K740" s="7">
        <f t="shared" si="22"/>
        <v>135.48918918918926</v>
      </c>
      <c r="L740" s="7">
        <f t="shared" si="23"/>
        <v>122.58545688545694</v>
      </c>
      <c r="M740" s="3" t="s">
        <v>1231</v>
      </c>
    </row>
    <row r="741" spans="1:13" x14ac:dyDescent="0.35">
      <c r="A741" s="11" t="s">
        <v>1779</v>
      </c>
      <c r="B741" s="11" t="s">
        <v>7</v>
      </c>
      <c r="C741" s="11" t="s">
        <v>30</v>
      </c>
      <c r="D741" s="11" t="s">
        <v>489</v>
      </c>
      <c r="E741" s="11" t="s">
        <v>131</v>
      </c>
      <c r="F741" s="20">
        <v>24</v>
      </c>
      <c r="G741" s="21">
        <v>233.76</v>
      </c>
      <c r="H741" s="13">
        <v>118.26773241715659</v>
      </c>
      <c r="I741" s="13">
        <v>112.2597499067313</v>
      </c>
      <c r="J741" s="13">
        <v>131.02082347373411</v>
      </c>
      <c r="K741" s="7">
        <f t="shared" si="22"/>
        <v>124.18111903801443</v>
      </c>
      <c r="L741" s="7">
        <f t="shared" si="23"/>
        <v>112.35434579629876</v>
      </c>
      <c r="M741" s="3" t="s">
        <v>1182</v>
      </c>
    </row>
    <row r="742" spans="1:13" x14ac:dyDescent="0.35">
      <c r="A742" s="11" t="s">
        <v>1780</v>
      </c>
      <c r="B742" s="11" t="s">
        <v>7</v>
      </c>
      <c r="C742" s="11" t="s">
        <v>30</v>
      </c>
      <c r="D742" s="11" t="s">
        <v>146</v>
      </c>
      <c r="E742" s="11" t="s">
        <v>35</v>
      </c>
      <c r="F742" s="20">
        <v>15</v>
      </c>
      <c r="G742" s="21">
        <v>177.18</v>
      </c>
      <c r="H742" s="13">
        <v>118.4963333333333</v>
      </c>
      <c r="I742" s="13">
        <v>111.4511268209083</v>
      </c>
      <c r="J742" s="13">
        <v>134.59460325801359</v>
      </c>
      <c r="K742" s="7">
        <f t="shared" si="22"/>
        <v>124.42114999999997</v>
      </c>
      <c r="L742" s="7">
        <f t="shared" si="23"/>
        <v>112.57151666666662</v>
      </c>
      <c r="M742" s="3" t="s">
        <v>1193</v>
      </c>
    </row>
    <row r="743" spans="1:13" x14ac:dyDescent="0.35">
      <c r="A743" s="11" t="s">
        <v>1781</v>
      </c>
      <c r="B743" s="11" t="s">
        <v>7</v>
      </c>
      <c r="C743" s="11" t="s">
        <v>30</v>
      </c>
      <c r="D743" s="11" t="s">
        <v>146</v>
      </c>
      <c r="E743" s="11" t="s">
        <v>169</v>
      </c>
      <c r="F743" s="20">
        <v>9</v>
      </c>
      <c r="G743" s="21">
        <v>124.65</v>
      </c>
      <c r="H743" s="13">
        <v>125.8086642599278</v>
      </c>
      <c r="I743" s="13">
        <v>115.97689530685921</v>
      </c>
      <c r="J743" s="13">
        <v>130.05126353790621</v>
      </c>
      <c r="K743" s="7">
        <f t="shared" si="22"/>
        <v>132.0990974729242</v>
      </c>
      <c r="L743" s="7">
        <f t="shared" si="23"/>
        <v>119.5182310469314</v>
      </c>
      <c r="M743" s="3" t="s">
        <v>1152</v>
      </c>
    </row>
    <row r="744" spans="1:13" x14ac:dyDescent="0.35">
      <c r="A744" s="11" t="s">
        <v>832</v>
      </c>
      <c r="B744" s="11" t="s">
        <v>7</v>
      </c>
      <c r="C744" s="11" t="s">
        <v>30</v>
      </c>
      <c r="D744" s="11" t="s">
        <v>146</v>
      </c>
      <c r="E744" s="11" t="s">
        <v>28</v>
      </c>
      <c r="F744" s="20">
        <v>16</v>
      </c>
      <c r="G744" s="21">
        <v>129.32</v>
      </c>
      <c r="H744" s="13">
        <v>117.34150783460299</v>
      </c>
      <c r="I744" s="13">
        <v>105.70516881266551</v>
      </c>
      <c r="J744" s="13">
        <v>133.33893709327549</v>
      </c>
      <c r="K744" s="7">
        <f t="shared" si="22"/>
        <v>123.20858322633315</v>
      </c>
      <c r="L744" s="7">
        <f t="shared" si="23"/>
        <v>111.47443244287284</v>
      </c>
      <c r="M744" s="3" t="s">
        <v>1125</v>
      </c>
    </row>
    <row r="745" spans="1:13" x14ac:dyDescent="0.35">
      <c r="A745" s="11" t="s">
        <v>1782</v>
      </c>
      <c r="B745" s="11" t="s">
        <v>7</v>
      </c>
      <c r="C745" s="11" t="s">
        <v>30</v>
      </c>
      <c r="D745" s="11" t="s">
        <v>146</v>
      </c>
      <c r="E745" s="11" t="s">
        <v>641</v>
      </c>
      <c r="F745" s="20">
        <v>2</v>
      </c>
      <c r="G745" s="21">
        <v>18.260000000000002</v>
      </c>
      <c r="H745" s="13">
        <v>114.88006571741511</v>
      </c>
      <c r="I745" s="13">
        <v>114.1377327491785</v>
      </c>
      <c r="J745" s="13">
        <v>115.6223986856517</v>
      </c>
      <c r="K745" s="7">
        <f t="shared" si="22"/>
        <v>120.62406900328587</v>
      </c>
      <c r="L745" s="7">
        <f t="shared" si="23"/>
        <v>109.13606243154435</v>
      </c>
      <c r="M745" s="3" t="s">
        <v>1511</v>
      </c>
    </row>
    <row r="746" spans="1:13" x14ac:dyDescent="0.35">
      <c r="A746" s="11" t="s">
        <v>1783</v>
      </c>
      <c r="B746" s="11" t="s">
        <v>7</v>
      </c>
      <c r="C746" s="11" t="s">
        <v>30</v>
      </c>
      <c r="D746" s="11" t="s">
        <v>146</v>
      </c>
      <c r="E746" s="11" t="s">
        <v>733</v>
      </c>
      <c r="F746" s="20">
        <v>16</v>
      </c>
      <c r="G746" s="21">
        <v>131.06</v>
      </c>
      <c r="H746" s="13">
        <v>114.61951952303021</v>
      </c>
      <c r="I746" s="13">
        <v>101.4074707241718</v>
      </c>
      <c r="J746" s="13">
        <v>125.47629646948791</v>
      </c>
      <c r="K746" s="7">
        <f t="shared" si="22"/>
        <v>120.35049549918172</v>
      </c>
      <c r="L746" s="7">
        <f t="shared" si="23"/>
        <v>108.88854354687869</v>
      </c>
      <c r="M746" s="3" t="s">
        <v>1127</v>
      </c>
    </row>
    <row r="747" spans="1:13" x14ac:dyDescent="0.35">
      <c r="A747" s="11" t="s">
        <v>1784</v>
      </c>
      <c r="B747" s="11" t="s">
        <v>7</v>
      </c>
      <c r="C747" s="11" t="s">
        <v>30</v>
      </c>
      <c r="D747" s="11" t="s">
        <v>146</v>
      </c>
      <c r="E747" s="11" t="s">
        <v>790</v>
      </c>
      <c r="F747" s="20">
        <v>2</v>
      </c>
      <c r="G747" s="21">
        <v>9.91</v>
      </c>
      <c r="H747" s="13">
        <v>90.105524731340495</v>
      </c>
      <c r="I747" s="13">
        <v>89.6603320867858</v>
      </c>
      <c r="J747" s="13">
        <v>90.550717375895204</v>
      </c>
      <c r="K747" s="7">
        <f t="shared" si="22"/>
        <v>94.610800967907522</v>
      </c>
      <c r="L747" s="7">
        <f t="shared" si="23"/>
        <v>85.600248494773467</v>
      </c>
      <c r="M747" s="3" t="s">
        <v>1511</v>
      </c>
    </row>
    <row r="748" spans="1:13" x14ac:dyDescent="0.35">
      <c r="A748" s="11" t="s">
        <v>1785</v>
      </c>
      <c r="B748" s="11" t="s">
        <v>7</v>
      </c>
      <c r="C748" s="11" t="s">
        <v>30</v>
      </c>
      <c r="D748" s="11" t="s">
        <v>146</v>
      </c>
      <c r="E748" s="11" t="s">
        <v>131</v>
      </c>
      <c r="F748" s="20">
        <v>8</v>
      </c>
      <c r="G748" s="21">
        <v>37.409999999999997</v>
      </c>
      <c r="H748" s="13">
        <v>98.749153849234958</v>
      </c>
      <c r="I748" s="13">
        <v>92.666496435151814</v>
      </c>
      <c r="J748" s="13">
        <v>118.65171608387411</v>
      </c>
      <c r="K748" s="7">
        <f t="shared" si="22"/>
        <v>103.68661154169671</v>
      </c>
      <c r="L748" s="7">
        <f t="shared" si="23"/>
        <v>93.811696156773209</v>
      </c>
      <c r="M748" s="3" t="s">
        <v>1140</v>
      </c>
    </row>
    <row r="749" spans="1:13" x14ac:dyDescent="0.35">
      <c r="A749" s="11" t="s">
        <v>1786</v>
      </c>
      <c r="B749" s="11" t="s">
        <v>7</v>
      </c>
      <c r="C749" s="11" t="s">
        <v>30</v>
      </c>
      <c r="D749" s="11" t="s">
        <v>1197</v>
      </c>
      <c r="E749" s="11" t="s">
        <v>364</v>
      </c>
      <c r="F749" s="20">
        <v>2</v>
      </c>
      <c r="G749" s="21">
        <v>35.56</v>
      </c>
      <c r="H749" s="13">
        <v>104.2124578177728</v>
      </c>
      <c r="I749" s="13">
        <v>101.2708802024747</v>
      </c>
      <c r="J749" s="13">
        <v>107.1540354330709</v>
      </c>
      <c r="K749" s="7">
        <f t="shared" si="22"/>
        <v>109.42308070866144</v>
      </c>
      <c r="L749" s="7">
        <f t="shared" si="23"/>
        <v>99.001834926884158</v>
      </c>
      <c r="M749" s="3" t="s">
        <v>1787</v>
      </c>
    </row>
    <row r="750" spans="1:13" x14ac:dyDescent="0.35">
      <c r="A750" s="11" t="s">
        <v>1788</v>
      </c>
      <c r="B750" s="11" t="s">
        <v>7</v>
      </c>
      <c r="C750" s="11" t="s">
        <v>30</v>
      </c>
      <c r="D750" s="11" t="s">
        <v>1197</v>
      </c>
      <c r="E750" s="11" t="s">
        <v>35</v>
      </c>
      <c r="F750" s="20">
        <v>6</v>
      </c>
      <c r="G750" s="21">
        <v>86.9</v>
      </c>
      <c r="H750" s="13">
        <v>116.3809630102041</v>
      </c>
      <c r="I750" s="13">
        <v>114.55915178571431</v>
      </c>
      <c r="J750" s="13">
        <v>135.36729910714291</v>
      </c>
      <c r="K750" s="7">
        <f t="shared" si="22"/>
        <v>122.20001116071431</v>
      </c>
      <c r="L750" s="7">
        <f t="shared" si="23"/>
        <v>110.56191485969389</v>
      </c>
      <c r="M750" s="3" t="s">
        <v>1279</v>
      </c>
    </row>
    <row r="751" spans="1:13" x14ac:dyDescent="0.35">
      <c r="A751" s="11" t="s">
        <v>1789</v>
      </c>
      <c r="B751" s="11" t="s">
        <v>7</v>
      </c>
      <c r="C751" s="11" t="s">
        <v>30</v>
      </c>
      <c r="D751" s="11" t="s">
        <v>1197</v>
      </c>
      <c r="E751" s="11" t="s">
        <v>633</v>
      </c>
      <c r="F751" s="20">
        <v>2</v>
      </c>
      <c r="G751" s="21">
        <v>15.1</v>
      </c>
      <c r="H751" s="13">
        <v>114.5054966887417</v>
      </c>
      <c r="I751" s="13">
        <v>111.06201986754969</v>
      </c>
      <c r="J751" s="13">
        <v>117.94897350993379</v>
      </c>
      <c r="K751" s="7">
        <f t="shared" si="22"/>
        <v>120.23077152317879</v>
      </c>
      <c r="L751" s="7">
        <f t="shared" si="23"/>
        <v>108.78022185430461</v>
      </c>
      <c r="M751" s="3" t="s">
        <v>1686</v>
      </c>
    </row>
    <row r="752" spans="1:13" x14ac:dyDescent="0.35">
      <c r="A752" s="11" t="s">
        <v>1790</v>
      </c>
      <c r="B752" s="11" t="s">
        <v>7</v>
      </c>
      <c r="C752" s="11" t="s">
        <v>30</v>
      </c>
      <c r="D752" s="11" t="s">
        <v>1197</v>
      </c>
      <c r="E752" s="11" t="s">
        <v>641</v>
      </c>
      <c r="F752" s="20">
        <v>2</v>
      </c>
      <c r="G752" s="21">
        <v>17.64</v>
      </c>
      <c r="H752" s="13">
        <v>123.93004535147389</v>
      </c>
      <c r="I752" s="13">
        <v>121.2513038548753</v>
      </c>
      <c r="J752" s="13">
        <v>126.6087868480726</v>
      </c>
      <c r="K752" s="7">
        <f t="shared" si="22"/>
        <v>130.12654761904759</v>
      </c>
      <c r="L752" s="7">
        <f t="shared" si="23"/>
        <v>117.73354308390019</v>
      </c>
      <c r="M752" s="3" t="s">
        <v>1787</v>
      </c>
    </row>
    <row r="753" spans="1:13" x14ac:dyDescent="0.35">
      <c r="A753" s="11" t="s">
        <v>1791</v>
      </c>
      <c r="B753" s="11" t="s">
        <v>7</v>
      </c>
      <c r="C753" s="11" t="s">
        <v>30</v>
      </c>
      <c r="D753" s="11" t="s">
        <v>1197</v>
      </c>
      <c r="E753" s="11" t="s">
        <v>131</v>
      </c>
      <c r="F753" s="20">
        <v>1</v>
      </c>
      <c r="G753" s="21">
        <v>6.78</v>
      </c>
      <c r="H753" s="13">
        <v>68.157817109144545</v>
      </c>
      <c r="I753" s="13">
        <v>68.157817109144545</v>
      </c>
      <c r="J753" s="13">
        <v>68.157817109144545</v>
      </c>
      <c r="K753" s="7">
        <f t="shared" si="22"/>
        <v>71.565707964601771</v>
      </c>
      <c r="L753" s="7">
        <f t="shared" si="23"/>
        <v>64.74992625368732</v>
      </c>
      <c r="M753" s="3" t="s">
        <v>1327</v>
      </c>
    </row>
    <row r="754" spans="1:13" x14ac:dyDescent="0.35">
      <c r="A754" s="11" t="s">
        <v>779</v>
      </c>
      <c r="B754" s="11" t="s">
        <v>7</v>
      </c>
      <c r="C754" s="11" t="s">
        <v>30</v>
      </c>
      <c r="D754" s="11" t="s">
        <v>692</v>
      </c>
      <c r="E754" s="11" t="s">
        <v>364</v>
      </c>
      <c r="F754" s="20">
        <v>14</v>
      </c>
      <c r="G754" s="21">
        <v>143.5</v>
      </c>
      <c r="H754" s="13">
        <v>126.65078230574321</v>
      </c>
      <c r="I754" s="13">
        <v>94.015639497765477</v>
      </c>
      <c r="J754" s="13">
        <v>145.9600569020669</v>
      </c>
      <c r="K754" s="7">
        <f t="shared" si="22"/>
        <v>132.98332142103038</v>
      </c>
      <c r="L754" s="7">
        <f t="shared" si="23"/>
        <v>120.31824319045604</v>
      </c>
      <c r="M754" s="3" t="s">
        <v>1145</v>
      </c>
    </row>
    <row r="755" spans="1:13" x14ac:dyDescent="0.35">
      <c r="A755" s="11" t="s">
        <v>1792</v>
      </c>
      <c r="B755" s="11" t="s">
        <v>7</v>
      </c>
      <c r="C755" s="11" t="s">
        <v>30</v>
      </c>
      <c r="D755" s="11" t="s">
        <v>692</v>
      </c>
      <c r="E755" s="11" t="s">
        <v>502</v>
      </c>
      <c r="F755" s="20">
        <v>5</v>
      </c>
      <c r="G755" s="21">
        <v>63</v>
      </c>
      <c r="H755" s="13">
        <v>116.2553174603175</v>
      </c>
      <c r="I755" s="13">
        <v>113.5706349206349</v>
      </c>
      <c r="J755" s="13">
        <v>134.4916666666667</v>
      </c>
      <c r="K755" s="7">
        <f t="shared" si="22"/>
        <v>122.06808333333338</v>
      </c>
      <c r="L755" s="7">
        <f t="shared" si="23"/>
        <v>110.44255158730162</v>
      </c>
      <c r="M755" s="3" t="s">
        <v>1211</v>
      </c>
    </row>
    <row r="756" spans="1:13" x14ac:dyDescent="0.35">
      <c r="A756" s="11" t="s">
        <v>737</v>
      </c>
      <c r="B756" s="11" t="s">
        <v>7</v>
      </c>
      <c r="C756" s="11" t="s">
        <v>30</v>
      </c>
      <c r="D756" s="11" t="s">
        <v>692</v>
      </c>
      <c r="E756" s="11" t="s">
        <v>35</v>
      </c>
      <c r="F756" s="20">
        <v>24</v>
      </c>
      <c r="G756" s="21">
        <v>202.31</v>
      </c>
      <c r="H756" s="13">
        <v>127.7702083929547</v>
      </c>
      <c r="I756" s="13">
        <v>112.36672737206339</v>
      </c>
      <c r="J756" s="13">
        <v>145.7308998441473</v>
      </c>
      <c r="K756" s="7">
        <f t="shared" si="22"/>
        <v>134.15871881260244</v>
      </c>
      <c r="L756" s="7">
        <f t="shared" si="23"/>
        <v>121.38169797330696</v>
      </c>
      <c r="M756" s="3" t="s">
        <v>1148</v>
      </c>
    </row>
    <row r="757" spans="1:13" x14ac:dyDescent="0.35">
      <c r="A757" s="11" t="s">
        <v>1793</v>
      </c>
      <c r="B757" s="11" t="s">
        <v>7</v>
      </c>
      <c r="C757" s="11" t="s">
        <v>30</v>
      </c>
      <c r="D757" s="11" t="s">
        <v>692</v>
      </c>
      <c r="E757" s="11" t="s">
        <v>169</v>
      </c>
      <c r="F757" s="20">
        <v>9</v>
      </c>
      <c r="G757" s="21">
        <v>55.81</v>
      </c>
      <c r="H757" s="13">
        <v>105.1969696969697</v>
      </c>
      <c r="I757" s="13">
        <v>93.873278236914601</v>
      </c>
      <c r="J757" s="13">
        <v>109.1698513800425</v>
      </c>
      <c r="K757" s="7">
        <f t="shared" si="22"/>
        <v>110.45681818181819</v>
      </c>
      <c r="L757" s="7">
        <f t="shared" si="23"/>
        <v>99.937121212121212</v>
      </c>
      <c r="M757" s="3" t="s">
        <v>1130</v>
      </c>
    </row>
    <row r="758" spans="1:13" x14ac:dyDescent="0.35">
      <c r="A758" s="11" t="s">
        <v>853</v>
      </c>
      <c r="B758" s="11" t="s">
        <v>7</v>
      </c>
      <c r="C758" s="11" t="s">
        <v>30</v>
      </c>
      <c r="D758" s="11" t="s">
        <v>692</v>
      </c>
      <c r="E758" s="11" t="s">
        <v>667</v>
      </c>
      <c r="F758" s="20">
        <v>13</v>
      </c>
      <c r="G758" s="21">
        <v>121.75</v>
      </c>
      <c r="H758" s="13">
        <v>150.18691588785049</v>
      </c>
      <c r="I758" s="13">
        <v>132.4204545454545</v>
      </c>
      <c r="J758" s="13">
        <v>161.1088680605624</v>
      </c>
      <c r="K758" s="7">
        <f t="shared" si="22"/>
        <v>157.69626168224303</v>
      </c>
      <c r="L758" s="7">
        <f t="shared" si="23"/>
        <v>142.67757009345794</v>
      </c>
      <c r="M758" s="3" t="s">
        <v>1208</v>
      </c>
    </row>
    <row r="759" spans="1:13" x14ac:dyDescent="0.35">
      <c r="A759" s="11" t="s">
        <v>1794</v>
      </c>
      <c r="B759" s="11" t="s">
        <v>7</v>
      </c>
      <c r="C759" s="11" t="s">
        <v>30</v>
      </c>
      <c r="D759" s="11" t="s">
        <v>692</v>
      </c>
      <c r="E759" s="11" t="s">
        <v>818</v>
      </c>
      <c r="F759" s="20">
        <v>2</v>
      </c>
      <c r="G759" s="21">
        <v>4.92</v>
      </c>
      <c r="H759" s="13">
        <v>119.48780487804881</v>
      </c>
      <c r="I759" s="13">
        <v>119.2642276422764</v>
      </c>
      <c r="J759" s="13">
        <v>119.7113821138211</v>
      </c>
      <c r="K759" s="7">
        <f t="shared" si="22"/>
        <v>125.46219512195125</v>
      </c>
      <c r="L759" s="7">
        <f t="shared" si="23"/>
        <v>113.51341463414636</v>
      </c>
      <c r="M759" s="3" t="s">
        <v>1154</v>
      </c>
    </row>
    <row r="760" spans="1:13" x14ac:dyDescent="0.35">
      <c r="A760" s="11" t="s">
        <v>947</v>
      </c>
      <c r="B760" s="11" t="s">
        <v>7</v>
      </c>
      <c r="C760" s="11" t="s">
        <v>30</v>
      </c>
      <c r="D760" s="11" t="s">
        <v>692</v>
      </c>
      <c r="E760" s="11" t="s">
        <v>633</v>
      </c>
      <c r="F760" s="20">
        <v>35</v>
      </c>
      <c r="G760" s="21">
        <v>344.82000000000011</v>
      </c>
      <c r="H760" s="13">
        <v>114.47342192691031</v>
      </c>
      <c r="I760" s="13">
        <v>91.0240310753465</v>
      </c>
      <c r="J760" s="13">
        <v>122.8318167336743</v>
      </c>
      <c r="K760" s="7">
        <f t="shared" si="22"/>
        <v>120.19709302325583</v>
      </c>
      <c r="L760" s="7">
        <f t="shared" si="23"/>
        <v>108.74975083056478</v>
      </c>
      <c r="M760" s="3" t="s">
        <v>1208</v>
      </c>
    </row>
    <row r="761" spans="1:13" x14ac:dyDescent="0.35">
      <c r="A761" s="11" t="s">
        <v>693</v>
      </c>
      <c r="B761" s="11" t="s">
        <v>7</v>
      </c>
      <c r="C761" s="11" t="s">
        <v>30</v>
      </c>
      <c r="D761" s="11" t="s">
        <v>692</v>
      </c>
      <c r="E761" s="11" t="s">
        <v>28</v>
      </c>
      <c r="F761" s="20">
        <v>34</v>
      </c>
      <c r="G761" s="21">
        <v>239.31</v>
      </c>
      <c r="H761" s="13">
        <v>113.26323584447439</v>
      </c>
      <c r="I761" s="13">
        <v>96.298212105354963</v>
      </c>
      <c r="J761" s="13">
        <v>140.47462954680981</v>
      </c>
      <c r="K761" s="7">
        <f t="shared" si="22"/>
        <v>118.92639763669811</v>
      </c>
      <c r="L761" s="7">
        <f t="shared" si="23"/>
        <v>107.60007405225068</v>
      </c>
      <c r="M761" s="3" t="s">
        <v>1134</v>
      </c>
    </row>
    <row r="762" spans="1:13" x14ac:dyDescent="0.35">
      <c r="A762" s="11" t="s">
        <v>821</v>
      </c>
      <c r="B762" s="11" t="s">
        <v>7</v>
      </c>
      <c r="C762" s="11" t="s">
        <v>30</v>
      </c>
      <c r="D762" s="11" t="s">
        <v>692</v>
      </c>
      <c r="E762" s="11" t="s">
        <v>641</v>
      </c>
      <c r="F762" s="20">
        <v>20</v>
      </c>
      <c r="G762" s="21">
        <v>234.53</v>
      </c>
      <c r="H762" s="13">
        <v>123.58304769001489</v>
      </c>
      <c r="I762" s="13">
        <v>94.657169811320756</v>
      </c>
      <c r="J762" s="13">
        <v>136.01850943396229</v>
      </c>
      <c r="K762" s="7">
        <f t="shared" si="22"/>
        <v>129.76220007451565</v>
      </c>
      <c r="L762" s="7">
        <f t="shared" si="23"/>
        <v>117.40389530551414</v>
      </c>
      <c r="M762" s="3" t="s">
        <v>1208</v>
      </c>
    </row>
    <row r="763" spans="1:13" x14ac:dyDescent="0.35">
      <c r="A763" s="11" t="s">
        <v>1795</v>
      </c>
      <c r="B763" s="11" t="s">
        <v>7</v>
      </c>
      <c r="C763" s="11" t="s">
        <v>30</v>
      </c>
      <c r="D763" s="11" t="s">
        <v>692</v>
      </c>
      <c r="E763" s="11" t="s">
        <v>733</v>
      </c>
      <c r="F763" s="20">
        <v>8</v>
      </c>
      <c r="G763" s="21">
        <v>49.04</v>
      </c>
      <c r="H763" s="13">
        <v>135.04649265905391</v>
      </c>
      <c r="I763" s="13">
        <v>126.03181076672099</v>
      </c>
      <c r="J763" s="13">
        <v>149.910277324633</v>
      </c>
      <c r="K763" s="7">
        <f t="shared" si="22"/>
        <v>141.79881729200662</v>
      </c>
      <c r="L763" s="7">
        <f t="shared" si="23"/>
        <v>128.2941680261012</v>
      </c>
      <c r="M763" s="3" t="s">
        <v>1208</v>
      </c>
    </row>
    <row r="764" spans="1:13" x14ac:dyDescent="0.35">
      <c r="A764" s="11" t="s">
        <v>1796</v>
      </c>
      <c r="B764" s="11" t="s">
        <v>7</v>
      </c>
      <c r="C764" s="11" t="s">
        <v>30</v>
      </c>
      <c r="D764" s="11" t="s">
        <v>692</v>
      </c>
      <c r="E764" s="11" t="s">
        <v>790</v>
      </c>
      <c r="F764" s="20">
        <v>3</v>
      </c>
      <c r="G764" s="21">
        <v>27.25</v>
      </c>
      <c r="H764" s="13">
        <v>111.6814734561213</v>
      </c>
      <c r="I764" s="13">
        <v>102.7537060113371</v>
      </c>
      <c r="J764" s="13">
        <v>123.921451787649</v>
      </c>
      <c r="K764" s="7">
        <f t="shared" si="22"/>
        <v>117.26554712892737</v>
      </c>
      <c r="L764" s="7">
        <f t="shared" si="23"/>
        <v>106.09739978331523</v>
      </c>
      <c r="M764" s="3" t="s">
        <v>1154</v>
      </c>
    </row>
    <row r="765" spans="1:13" x14ac:dyDescent="0.35">
      <c r="A765" s="11" t="s">
        <v>927</v>
      </c>
      <c r="B765" s="11" t="s">
        <v>7</v>
      </c>
      <c r="C765" s="11" t="s">
        <v>30</v>
      </c>
      <c r="D765" s="11" t="s">
        <v>692</v>
      </c>
      <c r="E765" s="11" t="s">
        <v>131</v>
      </c>
      <c r="F765" s="20">
        <v>51</v>
      </c>
      <c r="G765" s="21">
        <v>496.11999999999989</v>
      </c>
      <c r="H765" s="13">
        <v>127.781015037594</v>
      </c>
      <c r="I765" s="13">
        <v>101.1727320603884</v>
      </c>
      <c r="J765" s="13">
        <v>141.6423344464136</v>
      </c>
      <c r="K765" s="7">
        <f t="shared" si="22"/>
        <v>134.17006578947371</v>
      </c>
      <c r="L765" s="7">
        <f t="shared" si="23"/>
        <v>121.39196428571429</v>
      </c>
      <c r="M765" s="3" t="s">
        <v>1134</v>
      </c>
    </row>
    <row r="766" spans="1:13" x14ac:dyDescent="0.35">
      <c r="A766" s="11" t="s">
        <v>1797</v>
      </c>
      <c r="B766" s="11" t="s">
        <v>7</v>
      </c>
      <c r="C766" s="11" t="s">
        <v>30</v>
      </c>
      <c r="D766" s="11" t="s">
        <v>78</v>
      </c>
      <c r="E766" s="11" t="s">
        <v>667</v>
      </c>
      <c r="F766" s="20">
        <v>1</v>
      </c>
      <c r="G766" s="21">
        <v>9.19</v>
      </c>
      <c r="H766" s="13">
        <v>106.0544069640914</v>
      </c>
      <c r="I766" s="13">
        <v>106.0544069640914</v>
      </c>
      <c r="J766" s="13">
        <v>106.0544069640914</v>
      </c>
      <c r="K766" s="7">
        <f t="shared" si="22"/>
        <v>111.35712731229597</v>
      </c>
      <c r="L766" s="7">
        <f t="shared" si="23"/>
        <v>100.75168661588683</v>
      </c>
      <c r="M766" s="3" t="s">
        <v>1292</v>
      </c>
    </row>
    <row r="767" spans="1:13" x14ac:dyDescent="0.35">
      <c r="A767" s="11" t="s">
        <v>861</v>
      </c>
      <c r="B767" s="11" t="s">
        <v>7</v>
      </c>
      <c r="C767" s="11" t="s">
        <v>30</v>
      </c>
      <c r="D767" s="11" t="s">
        <v>237</v>
      </c>
      <c r="E767" s="11" t="s">
        <v>169</v>
      </c>
      <c r="F767" s="20">
        <v>8</v>
      </c>
      <c r="G767" s="21">
        <v>37.92</v>
      </c>
      <c r="H767" s="13">
        <v>113.8027426160338</v>
      </c>
      <c r="I767" s="13">
        <v>97.160337552742604</v>
      </c>
      <c r="J767" s="13">
        <v>132.10632911392401</v>
      </c>
      <c r="K767" s="7">
        <f t="shared" si="22"/>
        <v>119.4928797468355</v>
      </c>
      <c r="L767" s="7">
        <f t="shared" si="23"/>
        <v>108.11260548523209</v>
      </c>
      <c r="M767" s="3" t="s">
        <v>1208</v>
      </c>
    </row>
    <row r="768" spans="1:13" x14ac:dyDescent="0.35">
      <c r="A768" s="11" t="s">
        <v>1798</v>
      </c>
      <c r="B768" s="11" t="s">
        <v>7</v>
      </c>
      <c r="C768" s="11" t="s">
        <v>30</v>
      </c>
      <c r="D768" s="11" t="s">
        <v>237</v>
      </c>
      <c r="E768" s="11" t="s">
        <v>186</v>
      </c>
      <c r="F768" s="20">
        <v>7</v>
      </c>
      <c r="G768" s="21">
        <v>71.400000000000006</v>
      </c>
      <c r="H768" s="13">
        <v>126.8118627450981</v>
      </c>
      <c r="I768" s="13">
        <v>111.4137254901961</v>
      </c>
      <c r="J768" s="13">
        <v>136.6039215686275</v>
      </c>
      <c r="K768" s="7">
        <f t="shared" si="22"/>
        <v>133.152455882353</v>
      </c>
      <c r="L768" s="7">
        <f t="shared" si="23"/>
        <v>120.47126960784318</v>
      </c>
      <c r="M768" s="3" t="s">
        <v>1193</v>
      </c>
    </row>
    <row r="769" spans="1:13" x14ac:dyDescent="0.35">
      <c r="A769" s="11" t="s">
        <v>759</v>
      </c>
      <c r="B769" s="11" t="s">
        <v>7</v>
      </c>
      <c r="C769" s="11" t="s">
        <v>30</v>
      </c>
      <c r="D769" s="11" t="s">
        <v>237</v>
      </c>
      <c r="E769" s="11" t="s">
        <v>641</v>
      </c>
      <c r="F769" s="20">
        <v>8</v>
      </c>
      <c r="G769" s="21">
        <v>66.08</v>
      </c>
      <c r="H769" s="13">
        <v>132.16010088272381</v>
      </c>
      <c r="I769" s="13">
        <v>115.0505464480874</v>
      </c>
      <c r="J769" s="13">
        <v>135.44699453551911</v>
      </c>
      <c r="K769" s="7">
        <f t="shared" si="22"/>
        <v>138.76810592686002</v>
      </c>
      <c r="L769" s="7">
        <f t="shared" si="23"/>
        <v>125.55209583858762</v>
      </c>
      <c r="M769" s="3" t="s">
        <v>1208</v>
      </c>
    </row>
    <row r="770" spans="1:13" x14ac:dyDescent="0.35">
      <c r="A770" s="11" t="s">
        <v>1799</v>
      </c>
      <c r="B770" s="11" t="s">
        <v>7</v>
      </c>
      <c r="C770" s="11" t="s">
        <v>30</v>
      </c>
      <c r="D770" s="11" t="s">
        <v>237</v>
      </c>
      <c r="E770" s="11" t="s">
        <v>733</v>
      </c>
      <c r="F770" s="20">
        <v>2</v>
      </c>
      <c r="G770" s="21">
        <v>22.12</v>
      </c>
      <c r="H770" s="13">
        <v>103.2989080982711</v>
      </c>
      <c r="I770" s="13">
        <v>97.091219290263865</v>
      </c>
      <c r="J770" s="13">
        <v>109.5065969062784</v>
      </c>
      <c r="K770" s="7">
        <f t="shared" si="22"/>
        <v>108.46385350318465</v>
      </c>
      <c r="L770" s="7">
        <f t="shared" si="23"/>
        <v>98.133962693357546</v>
      </c>
      <c r="M770" s="3" t="s">
        <v>1154</v>
      </c>
    </row>
    <row r="771" spans="1:13" x14ac:dyDescent="0.35">
      <c r="A771" s="11" t="s">
        <v>685</v>
      </c>
      <c r="B771" s="11" t="s">
        <v>7</v>
      </c>
      <c r="C771" s="11" t="s">
        <v>30</v>
      </c>
      <c r="D771" s="11" t="s">
        <v>88</v>
      </c>
      <c r="E771" s="11" t="s">
        <v>364</v>
      </c>
      <c r="F771" s="20">
        <v>42</v>
      </c>
      <c r="G771" s="21">
        <v>404.44</v>
      </c>
      <c r="H771" s="13">
        <v>112.44941252144081</v>
      </c>
      <c r="I771" s="13">
        <v>99.171717428087987</v>
      </c>
      <c r="J771" s="13">
        <v>124.870636466881</v>
      </c>
      <c r="K771" s="7">
        <f t="shared" si="22"/>
        <v>118.07188314751285</v>
      </c>
      <c r="L771" s="7">
        <f t="shared" si="23"/>
        <v>106.82694189536876</v>
      </c>
      <c r="M771" s="3" t="s">
        <v>1208</v>
      </c>
    </row>
    <row r="772" spans="1:13" x14ac:dyDescent="0.35">
      <c r="A772" s="11" t="s">
        <v>843</v>
      </c>
      <c r="B772" s="11" t="s">
        <v>7</v>
      </c>
      <c r="C772" s="11" t="s">
        <v>30</v>
      </c>
      <c r="D772" s="11" t="s">
        <v>88</v>
      </c>
      <c r="E772" s="11" t="s">
        <v>39</v>
      </c>
      <c r="F772" s="20">
        <v>7</v>
      </c>
      <c r="G772" s="21">
        <v>89.749999999999986</v>
      </c>
      <c r="H772" s="13">
        <v>112.2801766437684</v>
      </c>
      <c r="I772" s="13">
        <v>105.9676430557503</v>
      </c>
      <c r="J772" s="13">
        <v>122.76362943361841</v>
      </c>
      <c r="K772" s="7">
        <f t="shared" si="22"/>
        <v>117.89418547595683</v>
      </c>
      <c r="L772" s="7">
        <f t="shared" si="23"/>
        <v>106.66616781157997</v>
      </c>
      <c r="M772" s="3" t="s">
        <v>1149</v>
      </c>
    </row>
    <row r="773" spans="1:13" x14ac:dyDescent="0.35">
      <c r="A773" s="11" t="s">
        <v>804</v>
      </c>
      <c r="B773" s="11" t="s">
        <v>7</v>
      </c>
      <c r="C773" s="11" t="s">
        <v>30</v>
      </c>
      <c r="D773" s="11" t="s">
        <v>88</v>
      </c>
      <c r="E773" s="11" t="s">
        <v>502</v>
      </c>
      <c r="F773" s="20">
        <v>25</v>
      </c>
      <c r="G773" s="21">
        <v>189.07</v>
      </c>
      <c r="H773" s="13">
        <v>134.46728971962619</v>
      </c>
      <c r="I773" s="13">
        <v>116.8710865561694</v>
      </c>
      <c r="J773" s="13">
        <v>145.3723300970874</v>
      </c>
      <c r="K773" s="7">
        <f t="shared" ref="K773:K807" si="24">H773*(1+$B$2)</f>
        <v>141.1906542056075</v>
      </c>
      <c r="L773" s="7">
        <f t="shared" ref="L773:L807" si="25">H773*(1-$B$2)</f>
        <v>127.74392523364487</v>
      </c>
      <c r="M773" s="3" t="s">
        <v>1125</v>
      </c>
    </row>
    <row r="774" spans="1:13" x14ac:dyDescent="0.35">
      <c r="A774" s="11" t="s">
        <v>1800</v>
      </c>
      <c r="B774" s="11" t="s">
        <v>7</v>
      </c>
      <c r="C774" s="11" t="s">
        <v>30</v>
      </c>
      <c r="D774" s="11" t="s">
        <v>88</v>
      </c>
      <c r="E774" s="11" t="s">
        <v>499</v>
      </c>
      <c r="F774" s="20">
        <v>5</v>
      </c>
      <c r="G774" s="21">
        <v>29.35</v>
      </c>
      <c r="H774" s="13">
        <v>116.87189097103921</v>
      </c>
      <c r="I774" s="13">
        <v>116.4139693356048</v>
      </c>
      <c r="J774" s="13">
        <v>134.61754684838161</v>
      </c>
      <c r="K774" s="7">
        <f t="shared" si="24"/>
        <v>122.71548551959117</v>
      </c>
      <c r="L774" s="7">
        <f t="shared" si="25"/>
        <v>111.02829642248724</v>
      </c>
      <c r="M774" s="3" t="s">
        <v>1525</v>
      </c>
    </row>
    <row r="775" spans="1:13" x14ac:dyDescent="0.35">
      <c r="A775" s="11" t="s">
        <v>646</v>
      </c>
      <c r="B775" s="11" t="s">
        <v>7</v>
      </c>
      <c r="C775" s="11" t="s">
        <v>30</v>
      </c>
      <c r="D775" s="11" t="s">
        <v>88</v>
      </c>
      <c r="E775" s="11" t="s">
        <v>35</v>
      </c>
      <c r="F775" s="20">
        <v>52</v>
      </c>
      <c r="G775" s="21">
        <v>503.8900000000001</v>
      </c>
      <c r="H775" s="13">
        <v>133.1830855018587</v>
      </c>
      <c r="I775" s="13">
        <v>116.4019789991311</v>
      </c>
      <c r="J775" s="13">
        <v>152.37074967296039</v>
      </c>
      <c r="K775" s="7">
        <f t="shared" si="24"/>
        <v>139.84223977695163</v>
      </c>
      <c r="L775" s="7">
        <f t="shared" si="25"/>
        <v>126.52393122676575</v>
      </c>
      <c r="M775" s="3" t="s">
        <v>1125</v>
      </c>
    </row>
    <row r="776" spans="1:13" x14ac:dyDescent="0.35">
      <c r="A776" s="11" t="s">
        <v>678</v>
      </c>
      <c r="B776" s="11" t="s">
        <v>7</v>
      </c>
      <c r="C776" s="11" t="s">
        <v>30</v>
      </c>
      <c r="D776" s="11" t="s">
        <v>88</v>
      </c>
      <c r="E776" s="11" t="s">
        <v>169</v>
      </c>
      <c r="F776" s="20">
        <v>18</v>
      </c>
      <c r="G776" s="21">
        <v>139.22999999999999</v>
      </c>
      <c r="H776" s="13">
        <v>128.29704764400449</v>
      </c>
      <c r="I776" s="13">
        <v>104.1967654940626</v>
      </c>
      <c r="J776" s="13">
        <v>133.6416831032216</v>
      </c>
      <c r="K776" s="7">
        <f t="shared" si="24"/>
        <v>134.71190002620472</v>
      </c>
      <c r="L776" s="7">
        <f t="shared" si="25"/>
        <v>121.88219526180426</v>
      </c>
      <c r="M776" s="3" t="s">
        <v>1208</v>
      </c>
    </row>
    <row r="777" spans="1:13" x14ac:dyDescent="0.35">
      <c r="A777" s="11" t="s">
        <v>1801</v>
      </c>
      <c r="B777" s="11" t="s">
        <v>7</v>
      </c>
      <c r="C777" s="11" t="s">
        <v>30</v>
      </c>
      <c r="D777" s="11" t="s">
        <v>88</v>
      </c>
      <c r="E777" s="11" t="s">
        <v>667</v>
      </c>
      <c r="F777" s="20">
        <v>16</v>
      </c>
      <c r="G777" s="21">
        <v>156.22999999999999</v>
      </c>
      <c r="H777" s="13">
        <v>104.4533015511096</v>
      </c>
      <c r="I777" s="13">
        <v>93.277214468506045</v>
      </c>
      <c r="J777" s="13">
        <v>120.3715839986058</v>
      </c>
      <c r="K777" s="7">
        <f t="shared" si="24"/>
        <v>109.67596662866509</v>
      </c>
      <c r="L777" s="7">
        <f t="shared" si="25"/>
        <v>99.230636473554114</v>
      </c>
      <c r="M777" s="3" t="s">
        <v>1208</v>
      </c>
    </row>
    <row r="778" spans="1:13" x14ac:dyDescent="0.35">
      <c r="A778" s="11" t="s">
        <v>1802</v>
      </c>
      <c r="B778" s="11" t="s">
        <v>7</v>
      </c>
      <c r="C778" s="11" t="s">
        <v>30</v>
      </c>
      <c r="D778" s="11" t="s">
        <v>88</v>
      </c>
      <c r="E778" s="11" t="s">
        <v>818</v>
      </c>
      <c r="F778" s="20">
        <v>1</v>
      </c>
      <c r="G778" s="21">
        <v>2.6</v>
      </c>
      <c r="H778" s="13">
        <v>92.715384615384608</v>
      </c>
      <c r="I778" s="13">
        <v>92.715384615384608</v>
      </c>
      <c r="J778" s="13">
        <v>92.715384615384608</v>
      </c>
      <c r="K778" s="7">
        <f t="shared" si="24"/>
        <v>97.351153846153835</v>
      </c>
      <c r="L778" s="7">
        <f t="shared" si="25"/>
        <v>88.07961538461538</v>
      </c>
      <c r="M778" s="3" t="s">
        <v>1189</v>
      </c>
    </row>
    <row r="779" spans="1:13" x14ac:dyDescent="0.35">
      <c r="A779" s="11" t="s">
        <v>1803</v>
      </c>
      <c r="B779" s="11" t="s">
        <v>7</v>
      </c>
      <c r="C779" s="11" t="s">
        <v>30</v>
      </c>
      <c r="D779" s="11" t="s">
        <v>88</v>
      </c>
      <c r="E779" s="11" t="s">
        <v>122</v>
      </c>
      <c r="F779" s="20">
        <v>3</v>
      </c>
      <c r="G779" s="21">
        <v>41.69</v>
      </c>
      <c r="H779" s="13">
        <v>133.52845528455279</v>
      </c>
      <c r="I779" s="13">
        <v>120.4980072509273</v>
      </c>
      <c r="J779" s="13">
        <v>139.45403377110691</v>
      </c>
      <c r="K779" s="7">
        <f t="shared" si="24"/>
        <v>140.20487804878044</v>
      </c>
      <c r="L779" s="7">
        <f t="shared" si="25"/>
        <v>126.85203252032514</v>
      </c>
      <c r="M779" s="3" t="s">
        <v>1158</v>
      </c>
    </row>
    <row r="780" spans="1:13" x14ac:dyDescent="0.35">
      <c r="A780" s="11" t="s">
        <v>828</v>
      </c>
      <c r="B780" s="11" t="s">
        <v>7</v>
      </c>
      <c r="C780" s="11" t="s">
        <v>30</v>
      </c>
      <c r="D780" s="11" t="s">
        <v>88</v>
      </c>
      <c r="E780" s="11" t="s">
        <v>827</v>
      </c>
      <c r="F780" s="20">
        <v>8</v>
      </c>
      <c r="G780" s="21">
        <v>48.89</v>
      </c>
      <c r="H780" s="13">
        <v>117.6158809278318</v>
      </c>
      <c r="I780" s="13">
        <v>107.2367084363871</v>
      </c>
      <c r="J780" s="13">
        <v>138.22044465459331</v>
      </c>
      <c r="K780" s="7">
        <f t="shared" si="24"/>
        <v>123.4966749742234</v>
      </c>
      <c r="L780" s="7">
        <f t="shared" si="25"/>
        <v>111.7350868814402</v>
      </c>
      <c r="M780" s="3" t="s">
        <v>1149</v>
      </c>
    </row>
    <row r="781" spans="1:13" x14ac:dyDescent="0.35">
      <c r="A781" s="11" t="s">
        <v>644</v>
      </c>
      <c r="B781" s="11" t="s">
        <v>7</v>
      </c>
      <c r="C781" s="11" t="s">
        <v>30</v>
      </c>
      <c r="D781" s="11" t="s">
        <v>88</v>
      </c>
      <c r="E781" s="11" t="s">
        <v>633</v>
      </c>
      <c r="F781" s="20">
        <v>84</v>
      </c>
      <c r="G781" s="21">
        <v>946.89999999999975</v>
      </c>
      <c r="H781" s="13">
        <v>108.726573100639</v>
      </c>
      <c r="I781" s="13">
        <v>86.4476815600664</v>
      </c>
      <c r="J781" s="13">
        <v>130.85503455608179</v>
      </c>
      <c r="K781" s="7">
        <f t="shared" si="24"/>
        <v>114.16290175567096</v>
      </c>
      <c r="L781" s="7">
        <f t="shared" si="25"/>
        <v>103.29024444560704</v>
      </c>
      <c r="M781" s="3" t="s">
        <v>1208</v>
      </c>
    </row>
    <row r="782" spans="1:13" x14ac:dyDescent="0.35">
      <c r="A782" s="11" t="s">
        <v>664</v>
      </c>
      <c r="B782" s="11" t="s">
        <v>7</v>
      </c>
      <c r="C782" s="11" t="s">
        <v>30</v>
      </c>
      <c r="D782" s="11" t="s">
        <v>88</v>
      </c>
      <c r="E782" s="11" t="s">
        <v>28</v>
      </c>
      <c r="F782" s="20">
        <v>40</v>
      </c>
      <c r="G782" s="21">
        <v>444.35</v>
      </c>
      <c r="H782" s="13">
        <v>123.09268030238</v>
      </c>
      <c r="I782" s="13">
        <v>106.89329523207439</v>
      </c>
      <c r="J782" s="13">
        <v>139.4456284437218</v>
      </c>
      <c r="K782" s="7">
        <f t="shared" si="24"/>
        <v>129.24731431749902</v>
      </c>
      <c r="L782" s="7">
        <f t="shared" si="25"/>
        <v>116.938046287261</v>
      </c>
      <c r="M782" s="3" t="s">
        <v>1125</v>
      </c>
    </row>
    <row r="783" spans="1:13" x14ac:dyDescent="0.35">
      <c r="A783" s="11" t="s">
        <v>1804</v>
      </c>
      <c r="B783" s="11" t="s">
        <v>7</v>
      </c>
      <c r="C783" s="11" t="s">
        <v>30</v>
      </c>
      <c r="D783" s="11" t="s">
        <v>88</v>
      </c>
      <c r="E783" s="11" t="s">
        <v>186</v>
      </c>
      <c r="F783" s="20">
        <v>10</v>
      </c>
      <c r="G783" s="21">
        <v>128.5</v>
      </c>
      <c r="H783" s="13">
        <v>133.34163424124509</v>
      </c>
      <c r="I783" s="13">
        <v>108.5517509727627</v>
      </c>
      <c r="J783" s="13">
        <v>140.445719844358</v>
      </c>
      <c r="K783" s="7">
        <f t="shared" si="24"/>
        <v>140.00871595330736</v>
      </c>
      <c r="L783" s="7">
        <f t="shared" si="25"/>
        <v>126.67455252918283</v>
      </c>
      <c r="M783" s="3" t="s">
        <v>1125</v>
      </c>
    </row>
    <row r="784" spans="1:13" x14ac:dyDescent="0.35">
      <c r="A784" s="11" t="s">
        <v>642</v>
      </c>
      <c r="B784" s="11" t="s">
        <v>7</v>
      </c>
      <c r="C784" s="11" t="s">
        <v>30</v>
      </c>
      <c r="D784" s="11" t="s">
        <v>88</v>
      </c>
      <c r="E784" s="11" t="s">
        <v>641</v>
      </c>
      <c r="F784" s="20">
        <v>6</v>
      </c>
      <c r="G784" s="21">
        <v>81.19</v>
      </c>
      <c r="H784" s="13">
        <v>123.2903898635478</v>
      </c>
      <c r="I784" s="13">
        <v>111.55975446933699</v>
      </c>
      <c r="J784" s="13">
        <v>139.05352826510719</v>
      </c>
      <c r="K784" s="7">
        <f t="shared" si="24"/>
        <v>129.45490935672521</v>
      </c>
      <c r="L784" s="7">
        <f t="shared" si="25"/>
        <v>117.12587037037041</v>
      </c>
      <c r="M784" s="3" t="s">
        <v>1208</v>
      </c>
    </row>
    <row r="785" spans="1:13" x14ac:dyDescent="0.35">
      <c r="A785" s="11" t="s">
        <v>1805</v>
      </c>
      <c r="B785" s="11" t="s">
        <v>7</v>
      </c>
      <c r="C785" s="11" t="s">
        <v>30</v>
      </c>
      <c r="D785" s="11" t="s">
        <v>88</v>
      </c>
      <c r="E785" s="11" t="s">
        <v>733</v>
      </c>
      <c r="F785" s="20">
        <v>8</v>
      </c>
      <c r="G785" s="21">
        <v>74.92</v>
      </c>
      <c r="H785" s="13">
        <v>119.4322368548038</v>
      </c>
      <c r="I785" s="13">
        <v>97.170292642440188</v>
      </c>
      <c r="J785" s="13">
        <v>143.2507579392325</v>
      </c>
      <c r="K785" s="7">
        <f t="shared" si="24"/>
        <v>125.40384869754401</v>
      </c>
      <c r="L785" s="7">
        <f t="shared" si="25"/>
        <v>113.4606250120636</v>
      </c>
      <c r="M785" s="3" t="s">
        <v>1806</v>
      </c>
    </row>
    <row r="786" spans="1:13" x14ac:dyDescent="0.35">
      <c r="A786" s="11" t="s">
        <v>651</v>
      </c>
      <c r="B786" s="11" t="s">
        <v>7</v>
      </c>
      <c r="C786" s="11" t="s">
        <v>30</v>
      </c>
      <c r="D786" s="11" t="s">
        <v>88</v>
      </c>
      <c r="E786" s="11" t="s">
        <v>131</v>
      </c>
      <c r="F786" s="20">
        <v>48</v>
      </c>
      <c r="G786" s="21">
        <v>405.73</v>
      </c>
      <c r="H786" s="13">
        <v>125.49009863982791</v>
      </c>
      <c r="I786" s="13">
        <v>107.8425788497217</v>
      </c>
      <c r="J786" s="13">
        <v>143.52739345984631</v>
      </c>
      <c r="K786" s="7">
        <f t="shared" si="24"/>
        <v>131.76460357181929</v>
      </c>
      <c r="L786" s="7">
        <f t="shared" si="25"/>
        <v>119.2155937078365</v>
      </c>
      <c r="M786" s="3" t="s">
        <v>1125</v>
      </c>
    </row>
    <row r="787" spans="1:13" x14ac:dyDescent="0.35">
      <c r="A787" s="11" t="s">
        <v>1807</v>
      </c>
      <c r="B787" s="11" t="s">
        <v>7</v>
      </c>
      <c r="C787" s="11" t="s">
        <v>614</v>
      </c>
      <c r="D787" s="11" t="s">
        <v>1124</v>
      </c>
      <c r="E787" s="11" t="s">
        <v>360</v>
      </c>
      <c r="F787" s="20">
        <v>46</v>
      </c>
      <c r="G787" s="21">
        <v>464.46999999999991</v>
      </c>
      <c r="H787" s="13">
        <v>127.9460021407854</v>
      </c>
      <c r="I787" s="13">
        <v>114.9283068312529</v>
      </c>
      <c r="J787" s="13">
        <v>148.26970443349751</v>
      </c>
      <c r="K787" s="7">
        <f t="shared" si="24"/>
        <v>134.34330224782468</v>
      </c>
      <c r="L787" s="7">
        <f t="shared" si="25"/>
        <v>121.54870203374612</v>
      </c>
      <c r="M787" s="3" t="s">
        <v>1125</v>
      </c>
    </row>
    <row r="788" spans="1:13" x14ac:dyDescent="0.35">
      <c r="A788" s="11" t="s">
        <v>714</v>
      </c>
      <c r="B788" s="11" t="s">
        <v>7</v>
      </c>
      <c r="C788" s="11" t="s">
        <v>614</v>
      </c>
      <c r="D788" s="11" t="s">
        <v>1124</v>
      </c>
      <c r="E788" s="11" t="s">
        <v>364</v>
      </c>
      <c r="F788" s="20">
        <v>453</v>
      </c>
      <c r="G788" s="21">
        <v>4502.3500000000004</v>
      </c>
      <c r="H788" s="13">
        <v>123.3843295638126</v>
      </c>
      <c r="I788" s="13">
        <v>108.3331818181818</v>
      </c>
      <c r="J788" s="13">
        <v>138.2407371483996</v>
      </c>
      <c r="K788" s="7">
        <f t="shared" si="24"/>
        <v>129.55354604200323</v>
      </c>
      <c r="L788" s="7">
        <f t="shared" si="25"/>
        <v>117.21511308562197</v>
      </c>
      <c r="M788" s="3" t="s">
        <v>1125</v>
      </c>
    </row>
    <row r="789" spans="1:13" x14ac:dyDescent="0.35">
      <c r="A789" s="11" t="s">
        <v>1808</v>
      </c>
      <c r="B789" s="11" t="s">
        <v>7</v>
      </c>
      <c r="C789" s="11" t="s">
        <v>614</v>
      </c>
      <c r="D789" s="11" t="s">
        <v>1124</v>
      </c>
      <c r="E789" s="11" t="s">
        <v>39</v>
      </c>
      <c r="F789" s="20">
        <v>161</v>
      </c>
      <c r="G789" s="21">
        <v>1804.77</v>
      </c>
      <c r="H789" s="13">
        <v>123.08200455580869</v>
      </c>
      <c r="I789" s="13">
        <v>106.02887139107609</v>
      </c>
      <c r="J789" s="13">
        <v>133.61949685534589</v>
      </c>
      <c r="K789" s="7">
        <f t="shared" si="24"/>
        <v>129.23610478359913</v>
      </c>
      <c r="L789" s="7">
        <f t="shared" si="25"/>
        <v>116.92790432801826</v>
      </c>
      <c r="M789" s="3" t="s">
        <v>1125</v>
      </c>
    </row>
    <row r="790" spans="1:13" x14ac:dyDescent="0.35">
      <c r="A790" s="11" t="s">
        <v>728</v>
      </c>
      <c r="B790" s="11" t="s">
        <v>7</v>
      </c>
      <c r="C790" s="11" t="s">
        <v>614</v>
      </c>
      <c r="D790" s="11" t="s">
        <v>1124</v>
      </c>
      <c r="E790" s="11" t="s">
        <v>502</v>
      </c>
      <c r="F790" s="20">
        <v>378</v>
      </c>
      <c r="G790" s="21">
        <v>2870.497781132447</v>
      </c>
      <c r="H790" s="13">
        <v>128.85112302775141</v>
      </c>
      <c r="I790" s="13">
        <v>109.1013486005089</v>
      </c>
      <c r="J790" s="13">
        <v>147.26791840300871</v>
      </c>
      <c r="K790" s="7">
        <f t="shared" si="24"/>
        <v>135.29367917913899</v>
      </c>
      <c r="L790" s="7">
        <f t="shared" si="25"/>
        <v>122.40856687636384</v>
      </c>
      <c r="M790" s="3" t="s">
        <v>1125</v>
      </c>
    </row>
    <row r="791" spans="1:13" x14ac:dyDescent="0.35">
      <c r="A791" s="11" t="s">
        <v>1019</v>
      </c>
      <c r="B791" s="11" t="s">
        <v>7</v>
      </c>
      <c r="C791" s="11" t="s">
        <v>614</v>
      </c>
      <c r="D791" s="11" t="s">
        <v>1124</v>
      </c>
      <c r="E791" s="11" t="s">
        <v>499</v>
      </c>
      <c r="F791" s="20">
        <v>35</v>
      </c>
      <c r="G791" s="21">
        <v>293.87000000000012</v>
      </c>
      <c r="H791" s="13">
        <v>122.8603066439523</v>
      </c>
      <c r="I791" s="13">
        <v>111.6090267866621</v>
      </c>
      <c r="J791" s="13">
        <v>135.05025553662691</v>
      </c>
      <c r="K791" s="7">
        <f t="shared" si="24"/>
        <v>129.00332197614992</v>
      </c>
      <c r="L791" s="7">
        <f t="shared" si="25"/>
        <v>116.71729131175468</v>
      </c>
      <c r="M791" s="3" t="s">
        <v>1125</v>
      </c>
    </row>
    <row r="792" spans="1:13" x14ac:dyDescent="0.35">
      <c r="A792" s="11" t="s">
        <v>1809</v>
      </c>
      <c r="B792" s="11" t="s">
        <v>7</v>
      </c>
      <c r="C792" s="11" t="s">
        <v>614</v>
      </c>
      <c r="D792" s="11" t="s">
        <v>1124</v>
      </c>
      <c r="E792" s="11" t="s">
        <v>35</v>
      </c>
      <c r="F792" s="20">
        <v>602</v>
      </c>
      <c r="G792" s="21">
        <v>6417.56</v>
      </c>
      <c r="H792" s="13">
        <v>128.56168407310699</v>
      </c>
      <c r="I792" s="13">
        <v>113.9934467270951</v>
      </c>
      <c r="J792" s="13">
        <v>143.79767759136479</v>
      </c>
      <c r="K792" s="7">
        <f t="shared" si="24"/>
        <v>134.98976827676233</v>
      </c>
      <c r="L792" s="7">
        <f t="shared" si="25"/>
        <v>122.13359986945163</v>
      </c>
      <c r="M792" s="3" t="s">
        <v>1125</v>
      </c>
    </row>
    <row r="793" spans="1:13" x14ac:dyDescent="0.35">
      <c r="A793" s="11" t="s">
        <v>660</v>
      </c>
      <c r="B793" s="11" t="s">
        <v>7</v>
      </c>
      <c r="C793" s="11" t="s">
        <v>614</v>
      </c>
      <c r="D793" s="11" t="s">
        <v>1124</v>
      </c>
      <c r="E793" s="11" t="s">
        <v>169</v>
      </c>
      <c r="F793" s="20">
        <v>303</v>
      </c>
      <c r="G793" s="21">
        <v>2620.36</v>
      </c>
      <c r="H793" s="13">
        <v>115.9810650887574</v>
      </c>
      <c r="I793" s="13">
        <v>98.2201598173516</v>
      </c>
      <c r="J793" s="13">
        <v>133.4370125989773</v>
      </c>
      <c r="K793" s="7">
        <f t="shared" si="24"/>
        <v>121.78011834319528</v>
      </c>
      <c r="L793" s="7">
        <f t="shared" si="25"/>
        <v>110.18201183431952</v>
      </c>
      <c r="M793" s="3" t="s">
        <v>1125</v>
      </c>
    </row>
    <row r="794" spans="1:13" x14ac:dyDescent="0.35">
      <c r="A794" s="11" t="s">
        <v>767</v>
      </c>
      <c r="B794" s="11" t="s">
        <v>7</v>
      </c>
      <c r="C794" s="11" t="s">
        <v>614</v>
      </c>
      <c r="D794" s="11" t="s">
        <v>1124</v>
      </c>
      <c r="E794" s="11" t="s">
        <v>667</v>
      </c>
      <c r="F794" s="20">
        <v>255</v>
      </c>
      <c r="G794" s="21">
        <v>2455.61</v>
      </c>
      <c r="H794" s="13">
        <v>121.2098238120662</v>
      </c>
      <c r="I794" s="13">
        <v>102.8006943178617</v>
      </c>
      <c r="J794" s="13">
        <v>135.94717690055131</v>
      </c>
      <c r="K794" s="7">
        <f t="shared" si="24"/>
        <v>127.27031500266952</v>
      </c>
      <c r="L794" s="7">
        <f t="shared" si="25"/>
        <v>115.14933262146289</v>
      </c>
      <c r="M794" s="3" t="s">
        <v>1125</v>
      </c>
    </row>
    <row r="795" spans="1:13" x14ac:dyDescent="0.35">
      <c r="A795" s="11" t="s">
        <v>1810</v>
      </c>
      <c r="B795" s="11" t="s">
        <v>7</v>
      </c>
      <c r="C795" s="11" t="s">
        <v>614</v>
      </c>
      <c r="D795" s="11" t="s">
        <v>1124</v>
      </c>
      <c r="E795" s="11" t="s">
        <v>818</v>
      </c>
      <c r="F795" s="20">
        <v>8</v>
      </c>
      <c r="G795" s="21">
        <v>20.52</v>
      </c>
      <c r="H795" s="13">
        <v>99.505769230769218</v>
      </c>
      <c r="I795" s="13">
        <v>94.287499999999994</v>
      </c>
      <c r="J795" s="13">
        <v>115.7392972170106</v>
      </c>
      <c r="K795" s="7">
        <f t="shared" si="24"/>
        <v>104.48105769230769</v>
      </c>
      <c r="L795" s="7">
        <f t="shared" si="25"/>
        <v>94.530480769230749</v>
      </c>
      <c r="M795" s="3" t="s">
        <v>1125</v>
      </c>
    </row>
    <row r="796" spans="1:13" x14ac:dyDescent="0.35">
      <c r="A796" s="11" t="s">
        <v>731</v>
      </c>
      <c r="B796" s="11" t="s">
        <v>7</v>
      </c>
      <c r="C796" s="11" t="s">
        <v>614</v>
      </c>
      <c r="D796" s="11" t="s">
        <v>1124</v>
      </c>
      <c r="E796" s="11" t="s">
        <v>730</v>
      </c>
      <c r="F796" s="20">
        <v>66</v>
      </c>
      <c r="G796" s="21">
        <v>730</v>
      </c>
      <c r="H796" s="13">
        <v>131.68708185421639</v>
      </c>
      <c r="I796" s="13">
        <v>121.63679530340239</v>
      </c>
      <c r="J796" s="13">
        <v>146.53232489055659</v>
      </c>
      <c r="K796" s="7">
        <f t="shared" si="24"/>
        <v>138.27143594692723</v>
      </c>
      <c r="L796" s="7">
        <f t="shared" si="25"/>
        <v>125.10272776150556</v>
      </c>
      <c r="M796" s="3" t="s">
        <v>1125</v>
      </c>
    </row>
    <row r="797" spans="1:13" x14ac:dyDescent="0.35">
      <c r="A797" s="11" t="s">
        <v>1811</v>
      </c>
      <c r="B797" s="11" t="s">
        <v>7</v>
      </c>
      <c r="C797" s="11" t="s">
        <v>614</v>
      </c>
      <c r="D797" s="11" t="s">
        <v>1124</v>
      </c>
      <c r="E797" s="11" t="s">
        <v>122</v>
      </c>
      <c r="F797" s="20">
        <v>45</v>
      </c>
      <c r="G797" s="21">
        <v>532.70999999999992</v>
      </c>
      <c r="H797" s="13">
        <v>129.28429423459241</v>
      </c>
      <c r="I797" s="13">
        <v>118.14039408867001</v>
      </c>
      <c r="J797" s="13">
        <v>137.98546025104599</v>
      </c>
      <c r="K797" s="7">
        <f t="shared" si="24"/>
        <v>135.74850894632203</v>
      </c>
      <c r="L797" s="7">
        <f t="shared" si="25"/>
        <v>122.82007952286278</v>
      </c>
      <c r="M797" s="3" t="s">
        <v>1125</v>
      </c>
    </row>
    <row r="798" spans="1:13" x14ac:dyDescent="0.35">
      <c r="A798" s="11" t="s">
        <v>1812</v>
      </c>
      <c r="B798" s="11" t="s">
        <v>7</v>
      </c>
      <c r="C798" s="11" t="s">
        <v>614</v>
      </c>
      <c r="D798" s="11" t="s">
        <v>1124</v>
      </c>
      <c r="E798" s="11" t="s">
        <v>827</v>
      </c>
      <c r="F798" s="20">
        <v>22</v>
      </c>
      <c r="G798" s="21">
        <v>192.92</v>
      </c>
      <c r="H798" s="13">
        <v>122.1055919489644</v>
      </c>
      <c r="I798" s="13">
        <v>105.9370246105463</v>
      </c>
      <c r="J798" s="13">
        <v>133.0805785123967</v>
      </c>
      <c r="K798" s="7">
        <f t="shared" si="24"/>
        <v>128.21087154641262</v>
      </c>
      <c r="L798" s="7">
        <f t="shared" si="25"/>
        <v>116.00031235151617</v>
      </c>
      <c r="M798" s="3" t="s">
        <v>1125</v>
      </c>
    </row>
    <row r="799" spans="1:13" x14ac:dyDescent="0.35">
      <c r="A799" s="11" t="s">
        <v>1813</v>
      </c>
      <c r="B799" s="11" t="s">
        <v>7</v>
      </c>
      <c r="C799" s="11" t="s">
        <v>614</v>
      </c>
      <c r="D799" s="11" t="s">
        <v>1124</v>
      </c>
      <c r="E799" s="11" t="s">
        <v>749</v>
      </c>
      <c r="F799" s="20">
        <v>19</v>
      </c>
      <c r="G799" s="21">
        <v>214.26</v>
      </c>
      <c r="H799" s="13">
        <v>122.0963855421687</v>
      </c>
      <c r="I799" s="13">
        <v>100.9467871485944</v>
      </c>
      <c r="J799" s="13">
        <v>134.36315161417451</v>
      </c>
      <c r="K799" s="7">
        <f t="shared" si="24"/>
        <v>128.20120481927714</v>
      </c>
      <c r="L799" s="7">
        <f t="shared" si="25"/>
        <v>115.99156626506026</v>
      </c>
      <c r="M799" s="3" t="s">
        <v>1125</v>
      </c>
    </row>
    <row r="800" spans="1:13" x14ac:dyDescent="0.35">
      <c r="A800" s="11" t="s">
        <v>702</v>
      </c>
      <c r="B800" s="11" t="s">
        <v>7</v>
      </c>
      <c r="C800" s="11" t="s">
        <v>614</v>
      </c>
      <c r="D800" s="11" t="s">
        <v>1124</v>
      </c>
      <c r="E800" s="11" t="s">
        <v>633</v>
      </c>
      <c r="F800" s="20">
        <v>1254</v>
      </c>
      <c r="G800" s="21">
        <v>11794.07</v>
      </c>
      <c r="H800" s="13">
        <v>120.3572922555116</v>
      </c>
      <c r="I800" s="13">
        <v>102.9617392327084</v>
      </c>
      <c r="J800" s="13">
        <v>135.68765508684871</v>
      </c>
      <c r="K800" s="7">
        <f t="shared" si="24"/>
        <v>126.37515686828718</v>
      </c>
      <c r="L800" s="7">
        <f t="shared" si="25"/>
        <v>114.33942764273601</v>
      </c>
      <c r="M800" s="3" t="s">
        <v>1125</v>
      </c>
    </row>
    <row r="801" spans="1:13" x14ac:dyDescent="0.35">
      <c r="A801" s="11" t="s">
        <v>786</v>
      </c>
      <c r="B801" s="11" t="s">
        <v>7</v>
      </c>
      <c r="C801" s="11" t="s">
        <v>614</v>
      </c>
      <c r="D801" s="11" t="s">
        <v>1124</v>
      </c>
      <c r="E801" s="11" t="s">
        <v>670</v>
      </c>
      <c r="F801" s="20">
        <v>133</v>
      </c>
      <c r="G801" s="21">
        <v>1307.0648000000001</v>
      </c>
      <c r="H801" s="13">
        <v>113</v>
      </c>
      <c r="I801" s="13">
        <v>96.118439716312054</v>
      </c>
      <c r="J801" s="13">
        <v>130.2355029585799</v>
      </c>
      <c r="K801" s="7">
        <f t="shared" si="24"/>
        <v>118.65</v>
      </c>
      <c r="L801" s="7">
        <f t="shared" si="25"/>
        <v>107.35</v>
      </c>
      <c r="M801" s="3" t="s">
        <v>1125</v>
      </c>
    </row>
    <row r="802" spans="1:13" x14ac:dyDescent="0.35">
      <c r="A802" s="11" t="s">
        <v>1047</v>
      </c>
      <c r="B802" s="11" t="s">
        <v>7</v>
      </c>
      <c r="C802" s="11" t="s">
        <v>614</v>
      </c>
      <c r="D802" s="11" t="s">
        <v>1124</v>
      </c>
      <c r="E802" s="11" t="s">
        <v>28</v>
      </c>
      <c r="F802" s="20">
        <v>407</v>
      </c>
      <c r="G802" s="21">
        <v>3551.889999999999</v>
      </c>
      <c r="H802" s="13">
        <v>121.878762541806</v>
      </c>
      <c r="I802" s="13">
        <v>107.4519412257829</v>
      </c>
      <c r="J802" s="13">
        <v>139.08490766073871</v>
      </c>
      <c r="K802" s="7">
        <f t="shared" si="24"/>
        <v>127.97270066889631</v>
      </c>
      <c r="L802" s="7">
        <f t="shared" si="25"/>
        <v>115.78482441471569</v>
      </c>
      <c r="M802" s="3" t="s">
        <v>1125</v>
      </c>
    </row>
    <row r="803" spans="1:13" x14ac:dyDescent="0.35">
      <c r="A803" s="11" t="s">
        <v>1814</v>
      </c>
      <c r="B803" s="11" t="s">
        <v>7</v>
      </c>
      <c r="C803" s="11" t="s">
        <v>614</v>
      </c>
      <c r="D803" s="11" t="s">
        <v>1124</v>
      </c>
      <c r="E803" s="11" t="s">
        <v>186</v>
      </c>
      <c r="F803" s="20">
        <v>99</v>
      </c>
      <c r="G803" s="21">
        <v>971.04000000000008</v>
      </c>
      <c r="H803" s="13">
        <v>123.5403225806452</v>
      </c>
      <c r="I803" s="13">
        <v>105.14108311136749</v>
      </c>
      <c r="J803" s="13">
        <v>139.76297487552819</v>
      </c>
      <c r="K803" s="7">
        <f t="shared" si="24"/>
        <v>129.71733870967745</v>
      </c>
      <c r="L803" s="7">
        <f t="shared" si="25"/>
        <v>117.36330645161293</v>
      </c>
      <c r="M803" s="3" t="s">
        <v>1125</v>
      </c>
    </row>
    <row r="804" spans="1:13" x14ac:dyDescent="0.35">
      <c r="A804" s="11" t="s">
        <v>882</v>
      </c>
      <c r="B804" s="11" t="s">
        <v>7</v>
      </c>
      <c r="C804" s="11" t="s">
        <v>614</v>
      </c>
      <c r="D804" s="11" t="s">
        <v>1124</v>
      </c>
      <c r="E804" s="11" t="s">
        <v>641</v>
      </c>
      <c r="F804" s="20">
        <v>225</v>
      </c>
      <c r="G804" s="21">
        <v>2426.41</v>
      </c>
      <c r="H804" s="13">
        <v>120.25823591923491</v>
      </c>
      <c r="I804" s="13">
        <v>106.9466666666667</v>
      </c>
      <c r="J804" s="13">
        <v>134.1320754716981</v>
      </c>
      <c r="K804" s="7">
        <f t="shared" si="24"/>
        <v>126.27114771519666</v>
      </c>
      <c r="L804" s="7">
        <f t="shared" si="25"/>
        <v>114.24532412327315</v>
      </c>
      <c r="M804" s="3" t="s">
        <v>1125</v>
      </c>
    </row>
    <row r="805" spans="1:13" x14ac:dyDescent="0.35">
      <c r="A805" s="11" t="s">
        <v>1815</v>
      </c>
      <c r="B805" s="11" t="s">
        <v>7</v>
      </c>
      <c r="C805" s="11" t="s">
        <v>614</v>
      </c>
      <c r="D805" s="11" t="s">
        <v>1124</v>
      </c>
      <c r="E805" s="11" t="s">
        <v>733</v>
      </c>
      <c r="F805" s="20">
        <v>103</v>
      </c>
      <c r="G805" s="21">
        <v>949.89</v>
      </c>
      <c r="H805" s="13">
        <v>120.264168190128</v>
      </c>
      <c r="I805" s="13">
        <v>103.31144586856951</v>
      </c>
      <c r="J805" s="13">
        <v>137.79840985934189</v>
      </c>
      <c r="K805" s="7">
        <f t="shared" si="24"/>
        <v>126.27737659963441</v>
      </c>
      <c r="L805" s="7">
        <f t="shared" si="25"/>
        <v>114.2509597806216</v>
      </c>
      <c r="M805" s="3" t="s">
        <v>1125</v>
      </c>
    </row>
    <row r="806" spans="1:13" x14ac:dyDescent="0.35">
      <c r="A806" s="11" t="s">
        <v>1816</v>
      </c>
      <c r="B806" s="11" t="s">
        <v>7</v>
      </c>
      <c r="C806" s="11" t="s">
        <v>614</v>
      </c>
      <c r="D806" s="11" t="s">
        <v>1124</v>
      </c>
      <c r="E806" s="11" t="s">
        <v>790</v>
      </c>
      <c r="F806" s="20">
        <v>36</v>
      </c>
      <c r="G806" s="21">
        <v>297.19</v>
      </c>
      <c r="H806" s="13">
        <v>106.6031237523255</v>
      </c>
      <c r="I806" s="13">
        <v>93.472541574317077</v>
      </c>
      <c r="J806" s="13">
        <v>121.935667752443</v>
      </c>
      <c r="K806" s="7">
        <f t="shared" si="24"/>
        <v>111.93327993994178</v>
      </c>
      <c r="L806" s="7">
        <f t="shared" si="25"/>
        <v>101.27296756470922</v>
      </c>
      <c r="M806" s="3" t="s">
        <v>1125</v>
      </c>
    </row>
    <row r="807" spans="1:13" x14ac:dyDescent="0.35">
      <c r="A807" s="11" t="s">
        <v>716</v>
      </c>
      <c r="B807" s="11" t="s">
        <v>7</v>
      </c>
      <c r="C807" s="11" t="s">
        <v>614</v>
      </c>
      <c r="D807" s="11" t="s">
        <v>1124</v>
      </c>
      <c r="E807" s="11" t="s">
        <v>131</v>
      </c>
      <c r="F807" s="20">
        <v>609</v>
      </c>
      <c r="G807" s="21">
        <v>6004.74</v>
      </c>
      <c r="H807" s="13">
        <v>123.8967780429594</v>
      </c>
      <c r="I807" s="13">
        <v>109.2530285714286</v>
      </c>
      <c r="J807" s="13">
        <v>140.55364583333329</v>
      </c>
      <c r="K807" s="7">
        <f t="shared" si="24"/>
        <v>130.09161694510738</v>
      </c>
      <c r="L807" s="7">
        <f t="shared" si="25"/>
        <v>117.70193914081142</v>
      </c>
      <c r="M807" s="3" t="s">
        <v>1125</v>
      </c>
    </row>
  </sheetData>
  <autoFilter ref="A4:M80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Calificación 2026</vt:lpstr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Riopaila</dc:creator>
  <dcterms:created xsi:type="dcterms:W3CDTF">2026-10-22T13:33:24Z</dcterms:created>
  <dcterms:modified xsi:type="dcterms:W3CDTF">2026-10-22T13:33:34Z</dcterms:modified>
</cp:coreProperties>
</file>