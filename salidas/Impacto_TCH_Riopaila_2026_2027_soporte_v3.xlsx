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gr349\Documents\RIOPAILA AGRICOLA\01 Estimados y TCH\"/>
    </mc:Choice>
  </mc:AlternateContent>
  <xr:revisionPtr revIDLastSave="0" documentId="13_ncr:1_{1605C47B-AE42-40C4-A490-7686B97CD43E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Resumen" sheetId="1" r:id="rId1"/>
    <sheet name="Efectos y supuestos" sheetId="2" r:id="rId2"/>
    <sheet name="Renovación" sheetId="3" r:id="rId3"/>
    <sheet name="Roturación" sheetId="4" r:id="rId4"/>
    <sheet name="Malezas" sheetId="5" r:id="rId5"/>
    <sheet name="Riego y lluvia" sheetId="6" r:id="rId6"/>
    <sheet name="Lucro cesante" sheetId="7" r:id="rId7"/>
    <sheet name="Corte a siembra" sheetId="8" r:id="rId8"/>
    <sheet name="Fertilización" sheetId="9" r:id="rId9"/>
    <sheet name="Cómo se hiz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2" i="9" l="1"/>
  <c r="B7" i="1" s="1"/>
  <c r="B109" i="8"/>
  <c r="E6" i="1" s="1"/>
  <c r="B51" i="8"/>
  <c r="B6" i="1" s="1"/>
  <c r="B46" i="7"/>
  <c r="E12" i="1" s="1"/>
  <c r="E45" i="7"/>
  <c r="E44" i="7"/>
  <c r="B41" i="7"/>
  <c r="B12" i="1" s="1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F21" i="6"/>
  <c r="F10" i="1" s="1"/>
  <c r="G10" i="1" s="1"/>
  <c r="C21" i="6"/>
  <c r="E10" i="1" s="1"/>
  <c r="E17" i="6"/>
  <c r="D17" i="6"/>
  <c r="E16" i="6"/>
  <c r="D16" i="6"/>
  <c r="E15" i="6"/>
  <c r="D15" i="6"/>
  <c r="E11" i="6"/>
  <c r="D11" i="6"/>
  <c r="E7" i="6"/>
  <c r="D7" i="6"/>
  <c r="E6" i="6"/>
  <c r="D6" i="6"/>
  <c r="E5" i="6"/>
  <c r="D5" i="6"/>
  <c r="G793" i="5"/>
  <c r="H793" i="5" s="1"/>
  <c r="G792" i="5"/>
  <c r="H792" i="5" s="1"/>
  <c r="G791" i="5"/>
  <c r="H791" i="5" s="1"/>
  <c r="G790" i="5"/>
  <c r="H790" i="5" s="1"/>
  <c r="G789" i="5"/>
  <c r="H789" i="5" s="1"/>
  <c r="G788" i="5"/>
  <c r="H788" i="5" s="1"/>
  <c r="G787" i="5"/>
  <c r="H787" i="5" s="1"/>
  <c r="G786" i="5"/>
  <c r="H786" i="5" s="1"/>
  <c r="G785" i="5"/>
  <c r="H785" i="5" s="1"/>
  <c r="G784" i="5"/>
  <c r="H784" i="5" s="1"/>
  <c r="G783" i="5"/>
  <c r="H783" i="5" s="1"/>
  <c r="G782" i="5"/>
  <c r="H782" i="5" s="1"/>
  <c r="G781" i="5"/>
  <c r="H781" i="5" s="1"/>
  <c r="G780" i="5"/>
  <c r="H780" i="5" s="1"/>
  <c r="G779" i="5"/>
  <c r="H779" i="5" s="1"/>
  <c r="G778" i="5"/>
  <c r="H778" i="5" s="1"/>
  <c r="G777" i="5"/>
  <c r="H777" i="5" s="1"/>
  <c r="G776" i="5"/>
  <c r="H776" i="5" s="1"/>
  <c r="G775" i="5"/>
  <c r="H775" i="5" s="1"/>
  <c r="G774" i="5"/>
  <c r="H774" i="5" s="1"/>
  <c r="G773" i="5"/>
  <c r="H773" i="5" s="1"/>
  <c r="G772" i="5"/>
  <c r="H772" i="5" s="1"/>
  <c r="G771" i="5"/>
  <c r="H771" i="5" s="1"/>
  <c r="G770" i="5"/>
  <c r="H770" i="5" s="1"/>
  <c r="G769" i="5"/>
  <c r="H769" i="5" s="1"/>
  <c r="G768" i="5"/>
  <c r="H768" i="5" s="1"/>
  <c r="G767" i="5"/>
  <c r="H767" i="5" s="1"/>
  <c r="G766" i="5"/>
  <c r="H766" i="5" s="1"/>
  <c r="G765" i="5"/>
  <c r="H765" i="5" s="1"/>
  <c r="G764" i="5"/>
  <c r="H764" i="5" s="1"/>
  <c r="G763" i="5"/>
  <c r="H763" i="5" s="1"/>
  <c r="G762" i="5"/>
  <c r="H762" i="5" s="1"/>
  <c r="G761" i="5"/>
  <c r="H761" i="5" s="1"/>
  <c r="G760" i="5"/>
  <c r="H760" i="5" s="1"/>
  <c r="G759" i="5"/>
  <c r="H759" i="5" s="1"/>
  <c r="G758" i="5"/>
  <c r="H758" i="5" s="1"/>
  <c r="G757" i="5"/>
  <c r="H757" i="5" s="1"/>
  <c r="G756" i="5"/>
  <c r="H756" i="5" s="1"/>
  <c r="G755" i="5"/>
  <c r="H755" i="5" s="1"/>
  <c r="G754" i="5"/>
  <c r="H754" i="5" s="1"/>
  <c r="G753" i="5"/>
  <c r="H753" i="5" s="1"/>
  <c r="G752" i="5"/>
  <c r="H752" i="5" s="1"/>
  <c r="G751" i="5"/>
  <c r="H751" i="5" s="1"/>
  <c r="G750" i="5"/>
  <c r="H750" i="5" s="1"/>
  <c r="G749" i="5"/>
  <c r="H749" i="5" s="1"/>
  <c r="G748" i="5"/>
  <c r="H748" i="5" s="1"/>
  <c r="G747" i="5"/>
  <c r="H747" i="5" s="1"/>
  <c r="G746" i="5"/>
  <c r="H746" i="5" s="1"/>
  <c r="G745" i="5"/>
  <c r="H745" i="5" s="1"/>
  <c r="G744" i="5"/>
  <c r="H744" i="5" s="1"/>
  <c r="G743" i="5"/>
  <c r="H743" i="5" s="1"/>
  <c r="G742" i="5"/>
  <c r="H742" i="5" s="1"/>
  <c r="G741" i="5"/>
  <c r="H741" i="5" s="1"/>
  <c r="G740" i="5"/>
  <c r="H740" i="5" s="1"/>
  <c r="G739" i="5"/>
  <c r="H739" i="5" s="1"/>
  <c r="G738" i="5"/>
  <c r="H738" i="5" s="1"/>
  <c r="G737" i="5"/>
  <c r="H737" i="5" s="1"/>
  <c r="G736" i="5"/>
  <c r="H736" i="5" s="1"/>
  <c r="G735" i="5"/>
  <c r="H735" i="5" s="1"/>
  <c r="G734" i="5"/>
  <c r="H734" i="5" s="1"/>
  <c r="G733" i="5"/>
  <c r="H733" i="5" s="1"/>
  <c r="G732" i="5"/>
  <c r="H732" i="5" s="1"/>
  <c r="G731" i="5"/>
  <c r="H731" i="5" s="1"/>
  <c r="G730" i="5"/>
  <c r="H730" i="5" s="1"/>
  <c r="G729" i="5"/>
  <c r="H729" i="5" s="1"/>
  <c r="G728" i="5"/>
  <c r="H728" i="5" s="1"/>
  <c r="G727" i="5"/>
  <c r="H727" i="5" s="1"/>
  <c r="G726" i="5"/>
  <c r="H726" i="5" s="1"/>
  <c r="G725" i="5"/>
  <c r="H725" i="5" s="1"/>
  <c r="G724" i="5"/>
  <c r="H724" i="5" s="1"/>
  <c r="G723" i="5"/>
  <c r="H723" i="5" s="1"/>
  <c r="G722" i="5"/>
  <c r="H722" i="5" s="1"/>
  <c r="G721" i="5"/>
  <c r="H721" i="5" s="1"/>
  <c r="G720" i="5"/>
  <c r="H720" i="5" s="1"/>
  <c r="G719" i="5"/>
  <c r="H719" i="5" s="1"/>
  <c r="G718" i="5"/>
  <c r="H718" i="5" s="1"/>
  <c r="G717" i="5"/>
  <c r="H717" i="5" s="1"/>
  <c r="G716" i="5"/>
  <c r="H716" i="5" s="1"/>
  <c r="G715" i="5"/>
  <c r="H715" i="5" s="1"/>
  <c r="G714" i="5"/>
  <c r="H714" i="5" s="1"/>
  <c r="G713" i="5"/>
  <c r="H713" i="5" s="1"/>
  <c r="G712" i="5"/>
  <c r="H712" i="5" s="1"/>
  <c r="G711" i="5"/>
  <c r="H711" i="5" s="1"/>
  <c r="G710" i="5"/>
  <c r="H710" i="5" s="1"/>
  <c r="G709" i="5"/>
  <c r="H709" i="5" s="1"/>
  <c r="G708" i="5"/>
  <c r="H708" i="5" s="1"/>
  <c r="G707" i="5"/>
  <c r="H707" i="5" s="1"/>
  <c r="G706" i="5"/>
  <c r="H706" i="5" s="1"/>
  <c r="G705" i="5"/>
  <c r="H705" i="5" s="1"/>
  <c r="G704" i="5"/>
  <c r="H704" i="5" s="1"/>
  <c r="G703" i="5"/>
  <c r="H703" i="5" s="1"/>
  <c r="G702" i="5"/>
  <c r="H702" i="5" s="1"/>
  <c r="G701" i="5"/>
  <c r="H701" i="5" s="1"/>
  <c r="G700" i="5"/>
  <c r="H700" i="5" s="1"/>
  <c r="G699" i="5"/>
  <c r="H699" i="5" s="1"/>
  <c r="G698" i="5"/>
  <c r="H698" i="5" s="1"/>
  <c r="G697" i="5"/>
  <c r="H697" i="5" s="1"/>
  <c r="G696" i="5"/>
  <c r="H696" i="5" s="1"/>
  <c r="G695" i="5"/>
  <c r="H695" i="5" s="1"/>
  <c r="G694" i="5"/>
  <c r="H694" i="5" s="1"/>
  <c r="G693" i="5"/>
  <c r="H693" i="5" s="1"/>
  <c r="G692" i="5"/>
  <c r="H692" i="5" s="1"/>
  <c r="G691" i="5"/>
  <c r="H691" i="5" s="1"/>
  <c r="G690" i="5"/>
  <c r="H690" i="5" s="1"/>
  <c r="G689" i="5"/>
  <c r="H689" i="5" s="1"/>
  <c r="G688" i="5"/>
  <c r="H688" i="5" s="1"/>
  <c r="G687" i="5"/>
  <c r="H687" i="5" s="1"/>
  <c r="G686" i="5"/>
  <c r="H686" i="5" s="1"/>
  <c r="G685" i="5"/>
  <c r="H685" i="5" s="1"/>
  <c r="G684" i="5"/>
  <c r="H684" i="5" s="1"/>
  <c r="G683" i="5"/>
  <c r="H683" i="5" s="1"/>
  <c r="G682" i="5"/>
  <c r="H682" i="5" s="1"/>
  <c r="G681" i="5"/>
  <c r="H681" i="5" s="1"/>
  <c r="G680" i="5"/>
  <c r="H680" i="5" s="1"/>
  <c r="G679" i="5"/>
  <c r="H679" i="5" s="1"/>
  <c r="G678" i="5"/>
  <c r="H678" i="5" s="1"/>
  <c r="G677" i="5"/>
  <c r="H677" i="5" s="1"/>
  <c r="G676" i="5"/>
  <c r="H676" i="5" s="1"/>
  <c r="G675" i="5"/>
  <c r="H675" i="5" s="1"/>
  <c r="G674" i="5"/>
  <c r="H674" i="5" s="1"/>
  <c r="G673" i="5"/>
  <c r="H673" i="5" s="1"/>
  <c r="G672" i="5"/>
  <c r="H672" i="5" s="1"/>
  <c r="G671" i="5"/>
  <c r="H671" i="5" s="1"/>
  <c r="G670" i="5"/>
  <c r="H670" i="5" s="1"/>
  <c r="G669" i="5"/>
  <c r="H669" i="5" s="1"/>
  <c r="G668" i="5"/>
  <c r="H668" i="5" s="1"/>
  <c r="G667" i="5"/>
  <c r="H667" i="5" s="1"/>
  <c r="G666" i="5"/>
  <c r="H666" i="5" s="1"/>
  <c r="G665" i="5"/>
  <c r="H665" i="5" s="1"/>
  <c r="G664" i="5"/>
  <c r="H664" i="5" s="1"/>
  <c r="G663" i="5"/>
  <c r="H663" i="5" s="1"/>
  <c r="G662" i="5"/>
  <c r="H662" i="5" s="1"/>
  <c r="G661" i="5"/>
  <c r="H661" i="5" s="1"/>
  <c r="G660" i="5"/>
  <c r="H660" i="5" s="1"/>
  <c r="G659" i="5"/>
  <c r="H659" i="5" s="1"/>
  <c r="G658" i="5"/>
  <c r="H658" i="5" s="1"/>
  <c r="G657" i="5"/>
  <c r="H657" i="5" s="1"/>
  <c r="G656" i="5"/>
  <c r="H656" i="5" s="1"/>
  <c r="G655" i="5"/>
  <c r="H655" i="5" s="1"/>
  <c r="G654" i="5"/>
  <c r="H654" i="5" s="1"/>
  <c r="G653" i="5"/>
  <c r="H653" i="5" s="1"/>
  <c r="G652" i="5"/>
  <c r="H652" i="5" s="1"/>
  <c r="G651" i="5"/>
  <c r="H651" i="5" s="1"/>
  <c r="G650" i="5"/>
  <c r="H650" i="5" s="1"/>
  <c r="G649" i="5"/>
  <c r="H649" i="5" s="1"/>
  <c r="G648" i="5"/>
  <c r="H648" i="5" s="1"/>
  <c r="G647" i="5"/>
  <c r="H647" i="5" s="1"/>
  <c r="G646" i="5"/>
  <c r="H646" i="5" s="1"/>
  <c r="G645" i="5"/>
  <c r="H645" i="5" s="1"/>
  <c r="G644" i="5"/>
  <c r="H644" i="5" s="1"/>
  <c r="G643" i="5"/>
  <c r="H643" i="5" s="1"/>
  <c r="G642" i="5"/>
  <c r="H642" i="5" s="1"/>
  <c r="G641" i="5"/>
  <c r="H641" i="5" s="1"/>
  <c r="G640" i="5"/>
  <c r="H640" i="5" s="1"/>
  <c r="G639" i="5"/>
  <c r="H639" i="5" s="1"/>
  <c r="G638" i="5"/>
  <c r="H638" i="5" s="1"/>
  <c r="G637" i="5"/>
  <c r="H637" i="5" s="1"/>
  <c r="G636" i="5"/>
  <c r="H636" i="5" s="1"/>
  <c r="G635" i="5"/>
  <c r="H635" i="5" s="1"/>
  <c r="G634" i="5"/>
  <c r="H634" i="5" s="1"/>
  <c r="G633" i="5"/>
  <c r="H633" i="5" s="1"/>
  <c r="G632" i="5"/>
  <c r="H632" i="5" s="1"/>
  <c r="G631" i="5"/>
  <c r="H631" i="5" s="1"/>
  <c r="G630" i="5"/>
  <c r="H630" i="5" s="1"/>
  <c r="G629" i="5"/>
  <c r="H629" i="5" s="1"/>
  <c r="G628" i="5"/>
  <c r="H628" i="5" s="1"/>
  <c r="G627" i="5"/>
  <c r="H627" i="5" s="1"/>
  <c r="G626" i="5"/>
  <c r="H626" i="5" s="1"/>
  <c r="G625" i="5"/>
  <c r="H625" i="5" s="1"/>
  <c r="G624" i="5"/>
  <c r="H624" i="5" s="1"/>
  <c r="G623" i="5"/>
  <c r="H623" i="5" s="1"/>
  <c r="G622" i="5"/>
  <c r="H622" i="5" s="1"/>
  <c r="G621" i="5"/>
  <c r="H621" i="5" s="1"/>
  <c r="G620" i="5"/>
  <c r="H620" i="5" s="1"/>
  <c r="G619" i="5"/>
  <c r="H619" i="5" s="1"/>
  <c r="G618" i="5"/>
  <c r="H618" i="5" s="1"/>
  <c r="G617" i="5"/>
  <c r="H617" i="5" s="1"/>
  <c r="G616" i="5"/>
  <c r="H616" i="5" s="1"/>
  <c r="G615" i="5"/>
  <c r="H615" i="5" s="1"/>
  <c r="G614" i="5"/>
  <c r="H614" i="5" s="1"/>
  <c r="G613" i="5"/>
  <c r="H613" i="5" s="1"/>
  <c r="G612" i="5"/>
  <c r="H612" i="5" s="1"/>
  <c r="G611" i="5"/>
  <c r="H611" i="5" s="1"/>
  <c r="G610" i="5"/>
  <c r="H610" i="5" s="1"/>
  <c r="G609" i="5"/>
  <c r="H609" i="5" s="1"/>
  <c r="G608" i="5"/>
  <c r="H608" i="5" s="1"/>
  <c r="G607" i="5"/>
  <c r="H607" i="5" s="1"/>
  <c r="G606" i="5"/>
  <c r="H606" i="5" s="1"/>
  <c r="G605" i="5"/>
  <c r="H605" i="5" s="1"/>
  <c r="G604" i="5"/>
  <c r="H604" i="5" s="1"/>
  <c r="G603" i="5"/>
  <c r="H603" i="5" s="1"/>
  <c r="G602" i="5"/>
  <c r="H602" i="5" s="1"/>
  <c r="G601" i="5"/>
  <c r="H601" i="5" s="1"/>
  <c r="G600" i="5"/>
  <c r="H600" i="5" s="1"/>
  <c r="G599" i="5"/>
  <c r="H599" i="5" s="1"/>
  <c r="G598" i="5"/>
  <c r="H598" i="5" s="1"/>
  <c r="G597" i="5"/>
  <c r="H597" i="5" s="1"/>
  <c r="G596" i="5"/>
  <c r="H596" i="5" s="1"/>
  <c r="G595" i="5"/>
  <c r="H595" i="5" s="1"/>
  <c r="G594" i="5"/>
  <c r="H594" i="5" s="1"/>
  <c r="G593" i="5"/>
  <c r="H593" i="5" s="1"/>
  <c r="G592" i="5"/>
  <c r="H592" i="5" s="1"/>
  <c r="G591" i="5"/>
  <c r="H591" i="5" s="1"/>
  <c r="G590" i="5"/>
  <c r="H590" i="5" s="1"/>
  <c r="G589" i="5"/>
  <c r="H589" i="5" s="1"/>
  <c r="G588" i="5"/>
  <c r="H588" i="5" s="1"/>
  <c r="G587" i="5"/>
  <c r="H587" i="5" s="1"/>
  <c r="G586" i="5"/>
  <c r="H586" i="5" s="1"/>
  <c r="G585" i="5"/>
  <c r="H585" i="5" s="1"/>
  <c r="G584" i="5"/>
  <c r="H584" i="5" s="1"/>
  <c r="G583" i="5"/>
  <c r="H583" i="5" s="1"/>
  <c r="G582" i="5"/>
  <c r="H582" i="5" s="1"/>
  <c r="G581" i="5"/>
  <c r="H581" i="5" s="1"/>
  <c r="G580" i="5"/>
  <c r="H580" i="5" s="1"/>
  <c r="G579" i="5"/>
  <c r="H579" i="5" s="1"/>
  <c r="G578" i="5"/>
  <c r="H578" i="5" s="1"/>
  <c r="G577" i="5"/>
  <c r="H577" i="5" s="1"/>
  <c r="G576" i="5"/>
  <c r="H576" i="5" s="1"/>
  <c r="G575" i="5"/>
  <c r="H575" i="5" s="1"/>
  <c r="G574" i="5"/>
  <c r="H574" i="5" s="1"/>
  <c r="G573" i="5"/>
  <c r="H573" i="5" s="1"/>
  <c r="G572" i="5"/>
  <c r="H572" i="5" s="1"/>
  <c r="G571" i="5"/>
  <c r="H571" i="5" s="1"/>
  <c r="G570" i="5"/>
  <c r="H570" i="5" s="1"/>
  <c r="G569" i="5"/>
  <c r="H569" i="5" s="1"/>
  <c r="G568" i="5"/>
  <c r="H568" i="5" s="1"/>
  <c r="G567" i="5"/>
  <c r="H567" i="5" s="1"/>
  <c r="G566" i="5"/>
  <c r="H566" i="5" s="1"/>
  <c r="G565" i="5"/>
  <c r="H565" i="5" s="1"/>
  <c r="G564" i="5"/>
  <c r="H564" i="5" s="1"/>
  <c r="G563" i="5"/>
  <c r="H563" i="5" s="1"/>
  <c r="G562" i="5"/>
  <c r="H562" i="5" s="1"/>
  <c r="G561" i="5"/>
  <c r="H561" i="5" s="1"/>
  <c r="G560" i="5"/>
  <c r="H560" i="5" s="1"/>
  <c r="G559" i="5"/>
  <c r="H559" i="5" s="1"/>
  <c r="G558" i="5"/>
  <c r="H558" i="5" s="1"/>
  <c r="G557" i="5"/>
  <c r="H557" i="5" s="1"/>
  <c r="G556" i="5"/>
  <c r="H556" i="5" s="1"/>
  <c r="G555" i="5"/>
  <c r="H555" i="5" s="1"/>
  <c r="G554" i="5"/>
  <c r="H554" i="5" s="1"/>
  <c r="G553" i="5"/>
  <c r="H553" i="5" s="1"/>
  <c r="G552" i="5"/>
  <c r="H552" i="5" s="1"/>
  <c r="G551" i="5"/>
  <c r="H551" i="5" s="1"/>
  <c r="G550" i="5"/>
  <c r="H550" i="5" s="1"/>
  <c r="G549" i="5"/>
  <c r="H549" i="5" s="1"/>
  <c r="G548" i="5"/>
  <c r="H548" i="5" s="1"/>
  <c r="G547" i="5"/>
  <c r="H547" i="5" s="1"/>
  <c r="G546" i="5"/>
  <c r="H546" i="5" s="1"/>
  <c r="G545" i="5"/>
  <c r="H545" i="5" s="1"/>
  <c r="G544" i="5"/>
  <c r="H544" i="5" s="1"/>
  <c r="G543" i="5"/>
  <c r="H543" i="5" s="1"/>
  <c r="G542" i="5"/>
  <c r="H542" i="5" s="1"/>
  <c r="G541" i="5"/>
  <c r="H541" i="5" s="1"/>
  <c r="G540" i="5"/>
  <c r="H540" i="5" s="1"/>
  <c r="G539" i="5"/>
  <c r="H539" i="5" s="1"/>
  <c r="G538" i="5"/>
  <c r="H538" i="5" s="1"/>
  <c r="G537" i="5"/>
  <c r="H537" i="5" s="1"/>
  <c r="G536" i="5"/>
  <c r="H536" i="5" s="1"/>
  <c r="G535" i="5"/>
  <c r="H535" i="5" s="1"/>
  <c r="G534" i="5"/>
  <c r="H534" i="5" s="1"/>
  <c r="G533" i="5"/>
  <c r="H533" i="5" s="1"/>
  <c r="G532" i="5"/>
  <c r="H532" i="5" s="1"/>
  <c r="G531" i="5"/>
  <c r="H531" i="5" s="1"/>
  <c r="G530" i="5"/>
  <c r="H530" i="5" s="1"/>
  <c r="G529" i="5"/>
  <c r="H529" i="5" s="1"/>
  <c r="G528" i="5"/>
  <c r="H528" i="5" s="1"/>
  <c r="G527" i="5"/>
  <c r="H527" i="5" s="1"/>
  <c r="G526" i="5"/>
  <c r="H526" i="5" s="1"/>
  <c r="G525" i="5"/>
  <c r="H525" i="5" s="1"/>
  <c r="G524" i="5"/>
  <c r="H524" i="5" s="1"/>
  <c r="G523" i="5"/>
  <c r="H523" i="5" s="1"/>
  <c r="G522" i="5"/>
  <c r="H522" i="5" s="1"/>
  <c r="G521" i="5"/>
  <c r="H521" i="5" s="1"/>
  <c r="G520" i="5"/>
  <c r="H520" i="5" s="1"/>
  <c r="G519" i="5"/>
  <c r="H519" i="5" s="1"/>
  <c r="G518" i="5"/>
  <c r="H518" i="5" s="1"/>
  <c r="G517" i="5"/>
  <c r="H517" i="5" s="1"/>
  <c r="G516" i="5"/>
  <c r="H516" i="5" s="1"/>
  <c r="G515" i="5"/>
  <c r="H515" i="5" s="1"/>
  <c r="G514" i="5"/>
  <c r="H514" i="5" s="1"/>
  <c r="G513" i="5"/>
  <c r="H513" i="5" s="1"/>
  <c r="G512" i="5"/>
  <c r="H512" i="5" s="1"/>
  <c r="G511" i="5"/>
  <c r="H511" i="5" s="1"/>
  <c r="G510" i="5"/>
  <c r="H510" i="5" s="1"/>
  <c r="G509" i="5"/>
  <c r="H509" i="5" s="1"/>
  <c r="G508" i="5"/>
  <c r="H508" i="5" s="1"/>
  <c r="G507" i="5"/>
  <c r="H507" i="5" s="1"/>
  <c r="G506" i="5"/>
  <c r="H506" i="5" s="1"/>
  <c r="G505" i="5"/>
  <c r="H505" i="5" s="1"/>
  <c r="G504" i="5"/>
  <c r="H504" i="5" s="1"/>
  <c r="G503" i="5"/>
  <c r="H503" i="5" s="1"/>
  <c r="G502" i="5"/>
  <c r="H502" i="5" s="1"/>
  <c r="G501" i="5"/>
  <c r="H501" i="5" s="1"/>
  <c r="G500" i="5"/>
  <c r="H500" i="5" s="1"/>
  <c r="G499" i="5"/>
  <c r="H499" i="5" s="1"/>
  <c r="G498" i="5"/>
  <c r="H498" i="5" s="1"/>
  <c r="G497" i="5"/>
  <c r="H497" i="5" s="1"/>
  <c r="G496" i="5"/>
  <c r="H496" i="5" s="1"/>
  <c r="G495" i="5"/>
  <c r="H495" i="5" s="1"/>
  <c r="G494" i="5"/>
  <c r="H494" i="5" s="1"/>
  <c r="G493" i="5"/>
  <c r="H493" i="5" s="1"/>
  <c r="G492" i="5"/>
  <c r="H492" i="5" s="1"/>
  <c r="G491" i="5"/>
  <c r="H491" i="5" s="1"/>
  <c r="G490" i="5"/>
  <c r="H490" i="5" s="1"/>
  <c r="G489" i="5"/>
  <c r="H489" i="5" s="1"/>
  <c r="G488" i="5"/>
  <c r="H488" i="5" s="1"/>
  <c r="G487" i="5"/>
  <c r="H487" i="5" s="1"/>
  <c r="G486" i="5"/>
  <c r="H486" i="5" s="1"/>
  <c r="G485" i="5"/>
  <c r="H485" i="5" s="1"/>
  <c r="G484" i="5"/>
  <c r="H484" i="5" s="1"/>
  <c r="G483" i="5"/>
  <c r="H483" i="5" s="1"/>
  <c r="G482" i="5"/>
  <c r="H482" i="5" s="1"/>
  <c r="G481" i="5"/>
  <c r="H481" i="5" s="1"/>
  <c r="G480" i="5"/>
  <c r="H480" i="5" s="1"/>
  <c r="G479" i="5"/>
  <c r="H479" i="5" s="1"/>
  <c r="G478" i="5"/>
  <c r="H478" i="5" s="1"/>
  <c r="G477" i="5"/>
  <c r="H477" i="5" s="1"/>
  <c r="G476" i="5"/>
  <c r="H476" i="5" s="1"/>
  <c r="G475" i="5"/>
  <c r="H475" i="5" s="1"/>
  <c r="G474" i="5"/>
  <c r="H474" i="5" s="1"/>
  <c r="G473" i="5"/>
  <c r="H473" i="5" s="1"/>
  <c r="G472" i="5"/>
  <c r="H472" i="5" s="1"/>
  <c r="G471" i="5"/>
  <c r="H471" i="5" s="1"/>
  <c r="G470" i="5"/>
  <c r="H470" i="5" s="1"/>
  <c r="G469" i="5"/>
  <c r="H469" i="5" s="1"/>
  <c r="G468" i="5"/>
  <c r="H468" i="5" s="1"/>
  <c r="G467" i="5"/>
  <c r="H467" i="5" s="1"/>
  <c r="G466" i="5"/>
  <c r="H466" i="5" s="1"/>
  <c r="G465" i="5"/>
  <c r="H465" i="5" s="1"/>
  <c r="G464" i="5"/>
  <c r="H464" i="5" s="1"/>
  <c r="G463" i="5"/>
  <c r="H463" i="5" s="1"/>
  <c r="G462" i="5"/>
  <c r="H462" i="5" s="1"/>
  <c r="G461" i="5"/>
  <c r="H461" i="5" s="1"/>
  <c r="G460" i="5"/>
  <c r="H460" i="5" s="1"/>
  <c r="G459" i="5"/>
  <c r="H459" i="5" s="1"/>
  <c r="G458" i="5"/>
  <c r="H458" i="5" s="1"/>
  <c r="G457" i="5"/>
  <c r="H457" i="5" s="1"/>
  <c r="G456" i="5"/>
  <c r="H456" i="5" s="1"/>
  <c r="G455" i="5"/>
  <c r="H455" i="5" s="1"/>
  <c r="G454" i="5"/>
  <c r="H454" i="5" s="1"/>
  <c r="G453" i="5"/>
  <c r="H453" i="5" s="1"/>
  <c r="G452" i="5"/>
  <c r="H452" i="5" s="1"/>
  <c r="G451" i="5"/>
  <c r="H451" i="5" s="1"/>
  <c r="G450" i="5"/>
  <c r="H450" i="5" s="1"/>
  <c r="G449" i="5"/>
  <c r="H449" i="5" s="1"/>
  <c r="G448" i="5"/>
  <c r="H448" i="5" s="1"/>
  <c r="G447" i="5"/>
  <c r="H447" i="5" s="1"/>
  <c r="G446" i="5"/>
  <c r="H446" i="5" s="1"/>
  <c r="G445" i="5"/>
  <c r="H445" i="5" s="1"/>
  <c r="G444" i="5"/>
  <c r="H444" i="5" s="1"/>
  <c r="G443" i="5"/>
  <c r="H443" i="5" s="1"/>
  <c r="G442" i="5"/>
  <c r="H442" i="5" s="1"/>
  <c r="G441" i="5"/>
  <c r="H441" i="5" s="1"/>
  <c r="G440" i="5"/>
  <c r="H440" i="5" s="1"/>
  <c r="G439" i="5"/>
  <c r="H439" i="5" s="1"/>
  <c r="G438" i="5"/>
  <c r="H438" i="5" s="1"/>
  <c r="G437" i="5"/>
  <c r="H437" i="5" s="1"/>
  <c r="G436" i="5"/>
  <c r="H436" i="5" s="1"/>
  <c r="G435" i="5"/>
  <c r="H435" i="5" s="1"/>
  <c r="G434" i="5"/>
  <c r="H434" i="5" s="1"/>
  <c r="G433" i="5"/>
  <c r="H433" i="5" s="1"/>
  <c r="G432" i="5"/>
  <c r="H432" i="5" s="1"/>
  <c r="G431" i="5"/>
  <c r="H431" i="5" s="1"/>
  <c r="G430" i="5"/>
  <c r="H430" i="5" s="1"/>
  <c r="G429" i="5"/>
  <c r="H429" i="5" s="1"/>
  <c r="G428" i="5"/>
  <c r="H428" i="5" s="1"/>
  <c r="G427" i="5"/>
  <c r="H427" i="5" s="1"/>
  <c r="G426" i="5"/>
  <c r="H426" i="5" s="1"/>
  <c r="G425" i="5"/>
  <c r="H425" i="5" s="1"/>
  <c r="G424" i="5"/>
  <c r="H424" i="5" s="1"/>
  <c r="G423" i="5"/>
  <c r="G422" i="5"/>
  <c r="H422" i="5" s="1"/>
  <c r="G421" i="5"/>
  <c r="H421" i="5" s="1"/>
  <c r="G420" i="5"/>
  <c r="H420" i="5" s="1"/>
  <c r="G419" i="5"/>
  <c r="H419" i="5" s="1"/>
  <c r="G418" i="5"/>
  <c r="H418" i="5" s="1"/>
  <c r="G417" i="5"/>
  <c r="H417" i="5" s="1"/>
  <c r="G416" i="5"/>
  <c r="H416" i="5" s="1"/>
  <c r="G415" i="5"/>
  <c r="H415" i="5" s="1"/>
  <c r="G414" i="5"/>
  <c r="H414" i="5" s="1"/>
  <c r="G413" i="5"/>
  <c r="H413" i="5" s="1"/>
  <c r="G412" i="5"/>
  <c r="H412" i="5" s="1"/>
  <c r="G411" i="5"/>
  <c r="H411" i="5" s="1"/>
  <c r="G410" i="5"/>
  <c r="H410" i="5" s="1"/>
  <c r="G409" i="5"/>
  <c r="H409" i="5" s="1"/>
  <c r="G408" i="5"/>
  <c r="H408" i="5" s="1"/>
  <c r="G407" i="5"/>
  <c r="H407" i="5" s="1"/>
  <c r="G406" i="5"/>
  <c r="H406" i="5" s="1"/>
  <c r="G405" i="5"/>
  <c r="H405" i="5" s="1"/>
  <c r="G404" i="5"/>
  <c r="H404" i="5" s="1"/>
  <c r="G403" i="5"/>
  <c r="H403" i="5" s="1"/>
  <c r="G402" i="5"/>
  <c r="H402" i="5" s="1"/>
  <c r="G401" i="5"/>
  <c r="H401" i="5" s="1"/>
  <c r="G400" i="5"/>
  <c r="H400" i="5" s="1"/>
  <c r="G399" i="5"/>
  <c r="H399" i="5" s="1"/>
  <c r="G398" i="5"/>
  <c r="H398" i="5" s="1"/>
  <c r="G397" i="5"/>
  <c r="H397" i="5" s="1"/>
  <c r="G396" i="5"/>
  <c r="H396" i="5" s="1"/>
  <c r="G395" i="5"/>
  <c r="H395" i="5" s="1"/>
  <c r="G394" i="5"/>
  <c r="H394" i="5" s="1"/>
  <c r="G393" i="5"/>
  <c r="H393" i="5" s="1"/>
  <c r="G392" i="5"/>
  <c r="H392" i="5" s="1"/>
  <c r="G391" i="5"/>
  <c r="H391" i="5" s="1"/>
  <c r="G390" i="5"/>
  <c r="H390" i="5" s="1"/>
  <c r="G389" i="5"/>
  <c r="H389" i="5" s="1"/>
  <c r="G388" i="5"/>
  <c r="H388" i="5" s="1"/>
  <c r="G387" i="5"/>
  <c r="H387" i="5" s="1"/>
  <c r="G386" i="5"/>
  <c r="H386" i="5" s="1"/>
  <c r="G385" i="5"/>
  <c r="H385" i="5" s="1"/>
  <c r="G384" i="5"/>
  <c r="H384" i="5" s="1"/>
  <c r="G383" i="5"/>
  <c r="H383" i="5" s="1"/>
  <c r="G382" i="5"/>
  <c r="H382" i="5" s="1"/>
  <c r="G381" i="5"/>
  <c r="H381" i="5" s="1"/>
  <c r="G380" i="5"/>
  <c r="H380" i="5" s="1"/>
  <c r="G379" i="5"/>
  <c r="H379" i="5" s="1"/>
  <c r="G378" i="5"/>
  <c r="H378" i="5" s="1"/>
  <c r="G377" i="5"/>
  <c r="H377" i="5" s="1"/>
  <c r="G376" i="5"/>
  <c r="H376" i="5" s="1"/>
  <c r="G375" i="5"/>
  <c r="H375" i="5" s="1"/>
  <c r="G374" i="5"/>
  <c r="H374" i="5" s="1"/>
  <c r="G373" i="5"/>
  <c r="H373" i="5" s="1"/>
  <c r="G372" i="5"/>
  <c r="H372" i="5" s="1"/>
  <c r="G371" i="5"/>
  <c r="H371" i="5" s="1"/>
  <c r="G370" i="5"/>
  <c r="H370" i="5" s="1"/>
  <c r="G369" i="5"/>
  <c r="H369" i="5" s="1"/>
  <c r="G368" i="5"/>
  <c r="H368" i="5" s="1"/>
  <c r="G367" i="5"/>
  <c r="H367" i="5" s="1"/>
  <c r="G366" i="5"/>
  <c r="H366" i="5" s="1"/>
  <c r="G365" i="5"/>
  <c r="H365" i="5" s="1"/>
  <c r="G364" i="5"/>
  <c r="H364" i="5" s="1"/>
  <c r="G363" i="5"/>
  <c r="H363" i="5" s="1"/>
  <c r="G362" i="5"/>
  <c r="H362" i="5" s="1"/>
  <c r="G361" i="5"/>
  <c r="H361" i="5" s="1"/>
  <c r="G360" i="5"/>
  <c r="H360" i="5" s="1"/>
  <c r="G359" i="5"/>
  <c r="H359" i="5" s="1"/>
  <c r="G358" i="5"/>
  <c r="H358" i="5" s="1"/>
  <c r="G357" i="5"/>
  <c r="H357" i="5" s="1"/>
  <c r="G356" i="5"/>
  <c r="H356" i="5" s="1"/>
  <c r="G355" i="5"/>
  <c r="H355" i="5" s="1"/>
  <c r="G354" i="5"/>
  <c r="H354" i="5" s="1"/>
  <c r="G353" i="5"/>
  <c r="H353" i="5" s="1"/>
  <c r="G352" i="5"/>
  <c r="H352" i="5" s="1"/>
  <c r="G351" i="5"/>
  <c r="H351" i="5" s="1"/>
  <c r="G350" i="5"/>
  <c r="H350" i="5" s="1"/>
  <c r="G349" i="5"/>
  <c r="H349" i="5" s="1"/>
  <c r="G348" i="5"/>
  <c r="H348" i="5" s="1"/>
  <c r="G347" i="5"/>
  <c r="H347" i="5" s="1"/>
  <c r="G346" i="5"/>
  <c r="H346" i="5" s="1"/>
  <c r="G345" i="5"/>
  <c r="H345" i="5" s="1"/>
  <c r="G344" i="5"/>
  <c r="H344" i="5" s="1"/>
  <c r="G343" i="5"/>
  <c r="H343" i="5" s="1"/>
  <c r="G342" i="5"/>
  <c r="H342" i="5" s="1"/>
  <c r="G341" i="5"/>
  <c r="H341" i="5" s="1"/>
  <c r="G340" i="5"/>
  <c r="H340" i="5" s="1"/>
  <c r="G339" i="5"/>
  <c r="H339" i="5" s="1"/>
  <c r="G338" i="5"/>
  <c r="H338" i="5" s="1"/>
  <c r="G337" i="5"/>
  <c r="H337" i="5" s="1"/>
  <c r="G336" i="5"/>
  <c r="H336" i="5" s="1"/>
  <c r="G335" i="5"/>
  <c r="H335" i="5" s="1"/>
  <c r="G334" i="5"/>
  <c r="H334" i="5" s="1"/>
  <c r="G333" i="5"/>
  <c r="H333" i="5" s="1"/>
  <c r="G332" i="5"/>
  <c r="H332" i="5" s="1"/>
  <c r="G331" i="5"/>
  <c r="H331" i="5" s="1"/>
  <c r="G330" i="5"/>
  <c r="H330" i="5" s="1"/>
  <c r="G329" i="5"/>
  <c r="H329" i="5" s="1"/>
  <c r="G328" i="5"/>
  <c r="H328" i="5" s="1"/>
  <c r="G327" i="5"/>
  <c r="H327" i="5" s="1"/>
  <c r="G323" i="5"/>
  <c r="H323" i="5" s="1"/>
  <c r="G322" i="5"/>
  <c r="H322" i="5" s="1"/>
  <c r="G321" i="5"/>
  <c r="H321" i="5" s="1"/>
  <c r="G320" i="5"/>
  <c r="H320" i="5" s="1"/>
  <c r="G319" i="5"/>
  <c r="H319" i="5" s="1"/>
  <c r="G318" i="5"/>
  <c r="H318" i="5" s="1"/>
  <c r="G317" i="5"/>
  <c r="H317" i="5" s="1"/>
  <c r="G316" i="5"/>
  <c r="H316" i="5" s="1"/>
  <c r="G315" i="5"/>
  <c r="H315" i="5" s="1"/>
  <c r="G314" i="5"/>
  <c r="H314" i="5" s="1"/>
  <c r="G313" i="5"/>
  <c r="H313" i="5" s="1"/>
  <c r="G312" i="5"/>
  <c r="H312" i="5" s="1"/>
  <c r="G311" i="5"/>
  <c r="H311" i="5" s="1"/>
  <c r="G310" i="5"/>
  <c r="H310" i="5" s="1"/>
  <c r="G309" i="5"/>
  <c r="H309" i="5" s="1"/>
  <c r="G308" i="5"/>
  <c r="H308" i="5" s="1"/>
  <c r="G307" i="5"/>
  <c r="H307" i="5" s="1"/>
  <c r="G306" i="5"/>
  <c r="H306" i="5" s="1"/>
  <c r="G305" i="5"/>
  <c r="H305" i="5" s="1"/>
  <c r="G304" i="5"/>
  <c r="H304" i="5" s="1"/>
  <c r="G303" i="5"/>
  <c r="H303" i="5" s="1"/>
  <c r="G302" i="5"/>
  <c r="H302" i="5" s="1"/>
  <c r="G301" i="5"/>
  <c r="H301" i="5" s="1"/>
  <c r="G300" i="5"/>
  <c r="H300" i="5" s="1"/>
  <c r="G299" i="5"/>
  <c r="H299" i="5" s="1"/>
  <c r="G298" i="5"/>
  <c r="H298" i="5" s="1"/>
  <c r="G297" i="5"/>
  <c r="H297" i="5" s="1"/>
  <c r="G296" i="5"/>
  <c r="H296" i="5" s="1"/>
  <c r="G295" i="5"/>
  <c r="H295" i="5" s="1"/>
  <c r="G294" i="5"/>
  <c r="H294" i="5" s="1"/>
  <c r="G293" i="5"/>
  <c r="H293" i="5" s="1"/>
  <c r="G292" i="5"/>
  <c r="H292" i="5" s="1"/>
  <c r="G291" i="5"/>
  <c r="H291" i="5" s="1"/>
  <c r="G290" i="5"/>
  <c r="H290" i="5" s="1"/>
  <c r="G289" i="5"/>
  <c r="H289" i="5" s="1"/>
  <c r="G288" i="5"/>
  <c r="H288" i="5" s="1"/>
  <c r="G287" i="5"/>
  <c r="H287" i="5" s="1"/>
  <c r="G286" i="5"/>
  <c r="H286" i="5" s="1"/>
  <c r="G285" i="5"/>
  <c r="H285" i="5" s="1"/>
  <c r="G284" i="5"/>
  <c r="H284" i="5" s="1"/>
  <c r="G283" i="5"/>
  <c r="H283" i="5" s="1"/>
  <c r="G282" i="5"/>
  <c r="H282" i="5" s="1"/>
  <c r="G281" i="5"/>
  <c r="H281" i="5" s="1"/>
  <c r="G280" i="5"/>
  <c r="H280" i="5" s="1"/>
  <c r="G279" i="5"/>
  <c r="H279" i="5" s="1"/>
  <c r="G278" i="5"/>
  <c r="H278" i="5" s="1"/>
  <c r="G277" i="5"/>
  <c r="H277" i="5" s="1"/>
  <c r="G276" i="5"/>
  <c r="H276" i="5" s="1"/>
  <c r="G275" i="5"/>
  <c r="H275" i="5" s="1"/>
  <c r="G274" i="5"/>
  <c r="H274" i="5" s="1"/>
  <c r="G273" i="5"/>
  <c r="H273" i="5" s="1"/>
  <c r="G272" i="5"/>
  <c r="H272" i="5" s="1"/>
  <c r="G271" i="5"/>
  <c r="H271" i="5" s="1"/>
  <c r="G270" i="5"/>
  <c r="H270" i="5" s="1"/>
  <c r="G269" i="5"/>
  <c r="H269" i="5" s="1"/>
  <c r="G268" i="5"/>
  <c r="H268" i="5" s="1"/>
  <c r="G267" i="5"/>
  <c r="H267" i="5" s="1"/>
  <c r="G266" i="5"/>
  <c r="H266" i="5" s="1"/>
  <c r="G265" i="5"/>
  <c r="H265" i="5" s="1"/>
  <c r="G264" i="5"/>
  <c r="H264" i="5" s="1"/>
  <c r="G263" i="5"/>
  <c r="H263" i="5" s="1"/>
  <c r="G262" i="5"/>
  <c r="H262" i="5" s="1"/>
  <c r="G261" i="5"/>
  <c r="H261" i="5" s="1"/>
  <c r="G260" i="5"/>
  <c r="H260" i="5" s="1"/>
  <c r="G259" i="5"/>
  <c r="H259" i="5" s="1"/>
  <c r="G258" i="5"/>
  <c r="H258" i="5" s="1"/>
  <c r="G257" i="5"/>
  <c r="H257" i="5" s="1"/>
  <c r="G256" i="5"/>
  <c r="H256" i="5" s="1"/>
  <c r="G255" i="5"/>
  <c r="H255" i="5" s="1"/>
  <c r="G254" i="5"/>
  <c r="H254" i="5" s="1"/>
  <c r="G253" i="5"/>
  <c r="H253" i="5" s="1"/>
  <c r="G252" i="5"/>
  <c r="H252" i="5" s="1"/>
  <c r="G251" i="5"/>
  <c r="H251" i="5" s="1"/>
  <c r="G250" i="5"/>
  <c r="H250" i="5" s="1"/>
  <c r="G249" i="5"/>
  <c r="H249" i="5" s="1"/>
  <c r="G248" i="5"/>
  <c r="H248" i="5" s="1"/>
  <c r="G247" i="5"/>
  <c r="H247" i="5" s="1"/>
  <c r="G246" i="5"/>
  <c r="H246" i="5" s="1"/>
  <c r="G245" i="5"/>
  <c r="H245" i="5" s="1"/>
  <c r="G244" i="5"/>
  <c r="H244" i="5" s="1"/>
  <c r="G243" i="5"/>
  <c r="H243" i="5" s="1"/>
  <c r="G242" i="5"/>
  <c r="H242" i="5" s="1"/>
  <c r="G241" i="5"/>
  <c r="H241" i="5" s="1"/>
  <c r="G240" i="5"/>
  <c r="H240" i="5" s="1"/>
  <c r="G239" i="5"/>
  <c r="H239" i="5" s="1"/>
  <c r="G238" i="5"/>
  <c r="H238" i="5" s="1"/>
  <c r="G237" i="5"/>
  <c r="H237" i="5" s="1"/>
  <c r="G236" i="5"/>
  <c r="H236" i="5" s="1"/>
  <c r="G235" i="5"/>
  <c r="H235" i="5" s="1"/>
  <c r="G234" i="5"/>
  <c r="H234" i="5" s="1"/>
  <c r="G233" i="5"/>
  <c r="H233" i="5" s="1"/>
  <c r="G232" i="5"/>
  <c r="H232" i="5" s="1"/>
  <c r="G231" i="5"/>
  <c r="H231" i="5" s="1"/>
  <c r="G230" i="5"/>
  <c r="H230" i="5" s="1"/>
  <c r="G229" i="5"/>
  <c r="H229" i="5" s="1"/>
  <c r="G228" i="5"/>
  <c r="H228" i="5" s="1"/>
  <c r="G227" i="5"/>
  <c r="H227" i="5" s="1"/>
  <c r="G226" i="5"/>
  <c r="H226" i="5" s="1"/>
  <c r="G225" i="5"/>
  <c r="H225" i="5" s="1"/>
  <c r="G224" i="5"/>
  <c r="H224" i="5" s="1"/>
  <c r="G223" i="5"/>
  <c r="H223" i="5" s="1"/>
  <c r="G222" i="5"/>
  <c r="H222" i="5" s="1"/>
  <c r="G221" i="5"/>
  <c r="H221" i="5" s="1"/>
  <c r="G220" i="5"/>
  <c r="H220" i="5" s="1"/>
  <c r="G219" i="5"/>
  <c r="H219" i="5" s="1"/>
  <c r="G218" i="5"/>
  <c r="H218" i="5" s="1"/>
  <c r="G217" i="5"/>
  <c r="H217" i="5" s="1"/>
  <c r="G216" i="5"/>
  <c r="H216" i="5" s="1"/>
  <c r="G215" i="5"/>
  <c r="H215" i="5" s="1"/>
  <c r="G214" i="5"/>
  <c r="H214" i="5" s="1"/>
  <c r="G213" i="5"/>
  <c r="H213" i="5" s="1"/>
  <c r="G212" i="5"/>
  <c r="H212" i="5" s="1"/>
  <c r="G211" i="5"/>
  <c r="H211" i="5" s="1"/>
  <c r="G210" i="5"/>
  <c r="H210" i="5" s="1"/>
  <c r="G209" i="5"/>
  <c r="H209" i="5" s="1"/>
  <c r="G208" i="5"/>
  <c r="H208" i="5" s="1"/>
  <c r="G207" i="5"/>
  <c r="H207" i="5" s="1"/>
  <c r="G206" i="5"/>
  <c r="H206" i="5" s="1"/>
  <c r="G205" i="5"/>
  <c r="H205" i="5" s="1"/>
  <c r="G204" i="5"/>
  <c r="H204" i="5" s="1"/>
  <c r="G203" i="5"/>
  <c r="H203" i="5" s="1"/>
  <c r="G202" i="5"/>
  <c r="H202" i="5" s="1"/>
  <c r="G201" i="5"/>
  <c r="H201" i="5" s="1"/>
  <c r="G200" i="5"/>
  <c r="H200" i="5" s="1"/>
  <c r="G199" i="5"/>
  <c r="H199" i="5" s="1"/>
  <c r="G198" i="5"/>
  <c r="H198" i="5" s="1"/>
  <c r="G197" i="5"/>
  <c r="H197" i="5" s="1"/>
  <c r="G196" i="5"/>
  <c r="H196" i="5" s="1"/>
  <c r="G195" i="5"/>
  <c r="H195" i="5" s="1"/>
  <c r="G194" i="5"/>
  <c r="H194" i="5" s="1"/>
  <c r="G193" i="5"/>
  <c r="H193" i="5" s="1"/>
  <c r="G192" i="5"/>
  <c r="H192" i="5" s="1"/>
  <c r="G191" i="5"/>
  <c r="H191" i="5" s="1"/>
  <c r="G190" i="5"/>
  <c r="H190" i="5" s="1"/>
  <c r="G189" i="5"/>
  <c r="H189" i="5" s="1"/>
  <c r="G188" i="5"/>
  <c r="H188" i="5" s="1"/>
  <c r="G187" i="5"/>
  <c r="H187" i="5" s="1"/>
  <c r="G186" i="5"/>
  <c r="H186" i="5" s="1"/>
  <c r="G185" i="5"/>
  <c r="H185" i="5" s="1"/>
  <c r="G184" i="5"/>
  <c r="H184" i="5" s="1"/>
  <c r="G183" i="5"/>
  <c r="H183" i="5" s="1"/>
  <c r="G182" i="5"/>
  <c r="H182" i="5" s="1"/>
  <c r="G181" i="5"/>
  <c r="H181" i="5" s="1"/>
  <c r="G180" i="5"/>
  <c r="H180" i="5" s="1"/>
  <c r="G179" i="5"/>
  <c r="H179" i="5" s="1"/>
  <c r="G178" i="5"/>
  <c r="H178" i="5" s="1"/>
  <c r="G177" i="5"/>
  <c r="H177" i="5" s="1"/>
  <c r="G176" i="5"/>
  <c r="H176" i="5" s="1"/>
  <c r="G175" i="5"/>
  <c r="H175" i="5" s="1"/>
  <c r="G174" i="5"/>
  <c r="H174" i="5" s="1"/>
  <c r="G173" i="5"/>
  <c r="H173" i="5" s="1"/>
  <c r="G172" i="5"/>
  <c r="H172" i="5" s="1"/>
  <c r="G171" i="5"/>
  <c r="H171" i="5" s="1"/>
  <c r="G170" i="5"/>
  <c r="H170" i="5" s="1"/>
  <c r="G169" i="5"/>
  <c r="H169" i="5" s="1"/>
  <c r="G168" i="5"/>
  <c r="H168" i="5" s="1"/>
  <c r="G167" i="5"/>
  <c r="H167" i="5" s="1"/>
  <c r="G166" i="5"/>
  <c r="H166" i="5" s="1"/>
  <c r="G165" i="5"/>
  <c r="H165" i="5" s="1"/>
  <c r="G164" i="5"/>
  <c r="H164" i="5" s="1"/>
  <c r="G163" i="5"/>
  <c r="H163" i="5" s="1"/>
  <c r="G162" i="5"/>
  <c r="H162" i="5" s="1"/>
  <c r="G161" i="5"/>
  <c r="H161" i="5" s="1"/>
  <c r="G160" i="5"/>
  <c r="H160" i="5" s="1"/>
  <c r="G159" i="5"/>
  <c r="H159" i="5" s="1"/>
  <c r="G158" i="5"/>
  <c r="H158" i="5" s="1"/>
  <c r="G157" i="5"/>
  <c r="H157" i="5" s="1"/>
  <c r="G156" i="5"/>
  <c r="H156" i="5" s="1"/>
  <c r="G155" i="5"/>
  <c r="H155" i="5" s="1"/>
  <c r="G154" i="5"/>
  <c r="H154" i="5" s="1"/>
  <c r="G153" i="5"/>
  <c r="H153" i="5" s="1"/>
  <c r="G152" i="5"/>
  <c r="H152" i="5" s="1"/>
  <c r="G151" i="5"/>
  <c r="H151" i="5" s="1"/>
  <c r="G150" i="5"/>
  <c r="H150" i="5" s="1"/>
  <c r="G149" i="5"/>
  <c r="H149" i="5" s="1"/>
  <c r="G148" i="5"/>
  <c r="H148" i="5" s="1"/>
  <c r="G147" i="5"/>
  <c r="H147" i="5" s="1"/>
  <c r="G146" i="5"/>
  <c r="H146" i="5" s="1"/>
  <c r="G145" i="5"/>
  <c r="H145" i="5" s="1"/>
  <c r="G144" i="5"/>
  <c r="H144" i="5" s="1"/>
  <c r="G143" i="5"/>
  <c r="H143" i="5" s="1"/>
  <c r="G142" i="5"/>
  <c r="H142" i="5" s="1"/>
  <c r="G141" i="5"/>
  <c r="H141" i="5" s="1"/>
  <c r="G140" i="5"/>
  <c r="H140" i="5" s="1"/>
  <c r="G139" i="5"/>
  <c r="H139" i="5" s="1"/>
  <c r="G138" i="5"/>
  <c r="H138" i="5" s="1"/>
  <c r="G137" i="5"/>
  <c r="H137" i="5" s="1"/>
  <c r="G136" i="5"/>
  <c r="H136" i="5" s="1"/>
  <c r="G135" i="5"/>
  <c r="H135" i="5" s="1"/>
  <c r="G134" i="5"/>
  <c r="H134" i="5" s="1"/>
  <c r="G133" i="5"/>
  <c r="H133" i="5" s="1"/>
  <c r="G132" i="5"/>
  <c r="H132" i="5" s="1"/>
  <c r="G131" i="5"/>
  <c r="H131" i="5" s="1"/>
  <c r="G130" i="5"/>
  <c r="H130" i="5" s="1"/>
  <c r="G129" i="5"/>
  <c r="H129" i="5" s="1"/>
  <c r="G128" i="5"/>
  <c r="H128" i="5" s="1"/>
  <c r="G127" i="5"/>
  <c r="H127" i="5" s="1"/>
  <c r="G126" i="5"/>
  <c r="H126" i="5" s="1"/>
  <c r="G125" i="5"/>
  <c r="H125" i="5" s="1"/>
  <c r="G124" i="5"/>
  <c r="H124" i="5" s="1"/>
  <c r="G123" i="5"/>
  <c r="H123" i="5" s="1"/>
  <c r="G122" i="5"/>
  <c r="H122" i="5" s="1"/>
  <c r="G121" i="5"/>
  <c r="H121" i="5" s="1"/>
  <c r="G120" i="5"/>
  <c r="H120" i="5" s="1"/>
  <c r="G119" i="5"/>
  <c r="H119" i="5" s="1"/>
  <c r="G118" i="5"/>
  <c r="H118" i="5" s="1"/>
  <c r="G117" i="5"/>
  <c r="H117" i="5" s="1"/>
  <c r="G116" i="5"/>
  <c r="H116" i="5" s="1"/>
  <c r="G115" i="5"/>
  <c r="H115" i="5" s="1"/>
  <c r="G114" i="5"/>
  <c r="G113" i="5"/>
  <c r="H113" i="5" s="1"/>
  <c r="G112" i="5"/>
  <c r="H112" i="5" s="1"/>
  <c r="G111" i="5"/>
  <c r="H111" i="5" s="1"/>
  <c r="G110" i="5"/>
  <c r="H110" i="5" s="1"/>
  <c r="G109" i="5"/>
  <c r="H109" i="5" s="1"/>
  <c r="G108" i="5"/>
  <c r="H108" i="5" s="1"/>
  <c r="G107" i="5"/>
  <c r="H107" i="5" s="1"/>
  <c r="G106" i="5"/>
  <c r="H106" i="5" s="1"/>
  <c r="G105" i="5"/>
  <c r="H105" i="5" s="1"/>
  <c r="G104" i="5"/>
  <c r="H104" i="5" s="1"/>
  <c r="G103" i="5"/>
  <c r="H103" i="5" s="1"/>
  <c r="G102" i="5"/>
  <c r="H102" i="5" s="1"/>
  <c r="G101" i="5"/>
  <c r="H101" i="5" s="1"/>
  <c r="G100" i="5"/>
  <c r="H100" i="5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1" i="5"/>
  <c r="H91" i="5" s="1"/>
  <c r="G90" i="5"/>
  <c r="H90" i="5" s="1"/>
  <c r="G89" i="5"/>
  <c r="H89" i="5" s="1"/>
  <c r="G88" i="5"/>
  <c r="H88" i="5" s="1"/>
  <c r="G87" i="5"/>
  <c r="H87" i="5" s="1"/>
  <c r="G86" i="5"/>
  <c r="H86" i="5" s="1"/>
  <c r="G85" i="5"/>
  <c r="H85" i="5" s="1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72" i="5"/>
  <c r="H72" i="5" s="1"/>
  <c r="G71" i="5"/>
  <c r="H71" i="5" s="1"/>
  <c r="G70" i="5"/>
  <c r="H70" i="5" s="1"/>
  <c r="G69" i="5"/>
  <c r="H69" i="5" s="1"/>
  <c r="G68" i="5"/>
  <c r="H68" i="5" s="1"/>
  <c r="G67" i="5"/>
  <c r="H67" i="5" s="1"/>
  <c r="G66" i="5"/>
  <c r="H66" i="5" s="1"/>
  <c r="G65" i="5"/>
  <c r="H65" i="5" s="1"/>
  <c r="G64" i="5"/>
  <c r="H64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844" i="4"/>
  <c r="H844" i="4" s="1"/>
  <c r="G843" i="4"/>
  <c r="H843" i="4" s="1"/>
  <c r="G842" i="4"/>
  <c r="H842" i="4" s="1"/>
  <c r="G841" i="4"/>
  <c r="H841" i="4" s="1"/>
  <c r="G840" i="4"/>
  <c r="H840" i="4" s="1"/>
  <c r="G839" i="4"/>
  <c r="H839" i="4" s="1"/>
  <c r="G838" i="4"/>
  <c r="H838" i="4" s="1"/>
  <c r="G837" i="4"/>
  <c r="H837" i="4" s="1"/>
  <c r="G836" i="4"/>
  <c r="H836" i="4" s="1"/>
  <c r="G835" i="4"/>
  <c r="H835" i="4" s="1"/>
  <c r="G834" i="4"/>
  <c r="H834" i="4" s="1"/>
  <c r="G833" i="4"/>
  <c r="H833" i="4" s="1"/>
  <c r="G832" i="4"/>
  <c r="H832" i="4" s="1"/>
  <c r="G831" i="4"/>
  <c r="H831" i="4" s="1"/>
  <c r="G830" i="4"/>
  <c r="H830" i="4" s="1"/>
  <c r="G829" i="4"/>
  <c r="H829" i="4" s="1"/>
  <c r="G828" i="4"/>
  <c r="H828" i="4" s="1"/>
  <c r="G827" i="4"/>
  <c r="H827" i="4" s="1"/>
  <c r="G826" i="4"/>
  <c r="H826" i="4" s="1"/>
  <c r="G825" i="4"/>
  <c r="H825" i="4" s="1"/>
  <c r="G824" i="4"/>
  <c r="H824" i="4" s="1"/>
  <c r="G823" i="4"/>
  <c r="H823" i="4" s="1"/>
  <c r="G822" i="4"/>
  <c r="H822" i="4" s="1"/>
  <c r="G821" i="4"/>
  <c r="H821" i="4" s="1"/>
  <c r="G820" i="4"/>
  <c r="H820" i="4" s="1"/>
  <c r="G819" i="4"/>
  <c r="H819" i="4" s="1"/>
  <c r="G818" i="4"/>
  <c r="H818" i="4" s="1"/>
  <c r="G817" i="4"/>
  <c r="H817" i="4" s="1"/>
  <c r="G816" i="4"/>
  <c r="H816" i="4" s="1"/>
  <c r="G815" i="4"/>
  <c r="H815" i="4" s="1"/>
  <c r="G814" i="4"/>
  <c r="H814" i="4" s="1"/>
  <c r="G813" i="4"/>
  <c r="H813" i="4" s="1"/>
  <c r="G812" i="4"/>
  <c r="H812" i="4" s="1"/>
  <c r="G811" i="4"/>
  <c r="H811" i="4" s="1"/>
  <c r="G810" i="4"/>
  <c r="H810" i="4" s="1"/>
  <c r="G809" i="4"/>
  <c r="H809" i="4" s="1"/>
  <c r="G808" i="4"/>
  <c r="H808" i="4" s="1"/>
  <c r="G807" i="4"/>
  <c r="H807" i="4" s="1"/>
  <c r="G806" i="4"/>
  <c r="H806" i="4" s="1"/>
  <c r="G805" i="4"/>
  <c r="H805" i="4" s="1"/>
  <c r="G804" i="4"/>
  <c r="H804" i="4" s="1"/>
  <c r="G803" i="4"/>
  <c r="H803" i="4" s="1"/>
  <c r="G802" i="4"/>
  <c r="H802" i="4" s="1"/>
  <c r="G801" i="4"/>
  <c r="H801" i="4" s="1"/>
  <c r="G800" i="4"/>
  <c r="H800" i="4" s="1"/>
  <c r="G799" i="4"/>
  <c r="H799" i="4" s="1"/>
  <c r="G798" i="4"/>
  <c r="H798" i="4" s="1"/>
  <c r="G797" i="4"/>
  <c r="H797" i="4" s="1"/>
  <c r="G796" i="4"/>
  <c r="H796" i="4" s="1"/>
  <c r="G795" i="4"/>
  <c r="H795" i="4" s="1"/>
  <c r="G794" i="4"/>
  <c r="H794" i="4" s="1"/>
  <c r="G793" i="4"/>
  <c r="H793" i="4" s="1"/>
  <c r="G792" i="4"/>
  <c r="H792" i="4" s="1"/>
  <c r="G791" i="4"/>
  <c r="H791" i="4" s="1"/>
  <c r="G790" i="4"/>
  <c r="H790" i="4" s="1"/>
  <c r="G789" i="4"/>
  <c r="H789" i="4" s="1"/>
  <c r="G788" i="4"/>
  <c r="H788" i="4" s="1"/>
  <c r="G787" i="4"/>
  <c r="H787" i="4" s="1"/>
  <c r="G786" i="4"/>
  <c r="H786" i="4" s="1"/>
  <c r="G785" i="4"/>
  <c r="H785" i="4" s="1"/>
  <c r="G784" i="4"/>
  <c r="H784" i="4" s="1"/>
  <c r="G783" i="4"/>
  <c r="H783" i="4" s="1"/>
  <c r="G782" i="4"/>
  <c r="H782" i="4" s="1"/>
  <c r="G781" i="4"/>
  <c r="H781" i="4" s="1"/>
  <c r="G780" i="4"/>
  <c r="H780" i="4" s="1"/>
  <c r="G779" i="4"/>
  <c r="H779" i="4" s="1"/>
  <c r="G778" i="4"/>
  <c r="H778" i="4" s="1"/>
  <c r="G777" i="4"/>
  <c r="H777" i="4" s="1"/>
  <c r="G776" i="4"/>
  <c r="H776" i="4" s="1"/>
  <c r="G775" i="4"/>
  <c r="H775" i="4" s="1"/>
  <c r="G774" i="4"/>
  <c r="H774" i="4" s="1"/>
  <c r="G773" i="4"/>
  <c r="H773" i="4" s="1"/>
  <c r="G772" i="4"/>
  <c r="H772" i="4" s="1"/>
  <c r="G771" i="4"/>
  <c r="H771" i="4" s="1"/>
  <c r="G770" i="4"/>
  <c r="H770" i="4" s="1"/>
  <c r="G769" i="4"/>
  <c r="H769" i="4" s="1"/>
  <c r="G768" i="4"/>
  <c r="H768" i="4" s="1"/>
  <c r="G767" i="4"/>
  <c r="H767" i="4" s="1"/>
  <c r="G766" i="4"/>
  <c r="H766" i="4" s="1"/>
  <c r="G765" i="4"/>
  <c r="H765" i="4" s="1"/>
  <c r="G764" i="4"/>
  <c r="H764" i="4" s="1"/>
  <c r="G763" i="4"/>
  <c r="H763" i="4" s="1"/>
  <c r="G762" i="4"/>
  <c r="H762" i="4" s="1"/>
  <c r="G761" i="4"/>
  <c r="H761" i="4" s="1"/>
  <c r="G760" i="4"/>
  <c r="H760" i="4" s="1"/>
  <c r="G759" i="4"/>
  <c r="H759" i="4" s="1"/>
  <c r="G758" i="4"/>
  <c r="H758" i="4" s="1"/>
  <c r="G757" i="4"/>
  <c r="H757" i="4" s="1"/>
  <c r="G756" i="4"/>
  <c r="H756" i="4" s="1"/>
  <c r="G755" i="4"/>
  <c r="H755" i="4" s="1"/>
  <c r="G754" i="4"/>
  <c r="H754" i="4" s="1"/>
  <c r="G753" i="4"/>
  <c r="H753" i="4" s="1"/>
  <c r="G752" i="4"/>
  <c r="H752" i="4" s="1"/>
  <c r="G751" i="4"/>
  <c r="H751" i="4" s="1"/>
  <c r="G750" i="4"/>
  <c r="H750" i="4" s="1"/>
  <c r="G749" i="4"/>
  <c r="H749" i="4" s="1"/>
  <c r="G748" i="4"/>
  <c r="H748" i="4" s="1"/>
  <c r="G747" i="4"/>
  <c r="H747" i="4" s="1"/>
  <c r="G746" i="4"/>
  <c r="H746" i="4" s="1"/>
  <c r="G745" i="4"/>
  <c r="H745" i="4" s="1"/>
  <c r="G744" i="4"/>
  <c r="H744" i="4" s="1"/>
  <c r="G743" i="4"/>
  <c r="H743" i="4" s="1"/>
  <c r="G742" i="4"/>
  <c r="H742" i="4" s="1"/>
  <c r="G741" i="4"/>
  <c r="H741" i="4" s="1"/>
  <c r="G740" i="4"/>
  <c r="H740" i="4" s="1"/>
  <c r="G739" i="4"/>
  <c r="H739" i="4" s="1"/>
  <c r="G738" i="4"/>
  <c r="H738" i="4" s="1"/>
  <c r="G737" i="4"/>
  <c r="H737" i="4" s="1"/>
  <c r="G736" i="4"/>
  <c r="H736" i="4" s="1"/>
  <c r="G735" i="4"/>
  <c r="H735" i="4" s="1"/>
  <c r="G734" i="4"/>
  <c r="H734" i="4" s="1"/>
  <c r="G733" i="4"/>
  <c r="H733" i="4" s="1"/>
  <c r="G732" i="4"/>
  <c r="H732" i="4" s="1"/>
  <c r="G731" i="4"/>
  <c r="H731" i="4" s="1"/>
  <c r="G730" i="4"/>
  <c r="H730" i="4" s="1"/>
  <c r="G729" i="4"/>
  <c r="H729" i="4" s="1"/>
  <c r="G728" i="4"/>
  <c r="H728" i="4" s="1"/>
  <c r="G727" i="4"/>
  <c r="H727" i="4" s="1"/>
  <c r="G726" i="4"/>
  <c r="H726" i="4" s="1"/>
  <c r="G725" i="4"/>
  <c r="H725" i="4" s="1"/>
  <c r="G724" i="4"/>
  <c r="H724" i="4" s="1"/>
  <c r="G723" i="4"/>
  <c r="H723" i="4" s="1"/>
  <c r="G722" i="4"/>
  <c r="H722" i="4" s="1"/>
  <c r="G721" i="4"/>
  <c r="H721" i="4" s="1"/>
  <c r="G720" i="4"/>
  <c r="H720" i="4" s="1"/>
  <c r="G719" i="4"/>
  <c r="H719" i="4" s="1"/>
  <c r="G718" i="4"/>
  <c r="H718" i="4" s="1"/>
  <c r="G717" i="4"/>
  <c r="H717" i="4" s="1"/>
  <c r="G716" i="4"/>
  <c r="H716" i="4" s="1"/>
  <c r="G715" i="4"/>
  <c r="H715" i="4" s="1"/>
  <c r="G714" i="4"/>
  <c r="H714" i="4" s="1"/>
  <c r="G713" i="4"/>
  <c r="H713" i="4" s="1"/>
  <c r="G712" i="4"/>
  <c r="H712" i="4" s="1"/>
  <c r="G711" i="4"/>
  <c r="H711" i="4" s="1"/>
  <c r="G710" i="4"/>
  <c r="H710" i="4" s="1"/>
  <c r="G709" i="4"/>
  <c r="H709" i="4" s="1"/>
  <c r="G708" i="4"/>
  <c r="H708" i="4" s="1"/>
  <c r="G707" i="4"/>
  <c r="H707" i="4" s="1"/>
  <c r="G706" i="4"/>
  <c r="H706" i="4" s="1"/>
  <c r="G705" i="4"/>
  <c r="H705" i="4" s="1"/>
  <c r="G704" i="4"/>
  <c r="H704" i="4" s="1"/>
  <c r="G703" i="4"/>
  <c r="H703" i="4" s="1"/>
  <c r="G702" i="4"/>
  <c r="H702" i="4" s="1"/>
  <c r="G701" i="4"/>
  <c r="H701" i="4" s="1"/>
  <c r="G700" i="4"/>
  <c r="H700" i="4" s="1"/>
  <c r="G699" i="4"/>
  <c r="H699" i="4" s="1"/>
  <c r="G698" i="4"/>
  <c r="H698" i="4" s="1"/>
  <c r="G697" i="4"/>
  <c r="H697" i="4" s="1"/>
  <c r="G696" i="4"/>
  <c r="H696" i="4" s="1"/>
  <c r="G695" i="4"/>
  <c r="H695" i="4" s="1"/>
  <c r="G694" i="4"/>
  <c r="H694" i="4" s="1"/>
  <c r="G693" i="4"/>
  <c r="H693" i="4" s="1"/>
  <c r="G692" i="4"/>
  <c r="H692" i="4" s="1"/>
  <c r="G691" i="4"/>
  <c r="H691" i="4" s="1"/>
  <c r="G690" i="4"/>
  <c r="H690" i="4" s="1"/>
  <c r="G689" i="4"/>
  <c r="H689" i="4" s="1"/>
  <c r="G688" i="4"/>
  <c r="H688" i="4" s="1"/>
  <c r="G687" i="4"/>
  <c r="H687" i="4" s="1"/>
  <c r="G686" i="4"/>
  <c r="H686" i="4" s="1"/>
  <c r="G685" i="4"/>
  <c r="H685" i="4" s="1"/>
  <c r="G684" i="4"/>
  <c r="H684" i="4" s="1"/>
  <c r="G683" i="4"/>
  <c r="H683" i="4" s="1"/>
  <c r="G682" i="4"/>
  <c r="H682" i="4" s="1"/>
  <c r="G681" i="4"/>
  <c r="H681" i="4" s="1"/>
  <c r="G680" i="4"/>
  <c r="H680" i="4" s="1"/>
  <c r="G679" i="4"/>
  <c r="H679" i="4" s="1"/>
  <c r="G678" i="4"/>
  <c r="H678" i="4" s="1"/>
  <c r="G677" i="4"/>
  <c r="H677" i="4" s="1"/>
  <c r="G676" i="4"/>
  <c r="H676" i="4" s="1"/>
  <c r="G675" i="4"/>
  <c r="H675" i="4" s="1"/>
  <c r="G674" i="4"/>
  <c r="H674" i="4" s="1"/>
  <c r="G673" i="4"/>
  <c r="H673" i="4" s="1"/>
  <c r="G672" i="4"/>
  <c r="H672" i="4" s="1"/>
  <c r="G671" i="4"/>
  <c r="H671" i="4" s="1"/>
  <c r="G670" i="4"/>
  <c r="H670" i="4" s="1"/>
  <c r="G669" i="4"/>
  <c r="H669" i="4" s="1"/>
  <c r="G668" i="4"/>
  <c r="H668" i="4" s="1"/>
  <c r="G667" i="4"/>
  <c r="H667" i="4" s="1"/>
  <c r="G666" i="4"/>
  <c r="H666" i="4" s="1"/>
  <c r="G665" i="4"/>
  <c r="H665" i="4" s="1"/>
  <c r="G664" i="4"/>
  <c r="H664" i="4" s="1"/>
  <c r="G663" i="4"/>
  <c r="H663" i="4" s="1"/>
  <c r="G662" i="4"/>
  <c r="H662" i="4" s="1"/>
  <c r="G661" i="4"/>
  <c r="H661" i="4" s="1"/>
  <c r="G660" i="4"/>
  <c r="H660" i="4" s="1"/>
  <c r="G659" i="4"/>
  <c r="H659" i="4" s="1"/>
  <c r="G658" i="4"/>
  <c r="H658" i="4" s="1"/>
  <c r="G657" i="4"/>
  <c r="H657" i="4" s="1"/>
  <c r="G656" i="4"/>
  <c r="H656" i="4" s="1"/>
  <c r="G655" i="4"/>
  <c r="H655" i="4" s="1"/>
  <c r="G654" i="4"/>
  <c r="H654" i="4" s="1"/>
  <c r="G653" i="4"/>
  <c r="H653" i="4" s="1"/>
  <c r="G652" i="4"/>
  <c r="H652" i="4" s="1"/>
  <c r="G651" i="4"/>
  <c r="H651" i="4" s="1"/>
  <c r="G650" i="4"/>
  <c r="H650" i="4" s="1"/>
  <c r="G649" i="4"/>
  <c r="H649" i="4" s="1"/>
  <c r="G648" i="4"/>
  <c r="H648" i="4" s="1"/>
  <c r="G647" i="4"/>
  <c r="H647" i="4" s="1"/>
  <c r="G646" i="4"/>
  <c r="H646" i="4" s="1"/>
  <c r="G645" i="4"/>
  <c r="H645" i="4" s="1"/>
  <c r="G644" i="4"/>
  <c r="H644" i="4" s="1"/>
  <c r="G643" i="4"/>
  <c r="H643" i="4" s="1"/>
  <c r="G642" i="4"/>
  <c r="H642" i="4" s="1"/>
  <c r="G641" i="4"/>
  <c r="H641" i="4" s="1"/>
  <c r="G640" i="4"/>
  <c r="H640" i="4" s="1"/>
  <c r="G639" i="4"/>
  <c r="H639" i="4" s="1"/>
  <c r="G638" i="4"/>
  <c r="H638" i="4" s="1"/>
  <c r="G637" i="4"/>
  <c r="H637" i="4" s="1"/>
  <c r="G636" i="4"/>
  <c r="H636" i="4" s="1"/>
  <c r="G635" i="4"/>
  <c r="H635" i="4" s="1"/>
  <c r="G634" i="4"/>
  <c r="H634" i="4" s="1"/>
  <c r="G633" i="4"/>
  <c r="H633" i="4" s="1"/>
  <c r="G632" i="4"/>
  <c r="H632" i="4" s="1"/>
  <c r="G631" i="4"/>
  <c r="H631" i="4" s="1"/>
  <c r="G630" i="4"/>
  <c r="H630" i="4" s="1"/>
  <c r="G629" i="4"/>
  <c r="H629" i="4" s="1"/>
  <c r="G628" i="4"/>
  <c r="H628" i="4" s="1"/>
  <c r="G627" i="4"/>
  <c r="H627" i="4" s="1"/>
  <c r="G626" i="4"/>
  <c r="H626" i="4" s="1"/>
  <c r="G625" i="4"/>
  <c r="H625" i="4" s="1"/>
  <c r="G624" i="4"/>
  <c r="H624" i="4" s="1"/>
  <c r="G623" i="4"/>
  <c r="H623" i="4" s="1"/>
  <c r="G622" i="4"/>
  <c r="H622" i="4" s="1"/>
  <c r="G621" i="4"/>
  <c r="H621" i="4" s="1"/>
  <c r="G620" i="4"/>
  <c r="H620" i="4" s="1"/>
  <c r="G619" i="4"/>
  <c r="H619" i="4" s="1"/>
  <c r="G618" i="4"/>
  <c r="H618" i="4" s="1"/>
  <c r="G617" i="4"/>
  <c r="H617" i="4" s="1"/>
  <c r="G616" i="4"/>
  <c r="H616" i="4" s="1"/>
  <c r="G615" i="4"/>
  <c r="H615" i="4" s="1"/>
  <c r="G614" i="4"/>
  <c r="H614" i="4" s="1"/>
  <c r="G613" i="4"/>
  <c r="H613" i="4" s="1"/>
  <c r="G612" i="4"/>
  <c r="H612" i="4" s="1"/>
  <c r="G611" i="4"/>
  <c r="H611" i="4" s="1"/>
  <c r="G610" i="4"/>
  <c r="H610" i="4" s="1"/>
  <c r="G609" i="4"/>
  <c r="H609" i="4" s="1"/>
  <c r="G608" i="4"/>
  <c r="H608" i="4" s="1"/>
  <c r="G607" i="4"/>
  <c r="H607" i="4" s="1"/>
  <c r="G606" i="4"/>
  <c r="H606" i="4" s="1"/>
  <c r="G605" i="4"/>
  <c r="H605" i="4" s="1"/>
  <c r="G604" i="4"/>
  <c r="H604" i="4" s="1"/>
  <c r="G603" i="4"/>
  <c r="H603" i="4" s="1"/>
  <c r="G602" i="4"/>
  <c r="H602" i="4" s="1"/>
  <c r="G601" i="4"/>
  <c r="H601" i="4" s="1"/>
  <c r="G600" i="4"/>
  <c r="H600" i="4" s="1"/>
  <c r="G599" i="4"/>
  <c r="H599" i="4" s="1"/>
  <c r="G598" i="4"/>
  <c r="H598" i="4" s="1"/>
  <c r="G597" i="4"/>
  <c r="H597" i="4" s="1"/>
  <c r="G596" i="4"/>
  <c r="H596" i="4" s="1"/>
  <c r="G595" i="4"/>
  <c r="H595" i="4" s="1"/>
  <c r="G594" i="4"/>
  <c r="H594" i="4" s="1"/>
  <c r="G593" i="4"/>
  <c r="H593" i="4" s="1"/>
  <c r="G592" i="4"/>
  <c r="H592" i="4" s="1"/>
  <c r="G591" i="4"/>
  <c r="H591" i="4" s="1"/>
  <c r="G590" i="4"/>
  <c r="H590" i="4" s="1"/>
  <c r="G589" i="4"/>
  <c r="H589" i="4" s="1"/>
  <c r="G588" i="4"/>
  <c r="H588" i="4" s="1"/>
  <c r="G587" i="4"/>
  <c r="H587" i="4" s="1"/>
  <c r="G586" i="4"/>
  <c r="H586" i="4" s="1"/>
  <c r="G585" i="4"/>
  <c r="H585" i="4" s="1"/>
  <c r="G584" i="4"/>
  <c r="H584" i="4" s="1"/>
  <c r="G583" i="4"/>
  <c r="H583" i="4" s="1"/>
  <c r="G582" i="4"/>
  <c r="H582" i="4" s="1"/>
  <c r="G581" i="4"/>
  <c r="H581" i="4" s="1"/>
  <c r="G580" i="4"/>
  <c r="H580" i="4" s="1"/>
  <c r="G579" i="4"/>
  <c r="H579" i="4" s="1"/>
  <c r="G578" i="4"/>
  <c r="H578" i="4" s="1"/>
  <c r="G577" i="4"/>
  <c r="H577" i="4" s="1"/>
  <c r="G576" i="4"/>
  <c r="H576" i="4" s="1"/>
  <c r="G575" i="4"/>
  <c r="H575" i="4" s="1"/>
  <c r="G574" i="4"/>
  <c r="H574" i="4" s="1"/>
  <c r="G573" i="4"/>
  <c r="H573" i="4" s="1"/>
  <c r="G572" i="4"/>
  <c r="H572" i="4" s="1"/>
  <c r="G571" i="4"/>
  <c r="H571" i="4" s="1"/>
  <c r="G570" i="4"/>
  <c r="H570" i="4" s="1"/>
  <c r="G569" i="4"/>
  <c r="H569" i="4" s="1"/>
  <c r="G568" i="4"/>
  <c r="H568" i="4" s="1"/>
  <c r="G567" i="4"/>
  <c r="H567" i="4" s="1"/>
  <c r="G566" i="4"/>
  <c r="H566" i="4" s="1"/>
  <c r="G565" i="4"/>
  <c r="H565" i="4" s="1"/>
  <c r="G564" i="4"/>
  <c r="H564" i="4" s="1"/>
  <c r="G563" i="4"/>
  <c r="H563" i="4" s="1"/>
  <c r="G562" i="4"/>
  <c r="H562" i="4" s="1"/>
  <c r="G561" i="4"/>
  <c r="H561" i="4" s="1"/>
  <c r="G560" i="4"/>
  <c r="H560" i="4" s="1"/>
  <c r="G559" i="4"/>
  <c r="H559" i="4" s="1"/>
  <c r="G558" i="4"/>
  <c r="H558" i="4" s="1"/>
  <c r="G557" i="4"/>
  <c r="H557" i="4" s="1"/>
  <c r="G556" i="4"/>
  <c r="H556" i="4" s="1"/>
  <c r="G555" i="4"/>
  <c r="H555" i="4" s="1"/>
  <c r="G554" i="4"/>
  <c r="H554" i="4" s="1"/>
  <c r="G553" i="4"/>
  <c r="H553" i="4" s="1"/>
  <c r="G552" i="4"/>
  <c r="H552" i="4" s="1"/>
  <c r="G551" i="4"/>
  <c r="H551" i="4" s="1"/>
  <c r="G550" i="4"/>
  <c r="H550" i="4" s="1"/>
  <c r="G549" i="4"/>
  <c r="H549" i="4" s="1"/>
  <c r="G548" i="4"/>
  <c r="H548" i="4" s="1"/>
  <c r="G547" i="4"/>
  <c r="H547" i="4" s="1"/>
  <c r="G546" i="4"/>
  <c r="H546" i="4" s="1"/>
  <c r="G545" i="4"/>
  <c r="H545" i="4" s="1"/>
  <c r="G544" i="4"/>
  <c r="H544" i="4" s="1"/>
  <c r="G543" i="4"/>
  <c r="H543" i="4" s="1"/>
  <c r="G542" i="4"/>
  <c r="H542" i="4" s="1"/>
  <c r="G541" i="4"/>
  <c r="H541" i="4" s="1"/>
  <c r="G540" i="4"/>
  <c r="H540" i="4" s="1"/>
  <c r="G539" i="4"/>
  <c r="H539" i="4" s="1"/>
  <c r="G538" i="4"/>
  <c r="H538" i="4" s="1"/>
  <c r="G537" i="4"/>
  <c r="H537" i="4" s="1"/>
  <c r="G536" i="4"/>
  <c r="H536" i="4" s="1"/>
  <c r="G535" i="4"/>
  <c r="H535" i="4" s="1"/>
  <c r="G534" i="4"/>
  <c r="H534" i="4" s="1"/>
  <c r="G533" i="4"/>
  <c r="H533" i="4" s="1"/>
  <c r="G532" i="4"/>
  <c r="H532" i="4" s="1"/>
  <c r="G531" i="4"/>
  <c r="H531" i="4" s="1"/>
  <c r="G530" i="4"/>
  <c r="H530" i="4" s="1"/>
  <c r="G529" i="4"/>
  <c r="H529" i="4" s="1"/>
  <c r="G528" i="4"/>
  <c r="H528" i="4" s="1"/>
  <c r="G527" i="4"/>
  <c r="H527" i="4" s="1"/>
  <c r="G526" i="4"/>
  <c r="H526" i="4" s="1"/>
  <c r="G525" i="4"/>
  <c r="H525" i="4" s="1"/>
  <c r="G524" i="4"/>
  <c r="H524" i="4" s="1"/>
  <c r="G523" i="4"/>
  <c r="H523" i="4" s="1"/>
  <c r="G522" i="4"/>
  <c r="H522" i="4" s="1"/>
  <c r="G521" i="4"/>
  <c r="H521" i="4" s="1"/>
  <c r="G520" i="4"/>
  <c r="H520" i="4" s="1"/>
  <c r="G519" i="4"/>
  <c r="H519" i="4" s="1"/>
  <c r="G518" i="4"/>
  <c r="H518" i="4" s="1"/>
  <c r="G517" i="4"/>
  <c r="H517" i="4" s="1"/>
  <c r="G516" i="4"/>
  <c r="H516" i="4" s="1"/>
  <c r="G515" i="4"/>
  <c r="H515" i="4" s="1"/>
  <c r="G514" i="4"/>
  <c r="H514" i="4" s="1"/>
  <c r="G513" i="4"/>
  <c r="H513" i="4" s="1"/>
  <c r="G512" i="4"/>
  <c r="H512" i="4" s="1"/>
  <c r="G511" i="4"/>
  <c r="H511" i="4" s="1"/>
  <c r="G510" i="4"/>
  <c r="H510" i="4" s="1"/>
  <c r="G509" i="4"/>
  <c r="H509" i="4" s="1"/>
  <c r="G508" i="4"/>
  <c r="H508" i="4" s="1"/>
  <c r="G507" i="4"/>
  <c r="H507" i="4" s="1"/>
  <c r="G506" i="4"/>
  <c r="H506" i="4" s="1"/>
  <c r="G505" i="4"/>
  <c r="H505" i="4" s="1"/>
  <c r="G504" i="4"/>
  <c r="H504" i="4" s="1"/>
  <c r="G503" i="4"/>
  <c r="H503" i="4" s="1"/>
  <c r="G502" i="4"/>
  <c r="H502" i="4" s="1"/>
  <c r="G501" i="4"/>
  <c r="H501" i="4" s="1"/>
  <c r="G500" i="4"/>
  <c r="H500" i="4" s="1"/>
  <c r="G499" i="4"/>
  <c r="H499" i="4" s="1"/>
  <c r="G498" i="4"/>
  <c r="H498" i="4" s="1"/>
  <c r="G497" i="4"/>
  <c r="H497" i="4" s="1"/>
  <c r="G496" i="4"/>
  <c r="H496" i="4" s="1"/>
  <c r="G495" i="4"/>
  <c r="H495" i="4" s="1"/>
  <c r="G494" i="4"/>
  <c r="H494" i="4" s="1"/>
  <c r="G493" i="4"/>
  <c r="H493" i="4" s="1"/>
  <c r="G492" i="4"/>
  <c r="H492" i="4" s="1"/>
  <c r="G491" i="4"/>
  <c r="H491" i="4" s="1"/>
  <c r="G490" i="4"/>
  <c r="H490" i="4" s="1"/>
  <c r="G489" i="4"/>
  <c r="H489" i="4" s="1"/>
  <c r="G488" i="4"/>
  <c r="H488" i="4" s="1"/>
  <c r="G487" i="4"/>
  <c r="H487" i="4" s="1"/>
  <c r="G486" i="4"/>
  <c r="H486" i="4" s="1"/>
  <c r="G485" i="4"/>
  <c r="H485" i="4" s="1"/>
  <c r="G484" i="4"/>
  <c r="H484" i="4" s="1"/>
  <c r="G483" i="4"/>
  <c r="H483" i="4" s="1"/>
  <c r="G482" i="4"/>
  <c r="H482" i="4" s="1"/>
  <c r="G481" i="4"/>
  <c r="H481" i="4" s="1"/>
  <c r="G480" i="4"/>
  <c r="H480" i="4" s="1"/>
  <c r="G479" i="4"/>
  <c r="H479" i="4" s="1"/>
  <c r="G478" i="4"/>
  <c r="H478" i="4" s="1"/>
  <c r="G477" i="4"/>
  <c r="H477" i="4" s="1"/>
  <c r="G476" i="4"/>
  <c r="H476" i="4" s="1"/>
  <c r="G475" i="4"/>
  <c r="H475" i="4" s="1"/>
  <c r="G474" i="4"/>
  <c r="H474" i="4" s="1"/>
  <c r="G473" i="4"/>
  <c r="H473" i="4" s="1"/>
  <c r="G472" i="4"/>
  <c r="H472" i="4" s="1"/>
  <c r="G471" i="4"/>
  <c r="H471" i="4" s="1"/>
  <c r="G470" i="4"/>
  <c r="H470" i="4" s="1"/>
  <c r="G469" i="4"/>
  <c r="H469" i="4" s="1"/>
  <c r="G468" i="4"/>
  <c r="H468" i="4" s="1"/>
  <c r="G467" i="4"/>
  <c r="H467" i="4" s="1"/>
  <c r="G466" i="4"/>
  <c r="H466" i="4" s="1"/>
  <c r="G465" i="4"/>
  <c r="H465" i="4" s="1"/>
  <c r="G464" i="4"/>
  <c r="H464" i="4" s="1"/>
  <c r="G463" i="4"/>
  <c r="H463" i="4" s="1"/>
  <c r="G462" i="4"/>
  <c r="H462" i="4" s="1"/>
  <c r="G461" i="4"/>
  <c r="H461" i="4" s="1"/>
  <c r="G460" i="4"/>
  <c r="H460" i="4" s="1"/>
  <c r="G459" i="4"/>
  <c r="H459" i="4" s="1"/>
  <c r="G458" i="4"/>
  <c r="H458" i="4" s="1"/>
  <c r="G457" i="4"/>
  <c r="H457" i="4" s="1"/>
  <c r="G456" i="4"/>
  <c r="H456" i="4" s="1"/>
  <c r="G455" i="4"/>
  <c r="H455" i="4" s="1"/>
  <c r="G454" i="4"/>
  <c r="H454" i="4" s="1"/>
  <c r="G453" i="4"/>
  <c r="H453" i="4" s="1"/>
  <c r="G452" i="4"/>
  <c r="H452" i="4" s="1"/>
  <c r="G451" i="4"/>
  <c r="H451" i="4" s="1"/>
  <c r="G450" i="4"/>
  <c r="H450" i="4" s="1"/>
  <c r="G449" i="4"/>
  <c r="H449" i="4" s="1"/>
  <c r="G448" i="4"/>
  <c r="H448" i="4" s="1"/>
  <c r="G447" i="4"/>
  <c r="H447" i="4" s="1"/>
  <c r="G446" i="4"/>
  <c r="H446" i="4" s="1"/>
  <c r="G445" i="4"/>
  <c r="H445" i="4" s="1"/>
  <c r="G444" i="4"/>
  <c r="H444" i="4" s="1"/>
  <c r="G443" i="4"/>
  <c r="H443" i="4" s="1"/>
  <c r="G442" i="4"/>
  <c r="H442" i="4" s="1"/>
  <c r="G441" i="4"/>
  <c r="H441" i="4" s="1"/>
  <c r="G440" i="4"/>
  <c r="H440" i="4" s="1"/>
  <c r="G439" i="4"/>
  <c r="H439" i="4" s="1"/>
  <c r="G438" i="4"/>
  <c r="H438" i="4" s="1"/>
  <c r="G437" i="4"/>
  <c r="H437" i="4" s="1"/>
  <c r="G436" i="4"/>
  <c r="H436" i="4" s="1"/>
  <c r="G435" i="4"/>
  <c r="H435" i="4" s="1"/>
  <c r="G434" i="4"/>
  <c r="H434" i="4" s="1"/>
  <c r="G433" i="4"/>
  <c r="H433" i="4" s="1"/>
  <c r="G432" i="4"/>
  <c r="H432" i="4" s="1"/>
  <c r="G431" i="4"/>
  <c r="H431" i="4" s="1"/>
  <c r="G430" i="4"/>
  <c r="H430" i="4" s="1"/>
  <c r="G429" i="4"/>
  <c r="H429" i="4" s="1"/>
  <c r="G428" i="4"/>
  <c r="H428" i="4" s="1"/>
  <c r="G427" i="4"/>
  <c r="H427" i="4" s="1"/>
  <c r="G426" i="4"/>
  <c r="H426" i="4" s="1"/>
  <c r="G425" i="4"/>
  <c r="H425" i="4" s="1"/>
  <c r="G424" i="4"/>
  <c r="H424" i="4" s="1"/>
  <c r="G423" i="4"/>
  <c r="H423" i="4" s="1"/>
  <c r="G422" i="4"/>
  <c r="H422" i="4" s="1"/>
  <c r="G421" i="4"/>
  <c r="H421" i="4" s="1"/>
  <c r="G420" i="4"/>
  <c r="H420" i="4" s="1"/>
  <c r="G419" i="4"/>
  <c r="H419" i="4" s="1"/>
  <c r="G418" i="4"/>
  <c r="H418" i="4" s="1"/>
  <c r="G417" i="4"/>
  <c r="H417" i="4" s="1"/>
  <c r="G416" i="4"/>
  <c r="H416" i="4" s="1"/>
  <c r="G415" i="4"/>
  <c r="H415" i="4" s="1"/>
  <c r="G414" i="4"/>
  <c r="H414" i="4" s="1"/>
  <c r="G413" i="4"/>
  <c r="H413" i="4" s="1"/>
  <c r="G412" i="4"/>
  <c r="H412" i="4" s="1"/>
  <c r="G411" i="4"/>
  <c r="H411" i="4" s="1"/>
  <c r="G410" i="4"/>
  <c r="H410" i="4" s="1"/>
  <c r="G409" i="4"/>
  <c r="H409" i="4" s="1"/>
  <c r="G408" i="4"/>
  <c r="H408" i="4" s="1"/>
  <c r="G407" i="4"/>
  <c r="H407" i="4" s="1"/>
  <c r="G406" i="4"/>
  <c r="H406" i="4" s="1"/>
  <c r="G405" i="4"/>
  <c r="H405" i="4" s="1"/>
  <c r="G404" i="4"/>
  <c r="H404" i="4" s="1"/>
  <c r="G403" i="4"/>
  <c r="H403" i="4" s="1"/>
  <c r="G402" i="4"/>
  <c r="H402" i="4" s="1"/>
  <c r="G401" i="4"/>
  <c r="H401" i="4" s="1"/>
  <c r="G400" i="4"/>
  <c r="H400" i="4" s="1"/>
  <c r="G399" i="4"/>
  <c r="H399" i="4" s="1"/>
  <c r="G398" i="4"/>
  <c r="H398" i="4" s="1"/>
  <c r="G397" i="4"/>
  <c r="H397" i="4" s="1"/>
  <c r="G396" i="4"/>
  <c r="H396" i="4" s="1"/>
  <c r="G395" i="4"/>
  <c r="H395" i="4" s="1"/>
  <c r="G394" i="4"/>
  <c r="H394" i="4" s="1"/>
  <c r="G393" i="4"/>
  <c r="H393" i="4" s="1"/>
  <c r="G392" i="4"/>
  <c r="H392" i="4" s="1"/>
  <c r="G391" i="4"/>
  <c r="H391" i="4" s="1"/>
  <c r="G390" i="4"/>
  <c r="H390" i="4" s="1"/>
  <c r="G389" i="4"/>
  <c r="H389" i="4" s="1"/>
  <c r="G388" i="4"/>
  <c r="H388" i="4" s="1"/>
  <c r="G387" i="4"/>
  <c r="H387" i="4" s="1"/>
  <c r="G386" i="4"/>
  <c r="H386" i="4" s="1"/>
  <c r="G385" i="4"/>
  <c r="H385" i="4" s="1"/>
  <c r="G384" i="4"/>
  <c r="H384" i="4" s="1"/>
  <c r="G383" i="4"/>
  <c r="H383" i="4" s="1"/>
  <c r="G382" i="4"/>
  <c r="H382" i="4" s="1"/>
  <c r="G381" i="4"/>
  <c r="H381" i="4" s="1"/>
  <c r="G380" i="4"/>
  <c r="H380" i="4" s="1"/>
  <c r="G379" i="4"/>
  <c r="H379" i="4" s="1"/>
  <c r="G378" i="4"/>
  <c r="G374" i="4"/>
  <c r="H374" i="4" s="1"/>
  <c r="G373" i="4"/>
  <c r="H373" i="4" s="1"/>
  <c r="G372" i="4"/>
  <c r="H372" i="4" s="1"/>
  <c r="G371" i="4"/>
  <c r="H371" i="4" s="1"/>
  <c r="G370" i="4"/>
  <c r="H370" i="4" s="1"/>
  <c r="G369" i="4"/>
  <c r="H369" i="4" s="1"/>
  <c r="G368" i="4"/>
  <c r="H368" i="4" s="1"/>
  <c r="G367" i="4"/>
  <c r="H367" i="4" s="1"/>
  <c r="G366" i="4"/>
  <c r="H366" i="4" s="1"/>
  <c r="G365" i="4"/>
  <c r="H365" i="4" s="1"/>
  <c r="G364" i="4"/>
  <c r="H364" i="4" s="1"/>
  <c r="G363" i="4"/>
  <c r="H363" i="4" s="1"/>
  <c r="G362" i="4"/>
  <c r="H362" i="4" s="1"/>
  <c r="G361" i="4"/>
  <c r="H361" i="4" s="1"/>
  <c r="G360" i="4"/>
  <c r="H360" i="4" s="1"/>
  <c r="G359" i="4"/>
  <c r="H359" i="4" s="1"/>
  <c r="G358" i="4"/>
  <c r="H358" i="4" s="1"/>
  <c r="G357" i="4"/>
  <c r="H357" i="4" s="1"/>
  <c r="G356" i="4"/>
  <c r="H356" i="4" s="1"/>
  <c r="G355" i="4"/>
  <c r="H355" i="4" s="1"/>
  <c r="G354" i="4"/>
  <c r="H354" i="4" s="1"/>
  <c r="G353" i="4"/>
  <c r="H353" i="4" s="1"/>
  <c r="G352" i="4"/>
  <c r="H352" i="4" s="1"/>
  <c r="G351" i="4"/>
  <c r="H351" i="4" s="1"/>
  <c r="G350" i="4"/>
  <c r="H350" i="4" s="1"/>
  <c r="G349" i="4"/>
  <c r="H349" i="4" s="1"/>
  <c r="G348" i="4"/>
  <c r="H348" i="4" s="1"/>
  <c r="G347" i="4"/>
  <c r="H347" i="4" s="1"/>
  <c r="G346" i="4"/>
  <c r="H346" i="4" s="1"/>
  <c r="G345" i="4"/>
  <c r="H345" i="4" s="1"/>
  <c r="G344" i="4"/>
  <c r="H344" i="4" s="1"/>
  <c r="G343" i="4"/>
  <c r="H343" i="4" s="1"/>
  <c r="G342" i="4"/>
  <c r="H342" i="4" s="1"/>
  <c r="G341" i="4"/>
  <c r="H341" i="4" s="1"/>
  <c r="G340" i="4"/>
  <c r="H340" i="4" s="1"/>
  <c r="G339" i="4"/>
  <c r="H339" i="4" s="1"/>
  <c r="G338" i="4"/>
  <c r="H338" i="4" s="1"/>
  <c r="G337" i="4"/>
  <c r="H337" i="4" s="1"/>
  <c r="G336" i="4"/>
  <c r="H336" i="4" s="1"/>
  <c r="G335" i="4"/>
  <c r="H335" i="4" s="1"/>
  <c r="G334" i="4"/>
  <c r="H334" i="4" s="1"/>
  <c r="G333" i="4"/>
  <c r="H333" i="4" s="1"/>
  <c r="G332" i="4"/>
  <c r="H332" i="4" s="1"/>
  <c r="G331" i="4"/>
  <c r="H331" i="4" s="1"/>
  <c r="G330" i="4"/>
  <c r="H330" i="4" s="1"/>
  <c r="G329" i="4"/>
  <c r="H329" i="4" s="1"/>
  <c r="G328" i="4"/>
  <c r="H328" i="4" s="1"/>
  <c r="G327" i="4"/>
  <c r="H327" i="4" s="1"/>
  <c r="G326" i="4"/>
  <c r="H326" i="4" s="1"/>
  <c r="G325" i="4"/>
  <c r="H325" i="4" s="1"/>
  <c r="G324" i="4"/>
  <c r="H324" i="4" s="1"/>
  <c r="G323" i="4"/>
  <c r="H323" i="4" s="1"/>
  <c r="G322" i="4"/>
  <c r="H322" i="4" s="1"/>
  <c r="G321" i="4"/>
  <c r="H321" i="4" s="1"/>
  <c r="G320" i="4"/>
  <c r="H320" i="4" s="1"/>
  <c r="G319" i="4"/>
  <c r="H319" i="4" s="1"/>
  <c r="G318" i="4"/>
  <c r="H318" i="4" s="1"/>
  <c r="G317" i="4"/>
  <c r="H317" i="4" s="1"/>
  <c r="G316" i="4"/>
  <c r="H316" i="4" s="1"/>
  <c r="G315" i="4"/>
  <c r="H315" i="4" s="1"/>
  <c r="G314" i="4"/>
  <c r="H314" i="4" s="1"/>
  <c r="G313" i="4"/>
  <c r="H313" i="4" s="1"/>
  <c r="G312" i="4"/>
  <c r="H312" i="4" s="1"/>
  <c r="G311" i="4"/>
  <c r="H311" i="4" s="1"/>
  <c r="G310" i="4"/>
  <c r="H310" i="4" s="1"/>
  <c r="G309" i="4"/>
  <c r="H309" i="4" s="1"/>
  <c r="G308" i="4"/>
  <c r="H308" i="4" s="1"/>
  <c r="G307" i="4"/>
  <c r="H307" i="4" s="1"/>
  <c r="G306" i="4"/>
  <c r="H306" i="4" s="1"/>
  <c r="G305" i="4"/>
  <c r="H305" i="4" s="1"/>
  <c r="G304" i="4"/>
  <c r="H304" i="4" s="1"/>
  <c r="G303" i="4"/>
  <c r="H303" i="4" s="1"/>
  <c r="G302" i="4"/>
  <c r="H302" i="4" s="1"/>
  <c r="G301" i="4"/>
  <c r="H301" i="4" s="1"/>
  <c r="G300" i="4"/>
  <c r="H300" i="4" s="1"/>
  <c r="G299" i="4"/>
  <c r="H299" i="4" s="1"/>
  <c r="G298" i="4"/>
  <c r="H298" i="4" s="1"/>
  <c r="G297" i="4"/>
  <c r="H297" i="4" s="1"/>
  <c r="G296" i="4"/>
  <c r="H296" i="4" s="1"/>
  <c r="G295" i="4"/>
  <c r="H295" i="4" s="1"/>
  <c r="G294" i="4"/>
  <c r="H294" i="4" s="1"/>
  <c r="G293" i="4"/>
  <c r="H293" i="4" s="1"/>
  <c r="G292" i="4"/>
  <c r="H292" i="4" s="1"/>
  <c r="G291" i="4"/>
  <c r="H291" i="4" s="1"/>
  <c r="G290" i="4"/>
  <c r="H290" i="4" s="1"/>
  <c r="G289" i="4"/>
  <c r="H289" i="4" s="1"/>
  <c r="G288" i="4"/>
  <c r="H288" i="4" s="1"/>
  <c r="G287" i="4"/>
  <c r="H287" i="4" s="1"/>
  <c r="G286" i="4"/>
  <c r="H286" i="4" s="1"/>
  <c r="G285" i="4"/>
  <c r="H285" i="4" s="1"/>
  <c r="G284" i="4"/>
  <c r="H284" i="4" s="1"/>
  <c r="G283" i="4"/>
  <c r="H283" i="4" s="1"/>
  <c r="G282" i="4"/>
  <c r="H282" i="4" s="1"/>
  <c r="G281" i="4"/>
  <c r="H281" i="4" s="1"/>
  <c r="G280" i="4"/>
  <c r="H280" i="4" s="1"/>
  <c r="G279" i="4"/>
  <c r="H279" i="4" s="1"/>
  <c r="G278" i="4"/>
  <c r="H278" i="4" s="1"/>
  <c r="G277" i="4"/>
  <c r="H277" i="4" s="1"/>
  <c r="G276" i="4"/>
  <c r="H276" i="4" s="1"/>
  <c r="G275" i="4"/>
  <c r="H275" i="4" s="1"/>
  <c r="G274" i="4"/>
  <c r="H274" i="4" s="1"/>
  <c r="G273" i="4"/>
  <c r="H273" i="4" s="1"/>
  <c r="G272" i="4"/>
  <c r="H272" i="4" s="1"/>
  <c r="G271" i="4"/>
  <c r="H271" i="4" s="1"/>
  <c r="G270" i="4"/>
  <c r="H270" i="4" s="1"/>
  <c r="G269" i="4"/>
  <c r="H269" i="4" s="1"/>
  <c r="G268" i="4"/>
  <c r="H268" i="4" s="1"/>
  <c r="G267" i="4"/>
  <c r="H267" i="4" s="1"/>
  <c r="G266" i="4"/>
  <c r="H266" i="4" s="1"/>
  <c r="G265" i="4"/>
  <c r="H265" i="4" s="1"/>
  <c r="G264" i="4"/>
  <c r="H264" i="4" s="1"/>
  <c r="G263" i="4"/>
  <c r="H263" i="4" s="1"/>
  <c r="G262" i="4"/>
  <c r="H262" i="4" s="1"/>
  <c r="G261" i="4"/>
  <c r="H261" i="4" s="1"/>
  <c r="G260" i="4"/>
  <c r="H260" i="4" s="1"/>
  <c r="G259" i="4"/>
  <c r="H259" i="4" s="1"/>
  <c r="G258" i="4"/>
  <c r="H258" i="4" s="1"/>
  <c r="G257" i="4"/>
  <c r="H257" i="4" s="1"/>
  <c r="G256" i="4"/>
  <c r="H256" i="4" s="1"/>
  <c r="G255" i="4"/>
  <c r="H255" i="4" s="1"/>
  <c r="G254" i="4"/>
  <c r="H254" i="4" s="1"/>
  <c r="G253" i="4"/>
  <c r="H253" i="4" s="1"/>
  <c r="G252" i="4"/>
  <c r="H252" i="4" s="1"/>
  <c r="G251" i="4"/>
  <c r="H251" i="4" s="1"/>
  <c r="G250" i="4"/>
  <c r="H250" i="4" s="1"/>
  <c r="G249" i="4"/>
  <c r="H249" i="4" s="1"/>
  <c r="G248" i="4"/>
  <c r="H248" i="4" s="1"/>
  <c r="G247" i="4"/>
  <c r="H247" i="4" s="1"/>
  <c r="G246" i="4"/>
  <c r="H246" i="4" s="1"/>
  <c r="G245" i="4"/>
  <c r="H245" i="4" s="1"/>
  <c r="G244" i="4"/>
  <c r="H244" i="4" s="1"/>
  <c r="G243" i="4"/>
  <c r="H243" i="4" s="1"/>
  <c r="G242" i="4"/>
  <c r="H242" i="4" s="1"/>
  <c r="G241" i="4"/>
  <c r="H241" i="4" s="1"/>
  <c r="G240" i="4"/>
  <c r="H240" i="4" s="1"/>
  <c r="G239" i="4"/>
  <c r="H239" i="4" s="1"/>
  <c r="G238" i="4"/>
  <c r="H238" i="4" s="1"/>
  <c r="G237" i="4"/>
  <c r="H237" i="4" s="1"/>
  <c r="G236" i="4"/>
  <c r="H236" i="4" s="1"/>
  <c r="G235" i="4"/>
  <c r="H235" i="4" s="1"/>
  <c r="G234" i="4"/>
  <c r="H234" i="4" s="1"/>
  <c r="G233" i="4"/>
  <c r="H233" i="4" s="1"/>
  <c r="G232" i="4"/>
  <c r="H232" i="4" s="1"/>
  <c r="G231" i="4"/>
  <c r="H231" i="4" s="1"/>
  <c r="G230" i="4"/>
  <c r="H230" i="4" s="1"/>
  <c r="G229" i="4"/>
  <c r="H229" i="4" s="1"/>
  <c r="G228" i="4"/>
  <c r="H228" i="4" s="1"/>
  <c r="G227" i="4"/>
  <c r="H227" i="4" s="1"/>
  <c r="G226" i="4"/>
  <c r="H226" i="4" s="1"/>
  <c r="G225" i="4"/>
  <c r="H225" i="4" s="1"/>
  <c r="G224" i="4"/>
  <c r="H224" i="4" s="1"/>
  <c r="G223" i="4"/>
  <c r="H223" i="4" s="1"/>
  <c r="G222" i="4"/>
  <c r="H222" i="4" s="1"/>
  <c r="G221" i="4"/>
  <c r="H221" i="4" s="1"/>
  <c r="G220" i="4"/>
  <c r="H220" i="4" s="1"/>
  <c r="G219" i="4"/>
  <c r="H219" i="4" s="1"/>
  <c r="G218" i="4"/>
  <c r="H218" i="4" s="1"/>
  <c r="G217" i="4"/>
  <c r="H217" i="4" s="1"/>
  <c r="G216" i="4"/>
  <c r="H216" i="4" s="1"/>
  <c r="G215" i="4"/>
  <c r="H215" i="4" s="1"/>
  <c r="G214" i="4"/>
  <c r="H214" i="4" s="1"/>
  <c r="G213" i="4"/>
  <c r="H213" i="4" s="1"/>
  <c r="G212" i="4"/>
  <c r="H212" i="4" s="1"/>
  <c r="G211" i="4"/>
  <c r="H211" i="4" s="1"/>
  <c r="G210" i="4"/>
  <c r="H210" i="4" s="1"/>
  <c r="G209" i="4"/>
  <c r="H209" i="4" s="1"/>
  <c r="G208" i="4"/>
  <c r="H208" i="4" s="1"/>
  <c r="G207" i="4"/>
  <c r="H207" i="4" s="1"/>
  <c r="G206" i="4"/>
  <c r="H206" i="4" s="1"/>
  <c r="G205" i="4"/>
  <c r="H205" i="4" s="1"/>
  <c r="G204" i="4"/>
  <c r="H204" i="4" s="1"/>
  <c r="G203" i="4"/>
  <c r="H203" i="4" s="1"/>
  <c r="G202" i="4"/>
  <c r="H202" i="4" s="1"/>
  <c r="G201" i="4"/>
  <c r="H201" i="4" s="1"/>
  <c r="G200" i="4"/>
  <c r="H200" i="4" s="1"/>
  <c r="G199" i="4"/>
  <c r="H199" i="4" s="1"/>
  <c r="G198" i="4"/>
  <c r="H198" i="4" s="1"/>
  <c r="G197" i="4"/>
  <c r="H197" i="4" s="1"/>
  <c r="G196" i="4"/>
  <c r="H196" i="4" s="1"/>
  <c r="G195" i="4"/>
  <c r="H195" i="4" s="1"/>
  <c r="G194" i="4"/>
  <c r="H194" i="4" s="1"/>
  <c r="G193" i="4"/>
  <c r="H193" i="4" s="1"/>
  <c r="G192" i="4"/>
  <c r="H192" i="4" s="1"/>
  <c r="G191" i="4"/>
  <c r="H191" i="4" s="1"/>
  <c r="G190" i="4"/>
  <c r="H190" i="4" s="1"/>
  <c r="G189" i="4"/>
  <c r="H189" i="4" s="1"/>
  <c r="G188" i="4"/>
  <c r="H188" i="4" s="1"/>
  <c r="G187" i="4"/>
  <c r="H187" i="4" s="1"/>
  <c r="G186" i="4"/>
  <c r="H186" i="4" s="1"/>
  <c r="G185" i="4"/>
  <c r="H185" i="4" s="1"/>
  <c r="G184" i="4"/>
  <c r="H184" i="4" s="1"/>
  <c r="G183" i="4"/>
  <c r="H183" i="4" s="1"/>
  <c r="G182" i="4"/>
  <c r="H182" i="4" s="1"/>
  <c r="G181" i="4"/>
  <c r="H181" i="4" s="1"/>
  <c r="G180" i="4"/>
  <c r="H180" i="4" s="1"/>
  <c r="G179" i="4"/>
  <c r="H179" i="4" s="1"/>
  <c r="G178" i="4"/>
  <c r="H178" i="4" s="1"/>
  <c r="G177" i="4"/>
  <c r="H177" i="4" s="1"/>
  <c r="G176" i="4"/>
  <c r="H176" i="4" s="1"/>
  <c r="G175" i="4"/>
  <c r="H175" i="4" s="1"/>
  <c r="G174" i="4"/>
  <c r="H174" i="4" s="1"/>
  <c r="G173" i="4"/>
  <c r="H173" i="4" s="1"/>
  <c r="G172" i="4"/>
  <c r="H172" i="4" s="1"/>
  <c r="G171" i="4"/>
  <c r="H171" i="4" s="1"/>
  <c r="G170" i="4"/>
  <c r="H170" i="4" s="1"/>
  <c r="G169" i="4"/>
  <c r="H169" i="4" s="1"/>
  <c r="G168" i="4"/>
  <c r="H168" i="4" s="1"/>
  <c r="G167" i="4"/>
  <c r="H167" i="4" s="1"/>
  <c r="G166" i="4"/>
  <c r="H166" i="4" s="1"/>
  <c r="G165" i="4"/>
  <c r="H165" i="4" s="1"/>
  <c r="G164" i="4"/>
  <c r="H164" i="4" s="1"/>
  <c r="G163" i="4"/>
  <c r="H163" i="4" s="1"/>
  <c r="G162" i="4"/>
  <c r="H162" i="4" s="1"/>
  <c r="G161" i="4"/>
  <c r="H161" i="4" s="1"/>
  <c r="G160" i="4"/>
  <c r="H160" i="4" s="1"/>
  <c r="G159" i="4"/>
  <c r="H159" i="4" s="1"/>
  <c r="G158" i="4"/>
  <c r="H158" i="4" s="1"/>
  <c r="G157" i="4"/>
  <c r="H157" i="4" s="1"/>
  <c r="G156" i="4"/>
  <c r="H156" i="4" s="1"/>
  <c r="G155" i="4"/>
  <c r="H155" i="4" s="1"/>
  <c r="G154" i="4"/>
  <c r="H154" i="4" s="1"/>
  <c r="G153" i="4"/>
  <c r="H153" i="4" s="1"/>
  <c r="G152" i="4"/>
  <c r="H152" i="4" s="1"/>
  <c r="G151" i="4"/>
  <c r="H151" i="4" s="1"/>
  <c r="G150" i="4"/>
  <c r="H150" i="4" s="1"/>
  <c r="G149" i="4"/>
  <c r="H149" i="4" s="1"/>
  <c r="G148" i="4"/>
  <c r="H148" i="4" s="1"/>
  <c r="G147" i="4"/>
  <c r="H147" i="4" s="1"/>
  <c r="G146" i="4"/>
  <c r="H146" i="4" s="1"/>
  <c r="G145" i="4"/>
  <c r="H145" i="4" s="1"/>
  <c r="G144" i="4"/>
  <c r="H144" i="4" s="1"/>
  <c r="G143" i="4"/>
  <c r="H143" i="4" s="1"/>
  <c r="G142" i="4"/>
  <c r="H142" i="4" s="1"/>
  <c r="G141" i="4"/>
  <c r="H141" i="4" s="1"/>
  <c r="G140" i="4"/>
  <c r="H140" i="4" s="1"/>
  <c r="G139" i="4"/>
  <c r="H139" i="4" s="1"/>
  <c r="G138" i="4"/>
  <c r="H138" i="4" s="1"/>
  <c r="G137" i="4"/>
  <c r="H137" i="4" s="1"/>
  <c r="G136" i="4"/>
  <c r="H136" i="4" s="1"/>
  <c r="G135" i="4"/>
  <c r="H135" i="4" s="1"/>
  <c r="G134" i="4"/>
  <c r="H134" i="4" s="1"/>
  <c r="G133" i="4"/>
  <c r="H133" i="4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D75" i="3"/>
  <c r="F74" i="3"/>
  <c r="G74" i="3" s="1"/>
  <c r="H74" i="3" s="1"/>
  <c r="F73" i="3"/>
  <c r="G73" i="3" s="1"/>
  <c r="H73" i="3" s="1"/>
  <c r="F72" i="3"/>
  <c r="G72" i="3" s="1"/>
  <c r="H72" i="3" s="1"/>
  <c r="F71" i="3"/>
  <c r="G71" i="3" s="1"/>
  <c r="H71" i="3" s="1"/>
  <c r="F70" i="3"/>
  <c r="G70" i="3" s="1"/>
  <c r="H70" i="3" s="1"/>
  <c r="F69" i="3"/>
  <c r="G69" i="3" s="1"/>
  <c r="H69" i="3" s="1"/>
  <c r="F68" i="3"/>
  <c r="G68" i="3" s="1"/>
  <c r="H68" i="3" s="1"/>
  <c r="F67" i="3"/>
  <c r="G67" i="3" s="1"/>
  <c r="H67" i="3" s="1"/>
  <c r="F66" i="3"/>
  <c r="G66" i="3" s="1"/>
  <c r="H66" i="3" s="1"/>
  <c r="F65" i="3"/>
  <c r="G65" i="3" s="1"/>
  <c r="H65" i="3" s="1"/>
  <c r="F64" i="3"/>
  <c r="G64" i="3" s="1"/>
  <c r="H64" i="3" s="1"/>
  <c r="F63" i="3"/>
  <c r="G63" i="3" s="1"/>
  <c r="H63" i="3" s="1"/>
  <c r="F62" i="3"/>
  <c r="G62" i="3" s="1"/>
  <c r="H62" i="3" s="1"/>
  <c r="F61" i="3"/>
  <c r="G61" i="3" s="1"/>
  <c r="H61" i="3" s="1"/>
  <c r="F60" i="3"/>
  <c r="G60" i="3" s="1"/>
  <c r="H60" i="3" s="1"/>
  <c r="F59" i="3"/>
  <c r="G59" i="3" s="1"/>
  <c r="H59" i="3" s="1"/>
  <c r="F58" i="3"/>
  <c r="G58" i="3" s="1"/>
  <c r="H58" i="3" s="1"/>
  <c r="F57" i="3"/>
  <c r="G57" i="3" s="1"/>
  <c r="H57" i="3" s="1"/>
  <c r="F56" i="3"/>
  <c r="G56" i="3" s="1"/>
  <c r="H56" i="3" s="1"/>
  <c r="F55" i="3"/>
  <c r="G55" i="3" s="1"/>
  <c r="H55" i="3" s="1"/>
  <c r="F54" i="3"/>
  <c r="G54" i="3" s="1"/>
  <c r="H54" i="3" s="1"/>
  <c r="F53" i="3"/>
  <c r="G53" i="3" s="1"/>
  <c r="H53" i="3" s="1"/>
  <c r="F52" i="3"/>
  <c r="G52" i="3" s="1"/>
  <c r="H52" i="3" s="1"/>
  <c r="F51" i="3"/>
  <c r="G51" i="3" s="1"/>
  <c r="H51" i="3" s="1"/>
  <c r="F50" i="3"/>
  <c r="G50" i="3" s="1"/>
  <c r="H50" i="3" s="1"/>
  <c r="F49" i="3"/>
  <c r="G49" i="3" s="1"/>
  <c r="H49" i="3" s="1"/>
  <c r="F48" i="3"/>
  <c r="G48" i="3" s="1"/>
  <c r="H48" i="3" s="1"/>
  <c r="F47" i="3"/>
  <c r="G47" i="3" s="1"/>
  <c r="H47" i="3" s="1"/>
  <c r="F46" i="3"/>
  <c r="G46" i="3" s="1"/>
  <c r="H46" i="3" s="1"/>
  <c r="F45" i="3"/>
  <c r="G45" i="3" s="1"/>
  <c r="H45" i="3" s="1"/>
  <c r="F44" i="3"/>
  <c r="G44" i="3" s="1"/>
  <c r="H44" i="3" s="1"/>
  <c r="F43" i="3"/>
  <c r="G43" i="3" s="1"/>
  <c r="H43" i="3" s="1"/>
  <c r="F42" i="3"/>
  <c r="G42" i="3" s="1"/>
  <c r="H42" i="3" s="1"/>
  <c r="F41" i="3"/>
  <c r="G41" i="3" s="1"/>
  <c r="H41" i="3" s="1"/>
  <c r="F40" i="3"/>
  <c r="G40" i="3" s="1"/>
  <c r="H40" i="3" s="1"/>
  <c r="F39" i="3"/>
  <c r="G39" i="3" s="1"/>
  <c r="H39" i="3" s="1"/>
  <c r="F38" i="3"/>
  <c r="G38" i="3" s="1"/>
  <c r="H38" i="3" s="1"/>
  <c r="F37" i="3"/>
  <c r="G37" i="3" s="1"/>
  <c r="H37" i="3" s="1"/>
  <c r="F36" i="3"/>
  <c r="G36" i="3" s="1"/>
  <c r="H36" i="3" s="1"/>
  <c r="F35" i="3"/>
  <c r="G35" i="3" s="1"/>
  <c r="H35" i="3" s="1"/>
  <c r="F34" i="3"/>
  <c r="G34" i="3" s="1"/>
  <c r="H34" i="3" s="1"/>
  <c r="F33" i="3"/>
  <c r="G33" i="3" s="1"/>
  <c r="H33" i="3" s="1"/>
  <c r="F32" i="3"/>
  <c r="G32" i="3" s="1"/>
  <c r="H32" i="3" s="1"/>
  <c r="F31" i="3"/>
  <c r="G31" i="3" s="1"/>
  <c r="H31" i="3" s="1"/>
  <c r="F30" i="3"/>
  <c r="G30" i="3" s="1"/>
  <c r="H30" i="3" s="1"/>
  <c r="F29" i="3"/>
  <c r="G29" i="3" s="1"/>
  <c r="H29" i="3" s="1"/>
  <c r="F28" i="3"/>
  <c r="G28" i="3" s="1"/>
  <c r="H28" i="3" s="1"/>
  <c r="F27" i="3"/>
  <c r="G27" i="3" s="1"/>
  <c r="H27" i="3" s="1"/>
  <c r="F26" i="3"/>
  <c r="G26" i="3" s="1"/>
  <c r="H26" i="3" s="1"/>
  <c r="F25" i="3"/>
  <c r="G25" i="3" s="1"/>
  <c r="H25" i="3" s="1"/>
  <c r="F24" i="3"/>
  <c r="G24" i="3" s="1"/>
  <c r="H24" i="3" s="1"/>
  <c r="F23" i="3"/>
  <c r="G23" i="3" s="1"/>
  <c r="H23" i="3" s="1"/>
  <c r="F22" i="3"/>
  <c r="G22" i="3" s="1"/>
  <c r="H22" i="3" s="1"/>
  <c r="F21" i="3"/>
  <c r="G21" i="3" s="1"/>
  <c r="H21" i="3" s="1"/>
  <c r="F20" i="3"/>
  <c r="G20" i="3" s="1"/>
  <c r="H20" i="3" s="1"/>
  <c r="F19" i="3"/>
  <c r="G19" i="3" s="1"/>
  <c r="H19" i="3" s="1"/>
  <c r="F18" i="3"/>
  <c r="G18" i="3" s="1"/>
  <c r="H18" i="3" s="1"/>
  <c r="F17" i="3"/>
  <c r="G17" i="3" s="1"/>
  <c r="H17" i="3" s="1"/>
  <c r="F16" i="3"/>
  <c r="G16" i="3" s="1"/>
  <c r="H16" i="3" s="1"/>
  <c r="F15" i="3"/>
  <c r="G15" i="3" s="1"/>
  <c r="H15" i="3" s="1"/>
  <c r="F14" i="3"/>
  <c r="G14" i="3" s="1"/>
  <c r="H14" i="3" s="1"/>
  <c r="F13" i="3"/>
  <c r="G13" i="3" s="1"/>
  <c r="H13" i="3" s="1"/>
  <c r="F12" i="3"/>
  <c r="G12" i="3" s="1"/>
  <c r="H12" i="3" s="1"/>
  <c r="F11" i="3"/>
  <c r="G11" i="3" s="1"/>
  <c r="H11" i="3" s="1"/>
  <c r="F10" i="3"/>
  <c r="G10" i="3" s="1"/>
  <c r="H10" i="3" s="1"/>
  <c r="F9" i="3"/>
  <c r="G9" i="3" s="1"/>
  <c r="H9" i="3" s="1"/>
  <c r="F8" i="3"/>
  <c r="G8" i="3" s="1"/>
  <c r="H8" i="3" s="1"/>
  <c r="F7" i="3"/>
  <c r="G7" i="3" s="1"/>
  <c r="H7" i="3" s="1"/>
  <c r="F6" i="3"/>
  <c r="G6" i="3" s="1"/>
  <c r="H6" i="3" s="1"/>
  <c r="F5" i="3"/>
  <c r="G5" i="3" s="1"/>
  <c r="H5" i="3" s="1"/>
  <c r="B6" i="2"/>
  <c r="E15" i="1"/>
  <c r="B15" i="1"/>
  <c r="E11" i="1"/>
  <c r="B11" i="1"/>
  <c r="B10" i="1"/>
  <c r="G7" i="1"/>
  <c r="E7" i="1"/>
  <c r="D7" i="1"/>
  <c r="G6" i="1"/>
  <c r="D6" i="1"/>
  <c r="E5" i="1"/>
  <c r="B5" i="1"/>
  <c r="F22" i="6" l="1"/>
  <c r="F11" i="1" s="1"/>
  <c r="G11" i="1" s="1"/>
  <c r="F20" i="6"/>
  <c r="F11" i="6"/>
  <c r="F12" i="6" s="1"/>
  <c r="C11" i="1" s="1"/>
  <c r="D11" i="1" s="1"/>
  <c r="F7" i="6"/>
  <c r="F6" i="6"/>
  <c r="F5" i="6"/>
  <c r="F9" i="6" s="1"/>
  <c r="C10" i="1" s="1"/>
  <c r="D10" i="1" s="1"/>
  <c r="F30" i="7"/>
  <c r="G30" i="7" s="1"/>
  <c r="H30" i="7"/>
  <c r="H45" i="7"/>
  <c r="F45" i="7"/>
  <c r="G45" i="7" s="1"/>
  <c r="F44" i="7"/>
  <c r="G44" i="7" s="1"/>
  <c r="G46" i="7" s="1"/>
  <c r="F12" i="1" s="1"/>
  <c r="G12" i="1" s="1"/>
  <c r="H44" i="7"/>
  <c r="H46" i="7" s="1"/>
  <c r="H40" i="7"/>
  <c r="F40" i="7"/>
  <c r="G40" i="7" s="1"/>
  <c r="F39" i="7"/>
  <c r="G39" i="7" s="1"/>
  <c r="H39" i="7"/>
  <c r="F38" i="7"/>
  <c r="G38" i="7" s="1"/>
  <c r="H38" i="7"/>
  <c r="H37" i="7"/>
  <c r="F37" i="7"/>
  <c r="G37" i="7" s="1"/>
  <c r="H36" i="7"/>
  <c r="F36" i="7"/>
  <c r="G36" i="7" s="1"/>
  <c r="H35" i="7"/>
  <c r="F35" i="7"/>
  <c r="G35" i="7" s="1"/>
  <c r="F34" i="7"/>
  <c r="G34" i="7" s="1"/>
  <c r="H34" i="7"/>
  <c r="H33" i="7"/>
  <c r="F33" i="7"/>
  <c r="G33" i="7" s="1"/>
  <c r="H32" i="7"/>
  <c r="F32" i="7"/>
  <c r="G32" i="7" s="1"/>
  <c r="H31" i="7"/>
  <c r="F31" i="7"/>
  <c r="G31" i="7" s="1"/>
  <c r="F29" i="7"/>
  <c r="G29" i="7" s="1"/>
  <c r="H29" i="7"/>
  <c r="F28" i="7"/>
  <c r="G28" i="7" s="1"/>
  <c r="H28" i="7"/>
  <c r="H27" i="7"/>
  <c r="F27" i="7"/>
  <c r="G27" i="7" s="1"/>
  <c r="F26" i="7"/>
  <c r="G26" i="7" s="1"/>
  <c r="H26" i="7"/>
  <c r="F25" i="7"/>
  <c r="G25" i="7" s="1"/>
  <c r="H25" i="7"/>
  <c r="F24" i="7"/>
  <c r="G24" i="7" s="1"/>
  <c r="H24" i="7"/>
  <c r="F23" i="7"/>
  <c r="G23" i="7" s="1"/>
  <c r="H23" i="7"/>
  <c r="F22" i="7"/>
  <c r="G22" i="7" s="1"/>
  <c r="H22" i="7"/>
  <c r="F21" i="7"/>
  <c r="G21" i="7" s="1"/>
  <c r="H21" i="7"/>
  <c r="H20" i="7"/>
  <c r="F20" i="7"/>
  <c r="G20" i="7" s="1"/>
  <c r="F19" i="7"/>
  <c r="G19" i="7" s="1"/>
  <c r="H19" i="7"/>
  <c r="F18" i="7"/>
  <c r="G18" i="7" s="1"/>
  <c r="H18" i="7"/>
  <c r="F17" i="7"/>
  <c r="G17" i="7" s="1"/>
  <c r="H17" i="7"/>
  <c r="F16" i="7"/>
  <c r="G16" i="7" s="1"/>
  <c r="H16" i="7"/>
  <c r="F15" i="7"/>
  <c r="G15" i="7" s="1"/>
  <c r="H15" i="7"/>
  <c r="H14" i="7"/>
  <c r="F14" i="7"/>
  <c r="G14" i="7" s="1"/>
  <c r="H13" i="7"/>
  <c r="F13" i="7"/>
  <c r="G13" i="7" s="1"/>
  <c r="F12" i="7"/>
  <c r="G12" i="7" s="1"/>
  <c r="H12" i="7"/>
  <c r="H11" i="7"/>
  <c r="F11" i="7"/>
  <c r="G11" i="7" s="1"/>
  <c r="H10" i="7"/>
  <c r="F10" i="7"/>
  <c r="G10" i="7" s="1"/>
  <c r="H9" i="7"/>
  <c r="F9" i="7"/>
  <c r="G9" i="7" s="1"/>
  <c r="F8" i="7"/>
  <c r="G8" i="7" s="1"/>
  <c r="H8" i="7"/>
  <c r="H7" i="7"/>
  <c r="F7" i="7"/>
  <c r="G7" i="7" s="1"/>
  <c r="H6" i="7"/>
  <c r="H41" i="7" s="1"/>
  <c r="F6" i="7"/>
  <c r="G6" i="7" s="1"/>
  <c r="G41" i="7" s="1"/>
  <c r="C12" i="1" s="1"/>
  <c r="D12" i="1" s="1"/>
  <c r="H423" i="5"/>
  <c r="H794" i="5" s="1"/>
  <c r="F9" i="1" s="1"/>
  <c r="G9" i="1" s="1"/>
  <c r="E794" i="5"/>
  <c r="E9" i="1" s="1"/>
  <c r="E324" i="5"/>
  <c r="B9" i="1" s="1"/>
  <c r="H114" i="5"/>
  <c r="H324" i="5" s="1"/>
  <c r="C9" i="1" s="1"/>
  <c r="D9" i="1" s="1"/>
  <c r="H378" i="4"/>
  <c r="H845" i="4" s="1"/>
  <c r="F8" i="1" s="1"/>
  <c r="G8" i="1" s="1"/>
  <c r="E845" i="4"/>
  <c r="E8" i="1" s="1"/>
  <c r="H59" i="4"/>
  <c r="H375" i="4" s="1"/>
  <c r="C8" i="1" s="1"/>
  <c r="D8" i="1" s="1"/>
  <c r="E375" i="4"/>
  <c r="B8" i="1" s="1"/>
  <c r="H75" i="3"/>
  <c r="C5" i="1" s="1"/>
  <c r="D79" i="3"/>
  <c r="D80" i="3" s="1"/>
  <c r="F5" i="1" s="1"/>
  <c r="D5" i="1" l="1"/>
  <c r="C13" i="1"/>
  <c r="D13" i="1" s="1"/>
  <c r="G5" i="1"/>
  <c r="F13" i="1"/>
  <c r="G13" i="1" s="1"/>
</calcChain>
</file>

<file path=xl/sharedStrings.xml><?xml version="1.0" encoding="utf-8"?>
<sst xmlns="http://schemas.openxmlformats.org/spreadsheetml/2006/main" count="5697" uniqueCount="793">
  <si>
    <t>Riopaila · impacto de la restricción presupuestal en el TCH</t>
  </si>
  <si>
    <t>Todas las cifras salen de las otras hojas (fórmulas). TCH = toneladas ÷ ha a cosechar del año. 2027: estado de labores a hoy; riego = escenario El Niño.</t>
  </si>
  <si>
    <t>Factor</t>
  </si>
  <si>
    <t>2026 · Ha afectadas</t>
  </si>
  <si>
    <t>2026 · Toneladas</t>
  </si>
  <si>
    <t>2026 · TCH</t>
  </si>
  <si>
    <t>2027 · Ha afectadas</t>
  </si>
  <si>
    <t>2027 · Toneladas</t>
  </si>
  <si>
    <t>2027 · TCH</t>
  </si>
  <si>
    <t>Hoja</t>
  </si>
  <si>
    <t>Menor renovación</t>
  </si>
  <si>
    <t>Renovación</t>
  </si>
  <si>
    <t>Corte a siembra</t>
  </si>
  <si>
    <t>Fertilización</t>
  </si>
  <si>
    <t>Roturación tardía</t>
  </si>
  <si>
    <t>Roturación</t>
  </si>
  <si>
    <t>Control de malezas</t>
  </si>
  <si>
    <t>Malezas</t>
  </si>
  <si>
    <t>Falta de riego</t>
  </si>
  <si>
    <t>Riego y lluvia</t>
  </si>
  <si>
    <t>Precipitaciones</t>
  </si>
  <si>
    <t>Lucro cesante</t>
  </si>
  <si>
    <t>Total</t>
  </si>
  <si>
    <t>Ha a cosechar</t>
  </si>
  <si>
    <t>Negativo = a favor. Corte a siembra y fertilización: sin efecto medible (0 t). Los factores se midieron por separado y pueden traslaparse.</t>
  </si>
  <si>
    <t>Efectos medidos y supuestos (celdas azules = dato; se pueden cambiar y el libro se recalcula)</t>
  </si>
  <si>
    <t>Efectos medidos con cosechas de Riopaila, cada suerte frente a su propio promedio 2020-25, con efectos de año, mes, edad y corte.</t>
  </si>
  <si>
    <t>Concepto</t>
  </si>
  <si>
    <t>Valor</t>
  </si>
  <si>
    <t>Fuente / cómo se midió</t>
  </si>
  <si>
    <t>Ha cosechadas 2026 (ene-oct)</t>
  </si>
  <si>
    <t>ZQM / G&amp;P a septiembre + app de Cosecha octubre</t>
  </si>
  <si>
    <t>Ha por cosechar 2026 (nov-dic)</t>
  </si>
  <si>
    <t>Maestro: próximo corte en 2026 sin cosecha registrada</t>
  </si>
  <si>
    <t>Ha a cosechar 2026</t>
  </si>
  <si>
    <t>Denominador del impacto en TCH 2026</t>
  </si>
  <si>
    <t>Ha a cosechar 2027</t>
  </si>
  <si>
    <t>Presupuesto de cosecha 2027 (proyección)</t>
  </si>
  <si>
    <t>Roturación 1.ª labor TARDÍA (&gt;30 días)</t>
  </si>
  <si>
    <t>Control oficial de roturación; cosechas 2024-26, n=803; p&lt;0,01; controla suelo húmedo (sin control −10,9 %)</t>
  </si>
  <si>
    <t>Malezas: por cada 30 días de atraso del 1.er control químico</t>
  </si>
  <si>
    <t>SimpleAgri; socas cosechadas 2024-26, n=1.011; p=0,007. Con la fecha real de aplicaciones (cosechas 2026, n=259): −2,3 % (p=0,11); se deja el menor</t>
  </si>
  <si>
    <t>Malezas: plazo del protocolo (días)</t>
  </si>
  <si>
    <t>Pedido del usuario (22-oct): el primer control hasta 90 días cuenta como oportuno; se cuenta solo el atraso más allá</t>
  </si>
  <si>
    <t>Malezas: ciclo sin control químico</t>
  </si>
  <si>
    <t>−6,7 % frente a ≤60 días (p=0,001), menos lo que ya restaría un control a los 90 días (−1,46 %)</t>
  </si>
  <si>
    <t>Riego: déficit sin cubrir meses 0-4 (por 100 mm)</t>
  </si>
  <si>
    <t>Modelo de riego 2022-26 (arranque seco ayuda)</t>
  </si>
  <si>
    <t>Riego: déficit sin cubrir meses 4-8 (por 100 mm)</t>
  </si>
  <si>
    <t>Modelo de riego 2022-26</t>
  </si>
  <si>
    <t>Riego: déficit sin cubrir del mes 8 a la cosecha (por 100 mm)</t>
  </si>
  <si>
    <t>Modelo de riego 2022-26; p&lt;0,001</t>
  </si>
  <si>
    <t>Lluvia del arranque, meses 0-3 (por 100 mm)</t>
  </si>
  <si>
    <t>Modelo de factores 2011-26 (más lluvia al arrancar = menos TCH)</t>
  </si>
  <si>
    <t>TCHM Riopaila 2024-25 (t/ha por mes)</t>
  </si>
  <si>
    <t>ZQM: toneladas ÷ (área × edad)</t>
  </si>
  <si>
    <t>Lucro: días normales entre corte y siembra</t>
  </si>
  <si>
    <t>Supuesto: lo que pasa de 60 días es pérdida</t>
  </si>
  <si>
    <t>Escenario El Niño: déficit final sin cubrir extra (mm)</t>
  </si>
  <si>
    <t>Lo que pasó en 2026 (149 contra 32 mm normales)</t>
  </si>
  <si>
    <t>TCH esperado 2027 para el escenario de riego</t>
  </si>
  <si>
    <t>Presupuesto 2027, escenario «como 2026»</t>
  </si>
  <si>
    <t>Corte a siembra (por 100 días)</t>
  </si>
  <si>
    <t>Medido −0,8 % (p=0,22): no significativo → 0</t>
  </si>
  <si>
    <t>Fertilización tardía</t>
  </si>
  <si>
    <t>Base de maduración 2026: sin efecto (TARDÍO +8 %, n=3; suelo húmedo +0,9 %, p=0,72)</t>
  </si>
  <si>
    <t>Curva por número de corte en el mismo lote (para «Menor renovación»)</t>
  </si>
  <si>
    <t>Corte</t>
  </si>
  <si>
    <t>Frente a la plantilla</t>
  </si>
  <si>
    <t>Factor para llevar al lote renovado (promedio de cortes 1-5)</t>
  </si>
  <si>
    <t>El corte 13 agrupa 13 o más.</t>
  </si>
  <si>
    <t>Menor área de renovación: suertes del plan 2025 que no se renovaron</t>
  </si>
  <si>
    <t>85 suertes no renovadas (93 del plan menos 8 que se renovaron tarde). TCH renovado = TCH × factor de la curva por corte. Pérdida = (TCH renovado − TCH) × ha.</t>
  </si>
  <si>
    <t>Suerte</t>
  </si>
  <si>
    <t>Origen</t>
  </si>
  <si>
    <t>Área (ha)</t>
  </si>
  <si>
    <t>TCH (real o motor)</t>
  </si>
  <si>
    <t>Factor curva</t>
  </si>
  <si>
    <t>TCH renovado</t>
  </si>
  <si>
    <t>Toneladas perdidas</t>
  </si>
  <si>
    <t>3102-171</t>
  </si>
  <si>
    <t>Cosechada 2026 (ene-oct)</t>
  </si>
  <si>
    <t>3102-190</t>
  </si>
  <si>
    <t>3104-120</t>
  </si>
  <si>
    <t>3104-123</t>
  </si>
  <si>
    <t>3104-131</t>
  </si>
  <si>
    <t>3104-220</t>
  </si>
  <si>
    <t>3104-351</t>
  </si>
  <si>
    <t>3105-430</t>
  </si>
  <si>
    <t>3105-601</t>
  </si>
  <si>
    <t>3105-650</t>
  </si>
  <si>
    <t>3106-040</t>
  </si>
  <si>
    <t>3106-100</t>
  </si>
  <si>
    <t>3106-190</t>
  </si>
  <si>
    <t>3106-700</t>
  </si>
  <si>
    <t>3106-852</t>
  </si>
  <si>
    <t>3106-920</t>
  </si>
  <si>
    <t>3109-160</t>
  </si>
  <si>
    <t>3110-170</t>
  </si>
  <si>
    <t>3111-050</t>
  </si>
  <si>
    <t>3111-052</t>
  </si>
  <si>
    <t>3111-200</t>
  </si>
  <si>
    <t>3113-071</t>
  </si>
  <si>
    <t>3118-061</t>
  </si>
  <si>
    <t>3118-113</t>
  </si>
  <si>
    <t>3121-200</t>
  </si>
  <si>
    <t>3121-231</t>
  </si>
  <si>
    <t>3233-013</t>
  </si>
  <si>
    <t>3233-055</t>
  </si>
  <si>
    <t>3233-060</t>
  </si>
  <si>
    <t>3233-061</t>
  </si>
  <si>
    <t>3233-070</t>
  </si>
  <si>
    <t>3233-090</t>
  </si>
  <si>
    <t>3102-090</t>
  </si>
  <si>
    <t>Por cosechar 2026 (TCH del motor)</t>
  </si>
  <si>
    <t>3102-091</t>
  </si>
  <si>
    <t>3102-100</t>
  </si>
  <si>
    <t>3104-210</t>
  </si>
  <si>
    <t>3104-211</t>
  </si>
  <si>
    <t>3105-320</t>
  </si>
  <si>
    <t>3106-221</t>
  </si>
  <si>
    <t>3106-230</t>
  </si>
  <si>
    <t>3106-231</t>
  </si>
  <si>
    <t>3106-241</t>
  </si>
  <si>
    <t>3106-362</t>
  </si>
  <si>
    <t>3109-221</t>
  </si>
  <si>
    <t>3109-351</t>
  </si>
  <si>
    <t>3109-500</t>
  </si>
  <si>
    <t>3109-520</t>
  </si>
  <si>
    <t>3110-090</t>
  </si>
  <si>
    <t>3110-091</t>
  </si>
  <si>
    <t>3111-180</t>
  </si>
  <si>
    <t>3111-430</t>
  </si>
  <si>
    <t>3121-210</t>
  </si>
  <si>
    <t>3121-220</t>
  </si>
  <si>
    <t>3121-260</t>
  </si>
  <si>
    <t>3121-270</t>
  </si>
  <si>
    <t>3121-280</t>
  </si>
  <si>
    <t>3122-320</t>
  </si>
  <si>
    <t>3122-360</t>
  </si>
  <si>
    <t>3123-310</t>
  </si>
  <si>
    <t>3233-011</t>
  </si>
  <si>
    <t>3233-101</t>
  </si>
  <si>
    <t>3440-760</t>
  </si>
  <si>
    <t>3440-770</t>
  </si>
  <si>
    <t>3501-231</t>
  </si>
  <si>
    <t>3501-232</t>
  </si>
  <si>
    <t>3501-350</t>
  </si>
  <si>
    <t>3501-360</t>
  </si>
  <si>
    <t>3501-400</t>
  </si>
  <si>
    <t>3501-590</t>
  </si>
  <si>
    <t>3501-623</t>
  </si>
  <si>
    <t>Total 2026</t>
  </si>
  <si>
    <t>2027</t>
  </si>
  <si>
    <t>Ha de las no renovadas que siguen como soca (maestro)</t>
  </si>
  <si>
    <t>Pérdida media por ha de las cosechadas en 2026 (t/ha)</t>
  </si>
  <si>
    <t>Toneladas 2027 (si no se renuevan)</t>
  </si>
  <si>
    <t>Oportunidad de la roturación (primera labor)</t>
  </si>
  <si>
    <t>Pérdida = −efecto × TCH × ha cuando la 1.ª labor fue TARDÍA (&gt;30 días) o sigue pendiente fuera de plazo. NORMAL (16-30 días) no resta.</t>
  </si>
  <si>
    <t>Fecha de corte</t>
  </si>
  <si>
    <t>Fuente</t>
  </si>
  <si>
    <t>Oportunidad 1.ª labor</t>
  </si>
  <si>
    <t>TCH</t>
  </si>
  <si>
    <t>Efecto</t>
  </si>
  <si>
    <t>2026: cosechas de 2026 con su roturación (control oficial)</t>
  </si>
  <si>
    <t>3102-011</t>
  </si>
  <si>
    <t>control, por cosechar nov-dic (TCH motor)</t>
  </si>
  <si>
    <t>IDEAL</t>
  </si>
  <si>
    <t>3102-016</t>
  </si>
  <si>
    <t>control + cosecha</t>
  </si>
  <si>
    <t>3102-050</t>
  </si>
  <si>
    <t>3102-060</t>
  </si>
  <si>
    <t>3102-140</t>
  </si>
  <si>
    <t>3102-151</t>
  </si>
  <si>
    <t>3102-181</t>
  </si>
  <si>
    <t>3102-191</t>
  </si>
  <si>
    <t>3102-280</t>
  </si>
  <si>
    <t>3104-030</t>
  </si>
  <si>
    <t>3104-040</t>
  </si>
  <si>
    <t>3104-051</t>
  </si>
  <si>
    <t>3104-060</t>
  </si>
  <si>
    <t>3104-081</t>
  </si>
  <si>
    <t>3104-090</t>
  </si>
  <si>
    <t>3104-100</t>
  </si>
  <si>
    <t>3104-102</t>
  </si>
  <si>
    <t>3104-103</t>
  </si>
  <si>
    <t>3104-110</t>
  </si>
  <si>
    <t>3104-130</t>
  </si>
  <si>
    <t>3104-160</t>
  </si>
  <si>
    <t>3104-161</t>
  </si>
  <si>
    <t>3104-170</t>
  </si>
  <si>
    <t>3104-180</t>
  </si>
  <si>
    <t>3104-181</t>
  </si>
  <si>
    <t>3104-182</t>
  </si>
  <si>
    <t>3104-192</t>
  </si>
  <si>
    <t>3104-201</t>
  </si>
  <si>
    <t>3104-213</t>
  </si>
  <si>
    <t>3104-234</t>
  </si>
  <si>
    <t>3104-260</t>
  </si>
  <si>
    <t>3104-280</t>
  </si>
  <si>
    <t>3104-350</t>
  </si>
  <si>
    <t>3104-371</t>
  </si>
  <si>
    <t>3104-440</t>
  </si>
  <si>
    <t>3105-610</t>
  </si>
  <si>
    <t>3105-611</t>
  </si>
  <si>
    <t>3105-612</t>
  </si>
  <si>
    <t>3105-613</t>
  </si>
  <si>
    <t>3105-660</t>
  </si>
  <si>
    <t>3106-030</t>
  </si>
  <si>
    <t>3106-050</t>
  </si>
  <si>
    <t>3106-071</t>
  </si>
  <si>
    <t>3106-130</t>
  </si>
  <si>
    <t>3106-150</t>
  </si>
  <si>
    <t>3106-171</t>
  </si>
  <si>
    <t>3106-180</t>
  </si>
  <si>
    <t>3106-210</t>
  </si>
  <si>
    <t>3106-250</t>
  </si>
  <si>
    <t>3106-260</t>
  </si>
  <si>
    <t>3106-282</t>
  </si>
  <si>
    <t>3106-300</t>
  </si>
  <si>
    <t>3106-320</t>
  </si>
  <si>
    <t>3106-330</t>
  </si>
  <si>
    <t>3106-331</t>
  </si>
  <si>
    <t>3106-342</t>
  </si>
  <si>
    <t>3106-351</t>
  </si>
  <si>
    <t>3106-370</t>
  </si>
  <si>
    <t>3107-430</t>
  </si>
  <si>
    <t>3107-480</t>
  </si>
  <si>
    <t>3107-700</t>
  </si>
  <si>
    <t>3107-731</t>
  </si>
  <si>
    <t>3107-732</t>
  </si>
  <si>
    <t>3107-751</t>
  </si>
  <si>
    <t>3107-820</t>
  </si>
  <si>
    <t>3107-830</t>
  </si>
  <si>
    <t>3107-870</t>
  </si>
  <si>
    <t>3107-920</t>
  </si>
  <si>
    <t>3109-061</t>
  </si>
  <si>
    <t>3109-070</t>
  </si>
  <si>
    <t>3109-110</t>
  </si>
  <si>
    <t>3109-111</t>
  </si>
  <si>
    <t>3109-161</t>
  </si>
  <si>
    <t>3109-210</t>
  </si>
  <si>
    <t>3109-352</t>
  </si>
  <si>
    <t>3109-400</t>
  </si>
  <si>
    <t>3109-420</t>
  </si>
  <si>
    <t>3109-511</t>
  </si>
  <si>
    <t>3110-020</t>
  </si>
  <si>
    <t>3110-040</t>
  </si>
  <si>
    <t>3110-071</t>
  </si>
  <si>
    <t>3110-081</t>
  </si>
  <si>
    <t>3110-100</t>
  </si>
  <si>
    <t>3110-120</t>
  </si>
  <si>
    <t>3110-130</t>
  </si>
  <si>
    <t>3110-140</t>
  </si>
  <si>
    <t>3110-141</t>
  </si>
  <si>
    <t>3110-150</t>
  </si>
  <si>
    <t>3110-151</t>
  </si>
  <si>
    <t>3110-160</t>
  </si>
  <si>
    <t>3110-161</t>
  </si>
  <si>
    <t>3110-162</t>
  </si>
  <si>
    <t>3110-180</t>
  </si>
  <si>
    <t>3110-190</t>
  </si>
  <si>
    <t>3110-240</t>
  </si>
  <si>
    <t>3110-250</t>
  </si>
  <si>
    <t>3110-260</t>
  </si>
  <si>
    <t>3110-261</t>
  </si>
  <si>
    <t>3110-291</t>
  </si>
  <si>
    <t>3111-030</t>
  </si>
  <si>
    <t>3111-060</t>
  </si>
  <si>
    <t>3111-070</t>
  </si>
  <si>
    <t>3111-071</t>
  </si>
  <si>
    <t>3111-072</t>
  </si>
  <si>
    <t>3111-090</t>
  </si>
  <si>
    <t>3111-120</t>
  </si>
  <si>
    <t>3111-131</t>
  </si>
  <si>
    <t>3111-132</t>
  </si>
  <si>
    <t>3111-160</t>
  </si>
  <si>
    <t>3111-161</t>
  </si>
  <si>
    <t>3111-170</t>
  </si>
  <si>
    <t>3111-171</t>
  </si>
  <si>
    <t>3111-190</t>
  </si>
  <si>
    <t>3111-210</t>
  </si>
  <si>
    <t>3111-220</t>
  </si>
  <si>
    <t>3111-240</t>
  </si>
  <si>
    <t>3111-241</t>
  </si>
  <si>
    <t>3111-250</t>
  </si>
  <si>
    <t>3111-270</t>
  </si>
  <si>
    <t>3111-280</t>
  </si>
  <si>
    <t>3111-281</t>
  </si>
  <si>
    <t>3111-290</t>
  </si>
  <si>
    <t>3111-300</t>
  </si>
  <si>
    <t>3111-310</t>
  </si>
  <si>
    <t>3111-330</t>
  </si>
  <si>
    <t>3111-372</t>
  </si>
  <si>
    <t>3111-380</t>
  </si>
  <si>
    <t>3111-400</t>
  </si>
  <si>
    <t>3111-401</t>
  </si>
  <si>
    <t>3111-410</t>
  </si>
  <si>
    <t>3111-431</t>
  </si>
  <si>
    <t>3111-450</t>
  </si>
  <si>
    <t>3111-451</t>
  </si>
  <si>
    <t>3111-460</t>
  </si>
  <si>
    <t>3111-480</t>
  </si>
  <si>
    <t>3111-490</t>
  </si>
  <si>
    <t>3111-500</t>
  </si>
  <si>
    <t>3111-510</t>
  </si>
  <si>
    <t>3113-040</t>
  </si>
  <si>
    <t>3113-050</t>
  </si>
  <si>
    <t>3113-051</t>
  </si>
  <si>
    <t>3113-053</t>
  </si>
  <si>
    <t>3113-090</t>
  </si>
  <si>
    <t>3113-091</t>
  </si>
  <si>
    <t>3113-120</t>
  </si>
  <si>
    <t>3113-122</t>
  </si>
  <si>
    <t>3113-150</t>
  </si>
  <si>
    <t>3113-181</t>
  </si>
  <si>
    <t>3113-200</t>
  </si>
  <si>
    <t>3113-230</t>
  </si>
  <si>
    <t>3113-231</t>
  </si>
  <si>
    <t>3113-240</t>
  </si>
  <si>
    <t>3113-241</t>
  </si>
  <si>
    <t>3113-242</t>
  </si>
  <si>
    <t>3113-243</t>
  </si>
  <si>
    <t>3118-010</t>
  </si>
  <si>
    <t>3118-020</t>
  </si>
  <si>
    <t>3118-040</t>
  </si>
  <si>
    <t>3118-080</t>
  </si>
  <si>
    <t>3118-090</t>
  </si>
  <si>
    <t>3118-100</t>
  </si>
  <si>
    <t>3118-161</t>
  </si>
  <si>
    <t>3121-040</t>
  </si>
  <si>
    <t>3121-190</t>
  </si>
  <si>
    <t>3121-191</t>
  </si>
  <si>
    <t>3121-271</t>
  </si>
  <si>
    <t>3122-230</t>
  </si>
  <si>
    <t>3122-250</t>
  </si>
  <si>
    <t>3122-280</t>
  </si>
  <si>
    <t>3122-321</t>
  </si>
  <si>
    <t>3122-450</t>
  </si>
  <si>
    <t>3233-020</t>
  </si>
  <si>
    <t>3233-021</t>
  </si>
  <si>
    <t>3233-040</t>
  </si>
  <si>
    <t>3233-080</t>
  </si>
  <si>
    <t>3233-100</t>
  </si>
  <si>
    <t>3233-110</t>
  </si>
  <si>
    <t>3418-070</t>
  </si>
  <si>
    <t>3425-011</t>
  </si>
  <si>
    <t>3425-022</t>
  </si>
  <si>
    <t>3425-030</t>
  </si>
  <si>
    <t>3426-021</t>
  </si>
  <si>
    <t>3426-110</t>
  </si>
  <si>
    <t>3426-111</t>
  </si>
  <si>
    <t>3440-700</t>
  </si>
  <si>
    <t>3501-070</t>
  </si>
  <si>
    <t>3501-100</t>
  </si>
  <si>
    <t>3501-110</t>
  </si>
  <si>
    <t>3501-112</t>
  </si>
  <si>
    <t>3501-160</t>
  </si>
  <si>
    <t>3501-180</t>
  </si>
  <si>
    <t>3501-190</t>
  </si>
  <si>
    <t>3501-250</t>
  </si>
  <si>
    <t>3501-260</t>
  </si>
  <si>
    <t>3501-270</t>
  </si>
  <si>
    <t>3501-341</t>
  </si>
  <si>
    <t>3501-390</t>
  </si>
  <si>
    <t>3501-391</t>
  </si>
  <si>
    <t>3501-530</t>
  </si>
  <si>
    <t>3501-532</t>
  </si>
  <si>
    <t>3501-550</t>
  </si>
  <si>
    <t>3501-551</t>
  </si>
  <si>
    <t>3501-560</t>
  </si>
  <si>
    <t>3501-561</t>
  </si>
  <si>
    <t>3501-600</t>
  </si>
  <si>
    <t>3501-621</t>
  </si>
  <si>
    <t>3501-630</t>
  </si>
  <si>
    <t>3501-631</t>
  </si>
  <si>
    <t>3501-640</t>
  </si>
  <si>
    <t>3501-650</t>
  </si>
  <si>
    <t>3501-651</t>
  </si>
  <si>
    <t>3102-010</t>
  </si>
  <si>
    <t>NO SE ROTURÓ</t>
  </si>
  <si>
    <t>3102-012</t>
  </si>
  <si>
    <t>3102-017</t>
  </si>
  <si>
    <t>3102-040</t>
  </si>
  <si>
    <t>3102-110</t>
  </si>
  <si>
    <t>3102-160</t>
  </si>
  <si>
    <t>3102-161</t>
  </si>
  <si>
    <t>3102-290</t>
  </si>
  <si>
    <t>3104-010</t>
  </si>
  <si>
    <t>3104-142</t>
  </si>
  <si>
    <t>3105-640</t>
  </si>
  <si>
    <t>3106-160</t>
  </si>
  <si>
    <t>3109-340</t>
  </si>
  <si>
    <t>3109-350</t>
  </si>
  <si>
    <t>3109-510</t>
  </si>
  <si>
    <t>3110-210</t>
  </si>
  <si>
    <t>3111-150</t>
  </si>
  <si>
    <t>3111-350</t>
  </si>
  <si>
    <t>3111-390</t>
  </si>
  <si>
    <t>3111-421</t>
  </si>
  <si>
    <t>3111-433</t>
  </si>
  <si>
    <t>3111-442</t>
  </si>
  <si>
    <t>3113-170</t>
  </si>
  <si>
    <t>3113-220</t>
  </si>
  <si>
    <t>3426-031</t>
  </si>
  <si>
    <t>3426-112</t>
  </si>
  <si>
    <t>3501-510</t>
  </si>
  <si>
    <t>3501-514</t>
  </si>
  <si>
    <t>3102-015</t>
  </si>
  <si>
    <t>NORMAL</t>
  </si>
  <si>
    <t>3102-020</t>
  </si>
  <si>
    <t>3104-041</t>
  </si>
  <si>
    <t>3106-081</t>
  </si>
  <si>
    <t>3106-110</t>
  </si>
  <si>
    <t>3106-170</t>
  </si>
  <si>
    <t>3106-232</t>
  </si>
  <si>
    <t>3106-270</t>
  </si>
  <si>
    <t>3106-314</t>
  </si>
  <si>
    <t>3107-851</t>
  </si>
  <si>
    <t>3109-020</t>
  </si>
  <si>
    <t>3109-060</t>
  </si>
  <si>
    <t>3109-422</t>
  </si>
  <si>
    <t>3110-051</t>
  </si>
  <si>
    <t>3110-290</t>
  </si>
  <si>
    <t>3111-010</t>
  </si>
  <si>
    <t>3111-100</t>
  </si>
  <si>
    <t>3111-360</t>
  </si>
  <si>
    <t>3111-411</t>
  </si>
  <si>
    <t>3111-491</t>
  </si>
  <si>
    <t>3111-492</t>
  </si>
  <si>
    <t>3113-100</t>
  </si>
  <si>
    <t>3113-151</t>
  </si>
  <si>
    <t>3118-111</t>
  </si>
  <si>
    <t>3118-114</t>
  </si>
  <si>
    <t>3118-150</t>
  </si>
  <si>
    <t>3118-160</t>
  </si>
  <si>
    <t>3121-180</t>
  </si>
  <si>
    <t>3121-250</t>
  </si>
  <si>
    <t>3122-131</t>
  </si>
  <si>
    <t>3233-010</t>
  </si>
  <si>
    <t>3233-012</t>
  </si>
  <si>
    <t>3233-030</t>
  </si>
  <si>
    <t>3233-031</t>
  </si>
  <si>
    <t>3233-062</t>
  </si>
  <si>
    <t>3233-091</t>
  </si>
  <si>
    <t>3418-121</t>
  </si>
  <si>
    <t>3501-081</t>
  </si>
  <si>
    <t>3501-140</t>
  </si>
  <si>
    <t>3501-170</t>
  </si>
  <si>
    <t>3501-280</t>
  </si>
  <si>
    <t>3501-320</t>
  </si>
  <si>
    <t>3501-370</t>
  </si>
  <si>
    <t>3501-380</t>
  </si>
  <si>
    <t>3501-570</t>
  </si>
  <si>
    <t>PENDIENTE (TARDÍO)</t>
  </si>
  <si>
    <t>3104-061</t>
  </si>
  <si>
    <t>TARDIO</t>
  </si>
  <si>
    <t>3104-080</t>
  </si>
  <si>
    <t>3106-211</t>
  </si>
  <si>
    <t>3106-220</t>
  </si>
  <si>
    <t>3106-271</t>
  </si>
  <si>
    <t>3106-302</t>
  </si>
  <si>
    <t>3106-311</t>
  </si>
  <si>
    <t>3106-312</t>
  </si>
  <si>
    <t>3106-340</t>
  </si>
  <si>
    <t>3106-352</t>
  </si>
  <si>
    <t>3107-470</t>
  </si>
  <si>
    <t>3107-490</t>
  </si>
  <si>
    <t>3107-740</t>
  </si>
  <si>
    <t>3121-031</t>
  </si>
  <si>
    <t>3123-320</t>
  </si>
  <si>
    <t>3425-020</t>
  </si>
  <si>
    <t>3501-141</t>
  </si>
  <si>
    <t>3501-340</t>
  </si>
  <si>
    <t>3501-541</t>
  </si>
  <si>
    <t>3501-580</t>
  </si>
  <si>
    <t>Total 2026 (tardías)</t>
  </si>
  <si>
    <t>2027: socas cortadas desde nov-2025 (estado a hoy)</t>
  </si>
  <si>
    <t>SimpleAgri (−10 días)</t>
  </si>
  <si>
    <t>3102-030</t>
  </si>
  <si>
    <t>control oficial</t>
  </si>
  <si>
    <t>3102-044</t>
  </si>
  <si>
    <t>3102-080</t>
  </si>
  <si>
    <t>3102-081</t>
  </si>
  <si>
    <t>3102-120</t>
  </si>
  <si>
    <t>3102-121</t>
  </si>
  <si>
    <t>3102-180</t>
  </si>
  <si>
    <t>3104-200</t>
  </si>
  <si>
    <t>3104-230</t>
  </si>
  <si>
    <t>3104-250</t>
  </si>
  <si>
    <t>3104-251</t>
  </si>
  <si>
    <t>3104-252</t>
  </si>
  <si>
    <t>3104-270</t>
  </si>
  <si>
    <t>3104-340</t>
  </si>
  <si>
    <t>3104-341</t>
  </si>
  <si>
    <t>3104-360</t>
  </si>
  <si>
    <t>3104-420</t>
  </si>
  <si>
    <t>3105-450</t>
  </si>
  <si>
    <t>3105-460</t>
  </si>
  <si>
    <t>3105-651</t>
  </si>
  <si>
    <t>3106-010</t>
  </si>
  <si>
    <t>3106-020</t>
  </si>
  <si>
    <t>3106-060</t>
  </si>
  <si>
    <t>3106-181</t>
  </si>
  <si>
    <t>3106-200</t>
  </si>
  <si>
    <t>3106-222</t>
  </si>
  <si>
    <t>3106-240</t>
  </si>
  <si>
    <t>3106-310</t>
  </si>
  <si>
    <t>3107-440</t>
  </si>
  <si>
    <t>3107-443</t>
  </si>
  <si>
    <t>3107-750</t>
  </si>
  <si>
    <t>3109-062</t>
  </si>
  <si>
    <t>3109-120</t>
  </si>
  <si>
    <t>3109-170</t>
  </si>
  <si>
    <t>3109-171</t>
  </si>
  <si>
    <t>3109-220</t>
  </si>
  <si>
    <t>3109-261</t>
  </si>
  <si>
    <t>3109-262</t>
  </si>
  <si>
    <t>3109-530</t>
  </si>
  <si>
    <t>3110-070</t>
  </si>
  <si>
    <t>3110-080</t>
  </si>
  <si>
    <t>3110-082</t>
  </si>
  <si>
    <t>3110-220</t>
  </si>
  <si>
    <t>3111-110</t>
  </si>
  <si>
    <t>3111-111</t>
  </si>
  <si>
    <t>3111-121</t>
  </si>
  <si>
    <t>3111-140</t>
  </si>
  <si>
    <t>3111-141</t>
  </si>
  <si>
    <t>3111-142</t>
  </si>
  <si>
    <t>3111-320</t>
  </si>
  <si>
    <t>3111-420</t>
  </si>
  <si>
    <t>3111-440</t>
  </si>
  <si>
    <t>3111-501</t>
  </si>
  <si>
    <t>3113-160</t>
  </si>
  <si>
    <t>3113-161</t>
  </si>
  <si>
    <t>3113-180</t>
  </si>
  <si>
    <t>3113-210</t>
  </si>
  <si>
    <t>3113-221</t>
  </si>
  <si>
    <t>3118-021</t>
  </si>
  <si>
    <t>3118-110</t>
  </si>
  <si>
    <t>3121-150</t>
  </si>
  <si>
    <t>3233-053</t>
  </si>
  <si>
    <t>3233-111</t>
  </si>
  <si>
    <t>3418-071</t>
  </si>
  <si>
    <t>3418-120</t>
  </si>
  <si>
    <t>3418-140</t>
  </si>
  <si>
    <t>3425-010</t>
  </si>
  <si>
    <t>3426-120</t>
  </si>
  <si>
    <t>3440-710</t>
  </si>
  <si>
    <t>3440-720</t>
  </si>
  <si>
    <t>3501-581</t>
  </si>
  <si>
    <t>3102-300</t>
  </si>
  <si>
    <t>3104-190</t>
  </si>
  <si>
    <t>3105-440</t>
  </si>
  <si>
    <t>3105-600</t>
  </si>
  <si>
    <t>3110-092</t>
  </si>
  <si>
    <t>3111-260</t>
  </si>
  <si>
    <t>3111-370</t>
  </si>
  <si>
    <t>3113-061</t>
  </si>
  <si>
    <t>3426-022</t>
  </si>
  <si>
    <t>3440-730</t>
  </si>
  <si>
    <t>3104-021</t>
  </si>
  <si>
    <t>3104-082</t>
  </si>
  <si>
    <t>3104-150</t>
  </si>
  <si>
    <t>3104-240</t>
  </si>
  <si>
    <t>3104-241</t>
  </si>
  <si>
    <t>3105-431</t>
  </si>
  <si>
    <t>3105-620</t>
  </si>
  <si>
    <t>3106-080</t>
  </si>
  <si>
    <t>3106-090</t>
  </si>
  <si>
    <t>3106-280</t>
  </si>
  <si>
    <t>3106-281</t>
  </si>
  <si>
    <t>3106-313</t>
  </si>
  <si>
    <t>3106-350</t>
  </si>
  <si>
    <t>3107-890</t>
  </si>
  <si>
    <t>3109-301</t>
  </si>
  <si>
    <t>3110-270</t>
  </si>
  <si>
    <t>3111-020</t>
  </si>
  <si>
    <t>3113-190</t>
  </si>
  <si>
    <t>3118-022</t>
  </si>
  <si>
    <t>3121-230</t>
  </si>
  <si>
    <t>3122-130</t>
  </si>
  <si>
    <t>3233-042</t>
  </si>
  <si>
    <t>3233-050</t>
  </si>
  <si>
    <t>3233-051</t>
  </si>
  <si>
    <t>3233-093</t>
  </si>
  <si>
    <t>3233-120</t>
  </si>
  <si>
    <t>3501-240</t>
  </si>
  <si>
    <t>3501-330</t>
  </si>
  <si>
    <t>3501-533</t>
  </si>
  <si>
    <t>3501-602</t>
  </si>
  <si>
    <t>3501-610</t>
  </si>
  <si>
    <t>3501-620</t>
  </si>
  <si>
    <t>3104-221</t>
  </si>
  <si>
    <t>3104-430</t>
  </si>
  <si>
    <t>3109-010</t>
  </si>
  <si>
    <t>3109-270</t>
  </si>
  <si>
    <t>3109-271</t>
  </si>
  <si>
    <t>3109-410</t>
  </si>
  <si>
    <t>3110-010</t>
  </si>
  <si>
    <t>3110-262</t>
  </si>
  <si>
    <t>3113-201</t>
  </si>
  <si>
    <t>3102-281</t>
  </si>
  <si>
    <t>3104-050</t>
  </si>
  <si>
    <t>3104-140</t>
  </si>
  <si>
    <t>3104-410</t>
  </si>
  <si>
    <t>3105-300</t>
  </si>
  <si>
    <t>3105-630</t>
  </si>
  <si>
    <t>3106-140</t>
  </si>
  <si>
    <t>3109-222</t>
  </si>
  <si>
    <t>3109-300</t>
  </si>
  <si>
    <t>3110-060</t>
  </si>
  <si>
    <t>3110-061</t>
  </si>
  <si>
    <t>3110-064</t>
  </si>
  <si>
    <t>3111-040</t>
  </si>
  <si>
    <t>3118-130</t>
  </si>
  <si>
    <t>3121-600</t>
  </si>
  <si>
    <t>3121-610</t>
  </si>
  <si>
    <t>3121-620</t>
  </si>
  <si>
    <t>3122-100</t>
  </si>
  <si>
    <t>3122-101</t>
  </si>
  <si>
    <t>3122-200</t>
  </si>
  <si>
    <t>3122-370</t>
  </si>
  <si>
    <t>3122-371</t>
  </si>
  <si>
    <t>3418-050</t>
  </si>
  <si>
    <t>3501-020</t>
  </si>
  <si>
    <t>3501-080</t>
  </si>
  <si>
    <t>3501-142</t>
  </si>
  <si>
    <t>3501-471</t>
  </si>
  <si>
    <t>3501-513</t>
  </si>
  <si>
    <t>en plazo</t>
  </si>
  <si>
    <t>3111-520</t>
  </si>
  <si>
    <t>3121-240</t>
  </si>
  <si>
    <t>3501-120</t>
  </si>
  <si>
    <t>3501-130</t>
  </si>
  <si>
    <t>3501-150</t>
  </si>
  <si>
    <t>3501-200</t>
  </si>
  <si>
    <t>3501-310</t>
  </si>
  <si>
    <t>3501-362</t>
  </si>
  <si>
    <t>Total 2027 (tardías o pendientes fuera de plazo)</t>
  </si>
  <si>
    <t>TCH 2027: el del motor (si no hay, 105). «PENDIENTE (TARDÍO)» en SimpleAgri puede ser un registro faltante.</t>
  </si>
  <si>
    <t>Oportunidad del control químico de malezas (primer control del ciclo)</t>
  </si>
  <si>
    <t>Fecha real de la base de aplicaciones de los contratistas (2025 y ago-oct 2026); donde no hay, SimpleAgri corrida 7 días (desfase medido). Pérdida % = efecto por 30 días × (días − plazo)/30; sin control químico = efecto fijo. Toneladas = −% × TCH × ha.</t>
  </si>
  <si>
    <t>Fuente de la fecha</t>
  </si>
  <si>
    <t>Días al 1.er control (o días ya pasados)</t>
  </si>
  <si>
    <t>Pérdida %</t>
  </si>
  <si>
    <t>2026: socas cosechadas en 2026 (ene-oct)</t>
  </si>
  <si>
    <t>aplicaciones</t>
  </si>
  <si>
    <t>SimpleAgri corregido</t>
  </si>
  <si>
    <t>sin control</t>
  </si>
  <si>
    <t>3106-430</t>
  </si>
  <si>
    <t>3106-441</t>
  </si>
  <si>
    <t>3106-450</t>
  </si>
  <si>
    <t>3106-473</t>
  </si>
  <si>
    <t>3106-474</t>
  </si>
  <si>
    <t>3106-731</t>
  </si>
  <si>
    <t>3106-732</t>
  </si>
  <si>
    <t>3106-751</t>
  </si>
  <si>
    <t>3106-771</t>
  </si>
  <si>
    <t>3106-780</t>
  </si>
  <si>
    <t>3106-820</t>
  </si>
  <si>
    <t>3106-830</t>
  </si>
  <si>
    <t>3106-870</t>
  </si>
  <si>
    <t>3106-910</t>
  </si>
  <si>
    <t>2027: socas cortadas desde nov-2025 (estado a hoy; lo pendiente cuenta con los días que ya pasaron)</t>
  </si>
  <si>
    <t>pendiente</t>
  </si>
  <si>
    <t>Total 2027 (mínimo)</t>
  </si>
  <si>
    <t>Falta de riego y precipitaciones</t>
  </si>
  <si>
    <t>Falta de riego = déficit de agua (evaporación − lluvia − riego) que quedó sin cubrir, frente a lo normal 2022-25. Precipitaciones = lluvia de los primeros 3 meses del ciclo.</t>
  </si>
  <si>
    <t>2026 (cosechas ene-sep)</t>
  </si>
  <si>
    <t>2026 (mm)</t>
  </si>
  <si>
    <t>Normal 2022-25 (mm)</t>
  </si>
  <si>
    <t>Diferencia (mm)</t>
  </si>
  <si>
    <t>Efecto por 100 mm</t>
  </si>
  <si>
    <t>Aporte al TCH</t>
  </si>
  <si>
    <t>Déficit sin cubrir meses 0-4</t>
  </si>
  <si>
    <t>Déficit sin cubrir meses 4-8</t>
  </si>
  <si>
    <t>Déficit sin cubrir mes 8 a cosecha</t>
  </si>
  <si>
    <t>Producción ene-sep 2026 (t) y ha</t>
  </si>
  <si>
    <t>Falta de riego 2026: toneladas (columna C = ha con déficit final mayor a lo normal)</t>
  </si>
  <si>
    <t>Lluvia del arranque (meses 0-3), cosechas ene-sep</t>
  </si>
  <si>
    <t>Precipitaciones 2026: toneladas (columna C = ha con lluvia de arranque mayor a lo normal)</t>
  </si>
  <si>
    <t>2027 (lo que la caña ya vivió)</t>
  </si>
  <si>
    <t>Cohorte (mm)</t>
  </si>
  <si>
    <t>Normal (mm)</t>
  </si>
  <si>
    <t>Ha de la etapa</t>
  </si>
  <si>
    <t>Lluvia del arranque (meses 0-3)</t>
  </si>
  <si>
    <t>Toneladas (− = a favor) = −efecto × diferencia/100 × ha × TCH esperado 2027</t>
  </si>
  <si>
    <t>Riego medido hasta hoy 2027</t>
  </si>
  <si>
    <t>Escenario El Niño 2027 (final del ciclo como 2026)</t>
  </si>
  <si>
    <t>Precipitaciones 2027 (arranque; columna C = ha con arranque más seco que lo normal, a favor)</t>
  </si>
  <si>
    <t>En la diapositiva, la falta de riego 2027 es el escenario El Niño; lo medido hasta hoy (fila 20) casi no resta.</t>
  </si>
  <si>
    <t>Lucro cesante: días que el lote quedó cortado y sin sembrar</t>
  </si>
  <si>
    <t>Toneladas = ha × (días − días normales) / 30,44 × TCHM. Con todos los días, columna aparte.</t>
  </si>
  <si>
    <t>Corte anterior</t>
  </si>
  <si>
    <t>Siembra (o hoy)</t>
  </si>
  <si>
    <t>Días sin caña</t>
  </si>
  <si>
    <t>Días por encima de lo normal</t>
  </si>
  <si>
    <t>Toneladas con todos los días</t>
  </si>
  <si>
    <t>2026: renovaciones sembradas en 2026</t>
  </si>
  <si>
    <t>3104-070</t>
  </si>
  <si>
    <t>3113-110</t>
  </si>
  <si>
    <t>3109-310</t>
  </si>
  <si>
    <t>3501-230</t>
  </si>
  <si>
    <t>3501-540</t>
  </si>
  <si>
    <t>3113-070</t>
  </si>
  <si>
    <t>3122-050</t>
  </si>
  <si>
    <t>3122-150</t>
  </si>
  <si>
    <t>3104-020</t>
  </si>
  <si>
    <t>3110-110</t>
  </si>
  <si>
    <t>3110-031</t>
  </si>
  <si>
    <t>3110-030</t>
  </si>
  <si>
    <t>3440-723</t>
  </si>
  <si>
    <t>3418-030</t>
  </si>
  <si>
    <t>3501-052</t>
  </si>
  <si>
    <t>3440-711</t>
  </si>
  <si>
    <t>3501-050</t>
  </si>
  <si>
    <t>3501-520</t>
  </si>
  <si>
    <t>3107-390</t>
  </si>
  <si>
    <t>3106-361</t>
  </si>
  <si>
    <t>3426-010</t>
  </si>
  <si>
    <t>3426-020</t>
  </si>
  <si>
    <t>3107-860</t>
  </si>
  <si>
    <t>3501-432</t>
  </si>
  <si>
    <t>3501-431</t>
  </si>
  <si>
    <t>2027: cortadas y todavía sin sembrar (días hasta 21/10/2026)</t>
  </si>
  <si>
    <t>3110-050</t>
  </si>
  <si>
    <t>Total 2027 (hasta hoy)</t>
  </si>
  <si>
    <t>Falta el plan de renovación 2026-27: las renovaciones que se corten de aquí en adelante sumarán lucro en 2027.</t>
  </si>
  <si>
    <t>Oportunidad corte a siembra: efecto en el TCH de la plantilla</t>
  </si>
  <si>
    <t>419 plantillas cosechadas 2019-2026 con siembra (maestro) y corte anterior conocidos; TCH con efectos de año, mes, edad y variedad.</t>
  </si>
  <si>
    <t>Días entre corte y siembra</t>
  </si>
  <si>
    <t>Plantillas</t>
  </si>
  <si>
    <t>TCH medio</t>
  </si>
  <si>
    <t>Frente a ≤60 días</t>
  </si>
  <si>
    <t>≤60</t>
  </si>
  <si>
    <t>base</t>
  </si>
  <si>
    <t>61-120</t>
  </si>
  <si>
    <t>+4,3 % (p=0,07)</t>
  </si>
  <si>
    <t>121-180</t>
  </si>
  <si>
    <t>+5,2 % (p=0,05)</t>
  </si>
  <si>
    <t>&gt;180</t>
  </si>
  <si>
    <t>+2,0 % (p=0,44)</t>
  </si>
  <si>
    <t>Lineal: −0,8 % por cada 100 días (p=0,22, no significativo). En la diapositiva = 0 t.</t>
  </si>
  <si>
    <t>Plantillas de 2026 (cosechadas)</t>
  </si>
  <si>
    <t>Plantillas 2026 con más de 60 días entre corte y siembra (ha)</t>
  </si>
  <si>
    <t>Plantillas sembradas desde oct-2025 (cosecha 2027)</t>
  </si>
  <si>
    <t>Siembra</t>
  </si>
  <si>
    <t>3104-171</t>
  </si>
  <si>
    <t>3105-310</t>
  </si>
  <si>
    <t>3501-534</t>
  </si>
  <si>
    <t>3118-060</t>
  </si>
  <si>
    <t>3113-060</t>
  </si>
  <si>
    <t>3113-130</t>
  </si>
  <si>
    <t>3102-025</t>
  </si>
  <si>
    <t>3122-361</t>
  </si>
  <si>
    <t>3104-262</t>
  </si>
  <si>
    <t>3104-261</t>
  </si>
  <si>
    <t>3501-571</t>
  </si>
  <si>
    <t>3113-140</t>
  </si>
  <si>
    <t>3102-170</t>
  </si>
  <si>
    <t>3102-094</t>
  </si>
  <si>
    <t>3102-092</t>
  </si>
  <si>
    <t>3106-360</t>
  </si>
  <si>
    <t>3426-030</t>
  </si>
  <si>
    <t>3425-021</t>
  </si>
  <si>
    <t>Plantillas 2027 con más de 60 días entre corte y siembra (ha)</t>
  </si>
  <si>
    <t>Oportunidad y calidad de la fertilización (base de validación de maduración Riopaila 2026)</t>
  </si>
  <si>
    <t>227 cortes de ene-ago 2026 cruzados con el ZQM. TCH frente al promedio 2020-25 de la misma suerte. Ninguna calificación bajó el TCH: efecto = 0.</t>
  </si>
  <si>
    <t>Mes</t>
  </si>
  <si>
    <t>Oportunidad fertilización</t>
  </si>
  <si>
    <t>Suelo al fertilizar</t>
  </si>
  <si>
    <t>Calificación (1-5)</t>
  </si>
  <si>
    <t>Oportunidad roturación</t>
  </si>
  <si>
    <t>Suelo al roturar</t>
  </si>
  <si>
    <t>Frente a su promedio 2020-25</t>
  </si>
  <si>
    <t>IDEAL-NORMAL</t>
  </si>
  <si>
    <t>HUMEDO</t>
  </si>
  <si>
    <t>FRIABLE</t>
  </si>
  <si>
    <t>Fertilización TARDÍA 2026 (ha)</t>
  </si>
  <si>
    <t>Efectos (modelo con mes, edad, corte y tipo de cosecha): oportunidad TARDÍO +8,2 % (n=3); suelo húmedo +0,9 % (p=0,72); calificación 1-5 +0,6 % por punto (p=0,61). Roturación TARDÍO −6,2 % (n=6), confirma el control oficial.</t>
  </si>
  <si>
    <t>2027 (SimpleAgri, socas cortadas desde nov-2025): primera fertilización después de 120 días</t>
  </si>
  <si>
    <t>Fuentes</t>
  </si>
  <si>
    <t>Cosechas: ZQM histórico 2011-2025, G&amp;P Suertes_26 (hoja ZQM101, ene-sep 2026) y app de Cosecha (octubre). Maestro de suertes de Riopaila. Estimados del motor (corrida 16-oct-2026).</t>
  </si>
  <si>
    <t>Renovación: «Areas no renovadas.xlsx» (plan 2025: 124 suertes; 93 marcadas NO, de las que 8 se renovaron tarde).</t>
  </si>
  <si>
    <t>Roturación: «CONTROL DE ROTURACION. est 2025 con formatos.xlsm» (cortes oct-2023 a ene-2026, criterio de Riopaila: IDEAL ≤15 días, NORMAL 16-30, TARDÍO &gt;30) y SimpleAgri (planillas de roturación 540-544) para los cortes posteriores, corridas 10 días porque la planilla se confirma después de la labor.</t>
  </si>
  <si>
    <t>Malezas: fecha real de aplicación de las bases de aplicaciones de los contratistas («LABOR APLICACIONES 31-12-2025» y «BASE DE DATOS APLICACIONES 2026», 14-ago a 10-oct-2026); donde no hay (feb-ago 2026 o antes de 2025), SimpleAgri corrida 7 días, el desfase medido entre la aplicación y la confirmación de la planilla. Fertilización: base de validación de maduración Riopaila 2026 y SimpleAgri.</t>
  </si>
  <si>
    <t>Riego: «CONSOLIDADO DE RIEGOS 2026-.xlsx» (área regada y lámina por riego). Clima: EMA La Paila y Bugalagrande (repositorio de precipitación de Riopaila) completadas con el Meteoportal de Cenicaña.</t>
  </si>
  <si>
    <t>Lucro cesante y corte a siembra: fechas de siembra del maestro y fecha del corte anterior (ZQM, archivo de áreas no renovadas).</t>
  </si>
  <si>
    <t>Método</t>
  </si>
  <si>
    <t>Cada efecto se midió con cosechas reales de Riopaila (2024-2026 para las labores), comparando cada suerte con su propio promedio 2020-25 y descontando año, mes, edad y número de corte. Las toneladas de 2026 y 2027 aplican ese efecto a las suertes de cada año (hojas por factor).</t>
  </si>
  <si>
    <t>2026 = cosechas del año (ene-oct reales y nov-dic con el TCH del motor donde aplica). 2027 = caña que se está levantando, con el estado de las labores a hoy: lo pendiente cuenta con los días que ya pasaron, así que es un mínimo.</t>
  </si>
  <si>
    <t>Programas: carpeta «01 Estimados y TCH/Caida TCH 2026 - programas» (no_renovadas_2026, roturacion, labores_sa, labores_perdidas, riego_2026, riego_2027, siembra_lucro, impacto_excel).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</si>
</sst>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\+0.0%;\-0.0%"/>
    <numFmt numFmtId="167" formatCode="0.000"/>
    <numFmt numFmtId="169" formatCode="dd/mm/yyyy"/>
    <numFmt numFmtId="170" formatCode="\+0;\-0"/>
    <numFmt numFmtId="171" formatCode="#,##0.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3328"/>
      </patternFill>
    </fill>
    <fill>
      <patternFill patternType="solid">
        <fgColor rgb="FFFFFF00"/>
      </patternFill>
    </fill>
    <fill>
      <patternFill patternType="solid">
        <fgColor rgb="FFE3E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3" fontId="7" fillId="0" borderId="0" xfId="0" applyNumberFormat="1" applyFont="1"/>
    <xf numFmtId="165" fontId="4" fillId="0" borderId="0" xfId="0" applyNumberFormat="1" applyFont="1"/>
    <xf numFmtId="3" fontId="5" fillId="0" borderId="0" xfId="0" applyNumberFormat="1" applyFont="1"/>
    <xf numFmtId="0" fontId="6" fillId="4" borderId="0" xfId="0" applyFont="1" applyFill="1"/>
    <xf numFmtId="0" fontId="0" fillId="4" borderId="0" xfId="0" applyFill="1"/>
    <xf numFmtId="3" fontId="6" fillId="4" borderId="0" xfId="0" applyNumberFormat="1" applyFont="1" applyFill="1"/>
    <xf numFmtId="165" fontId="6" fillId="4" borderId="0" xfId="0" applyNumberFormat="1" applyFont="1" applyFill="1"/>
    <xf numFmtId="3" fontId="0" fillId="0" borderId="0" xfId="0" applyNumberFormat="1"/>
    <xf numFmtId="3" fontId="5" fillId="3" borderId="0" xfId="0" applyNumberFormat="1" applyFont="1" applyFill="1"/>
    <xf numFmtId="3" fontId="4" fillId="0" borderId="0" xfId="0" applyNumberFormat="1" applyFont="1"/>
    <xf numFmtId="164" fontId="5" fillId="3" borderId="0" xfId="0" applyNumberFormat="1" applyFont="1" applyFill="1"/>
    <xf numFmtId="10" fontId="5" fillId="3" borderId="0" xfId="0" applyNumberFormat="1" applyFont="1" applyFill="1"/>
    <xf numFmtId="1" fontId="5" fillId="3" borderId="0" xfId="0" applyNumberFormat="1" applyFont="1" applyFill="1"/>
    <xf numFmtId="2" fontId="5" fillId="3" borderId="0" xfId="0" applyNumberFormat="1" applyFont="1" applyFill="1"/>
    <xf numFmtId="165" fontId="5" fillId="3" borderId="0" xfId="0" applyNumberFormat="1" applyFont="1" applyFill="1"/>
    <xf numFmtId="0" fontId="6" fillId="0" borderId="0" xfId="0" applyFont="1"/>
    <xf numFmtId="1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5" fillId="0" borderId="0" xfId="0" applyFont="1"/>
    <xf numFmtId="2" fontId="5" fillId="0" borderId="0" xfId="0" applyNumberFormat="1" applyFont="1"/>
    <xf numFmtId="165" fontId="5" fillId="0" borderId="0" xfId="0" applyNumberFormat="1" applyFont="1"/>
    <xf numFmtId="167" fontId="4" fillId="0" borderId="0" xfId="0" applyNumberFormat="1" applyFont="1"/>
    <xf numFmtId="3" fontId="6" fillId="0" borderId="0" xfId="0" applyNumberFormat="1" applyFont="1"/>
    <xf numFmtId="169" fontId="5" fillId="0" borderId="0" xfId="0" applyNumberFormat="1" applyFont="1"/>
    <xf numFmtId="164" fontId="4" fillId="0" borderId="0" xfId="0" applyNumberFormat="1" applyFont="1"/>
    <xf numFmtId="170" fontId="4" fillId="0" borderId="0" xfId="0" applyNumberFormat="1" applyFont="1"/>
    <xf numFmtId="10" fontId="4" fillId="0" borderId="0" xfId="0" applyNumberFormat="1" applyFont="1"/>
    <xf numFmtId="166" fontId="4" fillId="0" borderId="0" xfId="0" applyNumberFormat="1" applyFont="1"/>
    <xf numFmtId="1" fontId="4" fillId="0" borderId="0" xfId="0" applyNumberFormat="1" applyFont="1"/>
    <xf numFmtId="171" fontId="6" fillId="4" borderId="0" xfId="0" applyNumberFormat="1" applyFont="1" applyFill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/>
  </sheetViews>
  <sheetFormatPr baseColWidth="10" defaultColWidth="8.7265625" defaultRowHeight="14.5" x14ac:dyDescent="0.35"/>
  <cols>
    <col min="1" max="1" width="26" customWidth="1"/>
    <col min="2" max="3" width="12" customWidth="1"/>
    <col min="4" max="4" width="10" customWidth="1"/>
    <col min="5" max="6" width="12" customWidth="1"/>
    <col min="7" max="7" width="10" customWidth="1"/>
    <col min="8" max="8" width="18" customWidth="1"/>
  </cols>
  <sheetData>
    <row r="1" spans="1:8" ht="18" x14ac:dyDescent="0.4">
      <c r="A1" s="1" t="s">
        <v>0</v>
      </c>
    </row>
    <row r="2" spans="1:8" x14ac:dyDescent="0.35">
      <c r="A2" s="2" t="s">
        <v>1</v>
      </c>
    </row>
    <row r="4" spans="1:8" ht="4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5">
      <c r="A5" s="4" t="s">
        <v>10</v>
      </c>
      <c r="B5" s="5">
        <f>Renovación!$D$75</f>
        <v>635.70000000000039</v>
      </c>
      <c r="C5" s="5">
        <f>Renovación!$H$75</f>
        <v>5788.3724493509462</v>
      </c>
      <c r="D5" s="6">
        <f>C5/'Efectos y supuestos'!$B$6</f>
        <v>1.1060929511846445</v>
      </c>
      <c r="E5" s="5">
        <f>Renovación!$D$78</f>
        <v>605.68999999999994</v>
      </c>
      <c r="F5" s="5">
        <f>Renovación!$D$80</f>
        <v>6833.2699760939031</v>
      </c>
      <c r="G5" s="6">
        <f>F5/'Efectos y supuestos'!$B$7</f>
        <v>1.2670628548292051</v>
      </c>
      <c r="H5" s="2" t="s">
        <v>11</v>
      </c>
    </row>
    <row r="6" spans="1:8" x14ac:dyDescent="0.35">
      <c r="A6" s="4" t="s">
        <v>12</v>
      </c>
      <c r="B6" s="5">
        <f>'Corte a siembra'!$B$51</f>
        <v>302.75</v>
      </c>
      <c r="C6" s="7">
        <v>0</v>
      </c>
      <c r="D6" s="6">
        <f>C6/'Efectos y supuestos'!$B$6</f>
        <v>0</v>
      </c>
      <c r="E6" s="5">
        <f>'Corte a siembra'!$B$109</f>
        <v>453.38999999999993</v>
      </c>
      <c r="F6" s="7">
        <v>0</v>
      </c>
      <c r="G6" s="6">
        <f>F6/'Efectos y supuestos'!$B$7</f>
        <v>0</v>
      </c>
      <c r="H6" s="2" t="s">
        <v>12</v>
      </c>
    </row>
    <row r="7" spans="1:8" x14ac:dyDescent="0.35">
      <c r="A7" s="4" t="s">
        <v>13</v>
      </c>
      <c r="B7" s="5">
        <f>Fertilización!$C$232</f>
        <v>22.79</v>
      </c>
      <c r="C7" s="7">
        <v>0</v>
      </c>
      <c r="D7" s="6">
        <f>C7/'Efectos y supuestos'!$B$6</f>
        <v>0</v>
      </c>
      <c r="E7" s="5">
        <f>Fertilización!$C$235</f>
        <v>440.51999999999992</v>
      </c>
      <c r="F7" s="7">
        <v>0</v>
      </c>
      <c r="G7" s="6">
        <f>F7/'Efectos y supuestos'!$B$7</f>
        <v>0</v>
      </c>
      <c r="H7" s="2" t="s">
        <v>13</v>
      </c>
    </row>
    <row r="8" spans="1:8" x14ac:dyDescent="0.35">
      <c r="A8" s="4" t="s">
        <v>14</v>
      </c>
      <c r="B8" s="5">
        <f>Roturación!$E$375</f>
        <v>284.66000000000003</v>
      </c>
      <c r="C8" s="5">
        <f>Roturación!$H$375</f>
        <v>1784.2709366999998</v>
      </c>
      <c r="D8" s="6">
        <f>C8/'Efectos y supuestos'!$B$6</f>
        <v>0.34095413233279248</v>
      </c>
      <c r="E8" s="5">
        <f>Roturación!$E$845</f>
        <v>906.96999999999991</v>
      </c>
      <c r="F8" s="5">
        <f>Roturación!$H$845</f>
        <v>5885.5699980000009</v>
      </c>
      <c r="G8" s="6">
        <f>F8/'Efectos y supuestos'!$B$7</f>
        <v>1.0913350636009644</v>
      </c>
      <c r="H8" s="2" t="s">
        <v>15</v>
      </c>
    </row>
    <row r="9" spans="1:8" x14ac:dyDescent="0.35">
      <c r="A9" s="4" t="s">
        <v>16</v>
      </c>
      <c r="B9" s="5">
        <f>Malezas!$E$324</f>
        <v>862.8599999999999</v>
      </c>
      <c r="C9" s="5">
        <f>Malezas!$H$324</f>
        <v>1941.098436942</v>
      </c>
      <c r="D9" s="6">
        <f>C9/'Efectos y supuestos'!$B$6</f>
        <v>0.37092210590177654</v>
      </c>
      <c r="E9" s="5">
        <f>Malezas!$E$794</f>
        <v>1447.0800000000004</v>
      </c>
      <c r="F9" s="5">
        <f>Malezas!$H$794</f>
        <v>1465.9912321533329</v>
      </c>
      <c r="G9" s="6">
        <f>F9/'Efectos y supuestos'!$B$7</f>
        <v>0.27183223292292469</v>
      </c>
      <c r="H9" s="2" t="s">
        <v>17</v>
      </c>
    </row>
    <row r="10" spans="1:8" x14ac:dyDescent="0.35">
      <c r="A10" s="4" t="s">
        <v>18</v>
      </c>
      <c r="B10" s="5">
        <f>'Riego y lluvia'!$C$9</f>
        <v>2117.66</v>
      </c>
      <c r="C10" s="5">
        <f>'Riego y lluvia'!$F$9</f>
        <v>4764.3892163310256</v>
      </c>
      <c r="D10" s="6">
        <f>C10/'Efectos y supuestos'!$B$6</f>
        <v>0.9104212583063469</v>
      </c>
      <c r="E10" s="5">
        <f>'Riego y lluvia'!$C$21</f>
        <v>5393</v>
      </c>
      <c r="F10" s="5">
        <f>'Riego y lluvia'!$F$21</f>
        <v>8194.3216648804009</v>
      </c>
      <c r="G10" s="6">
        <f>F10/'Efectos y supuestos'!$B$7</f>
        <v>1.5194366150343781</v>
      </c>
      <c r="H10" s="2" t="s">
        <v>19</v>
      </c>
    </row>
    <row r="11" spans="1:8" x14ac:dyDescent="0.35">
      <c r="A11" s="4" t="s">
        <v>20</v>
      </c>
      <c r="B11" s="5">
        <f>'Riego y lluvia'!$C$12</f>
        <v>1874.52</v>
      </c>
      <c r="C11" s="5">
        <f>'Riego y lluvia'!$F$12</f>
        <v>1035.3799487989245</v>
      </c>
      <c r="D11" s="6">
        <f>C11/'Efectos y supuestos'!$B$6</f>
        <v>0.19784947723825605</v>
      </c>
      <c r="E11" s="5">
        <f>'Riego y lluvia'!$C$22</f>
        <v>1303.71</v>
      </c>
      <c r="F11" s="5">
        <f>'Riego y lluvia'!$F$22</f>
        <v>-486.41688696302401</v>
      </c>
      <c r="G11" s="6">
        <f>F11/'Efectos y supuestos'!$B$7</f>
        <v>-9.0194119592624522E-2</v>
      </c>
      <c r="H11" s="2" t="s">
        <v>19</v>
      </c>
    </row>
    <row r="12" spans="1:8" x14ac:dyDescent="0.35">
      <c r="A12" s="4" t="s">
        <v>21</v>
      </c>
      <c r="B12" s="5">
        <f>'Lucro cesante'!$B$41</f>
        <v>332.22999999999996</v>
      </c>
      <c r="C12" s="5">
        <f>'Lucro cesante'!$G$41</f>
        <v>13663.032157925176</v>
      </c>
      <c r="D12" s="6">
        <f>C12/'Efectos y supuestos'!$B$6</f>
        <v>2.6108519612252565</v>
      </c>
      <c r="E12" s="5">
        <f>'Lucro cesante'!$B$46</f>
        <v>20.77</v>
      </c>
      <c r="F12" s="5">
        <f>'Lucro cesante'!$G$46</f>
        <v>675.13893260749035</v>
      </c>
      <c r="G12" s="6">
        <f>F12/'Efectos y supuestos'!$B$7</f>
        <v>0.1251880090130707</v>
      </c>
      <c r="H12" s="2" t="s">
        <v>21</v>
      </c>
    </row>
    <row r="13" spans="1:8" x14ac:dyDescent="0.35">
      <c r="A13" s="8" t="s">
        <v>22</v>
      </c>
      <c r="B13" s="9"/>
      <c r="C13" s="10">
        <f>SUM(C5:C12)</f>
        <v>28976.543146048072</v>
      </c>
      <c r="D13" s="11">
        <f>C13/'Efectos y supuestos'!$B$6</f>
        <v>5.5370918861890734</v>
      </c>
      <c r="E13" s="9"/>
      <c r="F13" s="10">
        <f>SUM(F5:F12)</f>
        <v>22567.874916772103</v>
      </c>
      <c r="G13" s="11">
        <f>F13/'Efectos y supuestos'!$B$7</f>
        <v>4.1846606558079182</v>
      </c>
    </row>
    <row r="15" spans="1:8" x14ac:dyDescent="0.35">
      <c r="A15" s="4" t="s">
        <v>23</v>
      </c>
      <c r="B15" s="12">
        <f>'Efectos y supuestos'!$B$6</f>
        <v>5233.17</v>
      </c>
      <c r="E15" s="12">
        <f>'Efectos y supuestos'!$B$7</f>
        <v>5393</v>
      </c>
    </row>
    <row r="16" spans="1:8" x14ac:dyDescent="0.35">
      <c r="A16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showGridLines="0" workbookViewId="0"/>
  </sheetViews>
  <sheetFormatPr baseColWidth="10" defaultColWidth="8.7265625" defaultRowHeight="14.5" x14ac:dyDescent="0.35"/>
  <cols>
    <col min="1" max="1" width="58" customWidth="1"/>
    <col min="2" max="2" width="12" customWidth="1"/>
    <col min="3" max="3" width="100" customWidth="1"/>
  </cols>
  <sheetData>
    <row r="1" spans="1:3" ht="18" x14ac:dyDescent="0.4">
      <c r="A1" s="1" t="s">
        <v>25</v>
      </c>
    </row>
    <row r="2" spans="1:3" x14ac:dyDescent="0.35">
      <c r="A2" s="2" t="s">
        <v>26</v>
      </c>
    </row>
    <row r="3" spans="1:3" ht="40" customHeight="1" x14ac:dyDescent="0.35">
      <c r="A3" s="3" t="s">
        <v>27</v>
      </c>
      <c r="B3" s="3" t="s">
        <v>28</v>
      </c>
      <c r="C3" s="3" t="s">
        <v>29</v>
      </c>
    </row>
    <row r="4" spans="1:3" x14ac:dyDescent="0.35">
      <c r="A4" s="4" t="s">
        <v>30</v>
      </c>
      <c r="B4" s="13">
        <v>3215.66</v>
      </c>
      <c r="C4" s="2" t="s">
        <v>31</v>
      </c>
    </row>
    <row r="5" spans="1:3" x14ac:dyDescent="0.35">
      <c r="A5" s="4" t="s">
        <v>32</v>
      </c>
      <c r="B5" s="13">
        <v>2017.51</v>
      </c>
      <c r="C5" s="2" t="s">
        <v>33</v>
      </c>
    </row>
    <row r="6" spans="1:3" x14ac:dyDescent="0.35">
      <c r="A6" s="4" t="s">
        <v>34</v>
      </c>
      <c r="B6" s="14">
        <f>B4+B5</f>
        <v>5233.17</v>
      </c>
      <c r="C6" s="2" t="s">
        <v>35</v>
      </c>
    </row>
    <row r="7" spans="1:3" x14ac:dyDescent="0.35">
      <c r="A7" s="4" t="s">
        <v>36</v>
      </c>
      <c r="B7" s="13">
        <v>5393</v>
      </c>
      <c r="C7" s="2" t="s">
        <v>37</v>
      </c>
    </row>
    <row r="8" spans="1:3" x14ac:dyDescent="0.35">
      <c r="A8" s="4" t="s">
        <v>38</v>
      </c>
      <c r="B8" s="15">
        <v>-6.3E-2</v>
      </c>
      <c r="C8" s="2" t="s">
        <v>39</v>
      </c>
    </row>
    <row r="9" spans="1:3" x14ac:dyDescent="0.35">
      <c r="A9" s="4" t="s">
        <v>40</v>
      </c>
      <c r="B9" s="16">
        <v>-1.46E-2</v>
      </c>
      <c r="C9" s="2" t="s">
        <v>41</v>
      </c>
    </row>
    <row r="10" spans="1:3" x14ac:dyDescent="0.35">
      <c r="A10" s="4" t="s">
        <v>42</v>
      </c>
      <c r="B10" s="17">
        <v>90</v>
      </c>
      <c r="C10" s="2" t="s">
        <v>43</v>
      </c>
    </row>
    <row r="11" spans="1:3" x14ac:dyDescent="0.35">
      <c r="A11" s="4" t="s">
        <v>44</v>
      </c>
      <c r="B11" s="15">
        <v>-5.2400000000000002E-2</v>
      </c>
      <c r="C11" s="2" t="s">
        <v>45</v>
      </c>
    </row>
    <row r="12" spans="1:3" x14ac:dyDescent="0.35">
      <c r="A12" s="4" t="s">
        <v>46</v>
      </c>
      <c r="B12" s="16">
        <v>7.0166177037788878E-3</v>
      </c>
      <c r="C12" s="2" t="s">
        <v>47</v>
      </c>
    </row>
    <row r="13" spans="1:3" x14ac:dyDescent="0.35">
      <c r="A13" s="4" t="s">
        <v>48</v>
      </c>
      <c r="B13" s="16">
        <v>-4.5347777982367244E-3</v>
      </c>
      <c r="C13" s="2" t="s">
        <v>49</v>
      </c>
    </row>
    <row r="14" spans="1:3" x14ac:dyDescent="0.35">
      <c r="A14" s="4" t="s">
        <v>50</v>
      </c>
      <c r="B14" s="16">
        <v>-1.253536460939823E-2</v>
      </c>
      <c r="C14" s="2" t="s">
        <v>51</v>
      </c>
    </row>
    <row r="15" spans="1:3" x14ac:dyDescent="0.35">
      <c r="A15" s="4" t="s">
        <v>52</v>
      </c>
      <c r="B15" s="16">
        <v>-1.207961878313279E-2</v>
      </c>
      <c r="C15" s="2" t="s">
        <v>53</v>
      </c>
    </row>
    <row r="16" spans="1:3" x14ac:dyDescent="0.35">
      <c r="A16" s="4" t="s">
        <v>54</v>
      </c>
      <c r="B16" s="18">
        <v>9.8685373870693898</v>
      </c>
      <c r="C16" s="2" t="s">
        <v>55</v>
      </c>
    </row>
    <row r="17" spans="1:3" x14ac:dyDescent="0.35">
      <c r="A17" s="4" t="s">
        <v>56</v>
      </c>
      <c r="B17" s="17">
        <v>60</v>
      </c>
      <c r="C17" s="2" t="s">
        <v>57</v>
      </c>
    </row>
    <row r="18" spans="1:3" x14ac:dyDescent="0.35">
      <c r="A18" s="4" t="s">
        <v>58</v>
      </c>
      <c r="B18" s="17">
        <v>117</v>
      </c>
      <c r="C18" s="2" t="s">
        <v>59</v>
      </c>
    </row>
    <row r="19" spans="1:3" x14ac:dyDescent="0.35">
      <c r="A19" s="4" t="s">
        <v>60</v>
      </c>
      <c r="B19" s="19">
        <v>103.6</v>
      </c>
      <c r="C19" s="2" t="s">
        <v>61</v>
      </c>
    </row>
    <row r="20" spans="1:3" x14ac:dyDescent="0.35">
      <c r="A20" s="4" t="s">
        <v>62</v>
      </c>
      <c r="B20" s="15">
        <v>0</v>
      </c>
      <c r="C20" s="2" t="s">
        <v>63</v>
      </c>
    </row>
    <row r="21" spans="1:3" x14ac:dyDescent="0.35">
      <c r="A21" s="4" t="s">
        <v>64</v>
      </c>
      <c r="B21" s="15">
        <v>0</v>
      </c>
      <c r="C21" s="2" t="s">
        <v>65</v>
      </c>
    </row>
    <row r="23" spans="1:3" x14ac:dyDescent="0.35">
      <c r="A23" s="20" t="s">
        <v>66</v>
      </c>
    </row>
    <row r="24" spans="1:3" ht="40" customHeight="1" x14ac:dyDescent="0.35">
      <c r="A24" s="3" t="s">
        <v>67</v>
      </c>
      <c r="B24" s="3" t="s">
        <v>68</v>
      </c>
      <c r="C24" s="3" t="s">
        <v>69</v>
      </c>
    </row>
    <row r="25" spans="1:3" x14ac:dyDescent="0.35">
      <c r="A25" s="21">
        <v>1</v>
      </c>
      <c r="B25" s="22">
        <v>0</v>
      </c>
      <c r="C25" s="23">
        <v>0.88775028964097202</v>
      </c>
    </row>
    <row r="26" spans="1:3" x14ac:dyDescent="0.35">
      <c r="A26" s="21">
        <v>2</v>
      </c>
      <c r="B26" s="22">
        <v>-5.2675100754774988E-2</v>
      </c>
      <c r="C26" s="23">
        <v>0.93711280084402016</v>
      </c>
    </row>
    <row r="27" spans="1:3" x14ac:dyDescent="0.35">
      <c r="A27" s="21">
        <v>3</v>
      </c>
      <c r="B27" s="22">
        <v>-7.7814878254320874E-2</v>
      </c>
      <c r="C27" s="23">
        <v>0.96265952324244553</v>
      </c>
    </row>
    <row r="28" spans="1:3" x14ac:dyDescent="0.35">
      <c r="A28" s="21">
        <v>4</v>
      </c>
      <c r="B28" s="22">
        <v>-0.1072762685444419</v>
      </c>
      <c r="C28" s="23">
        <v>0.99442891273151557</v>
      </c>
    </row>
    <row r="29" spans="1:3" x14ac:dyDescent="0.35">
      <c r="A29" s="21">
        <v>5</v>
      </c>
      <c r="B29" s="22">
        <v>-0.15089222034246089</v>
      </c>
      <c r="C29" s="23">
        <v>1.04550954650188</v>
      </c>
    </row>
    <row r="30" spans="1:3" x14ac:dyDescent="0.35">
      <c r="A30" s="21">
        <v>6</v>
      </c>
      <c r="B30" s="22">
        <v>-0.16736023111535869</v>
      </c>
      <c r="C30" s="23">
        <v>1.066187711439911</v>
      </c>
    </row>
    <row r="31" spans="1:3" x14ac:dyDescent="0.35">
      <c r="A31" s="21">
        <v>7</v>
      </c>
      <c r="B31" s="22">
        <v>-0.18633946112296679</v>
      </c>
      <c r="C31" s="23">
        <v>1.091057323323303</v>
      </c>
    </row>
    <row r="32" spans="1:3" x14ac:dyDescent="0.35">
      <c r="A32" s="21">
        <v>8</v>
      </c>
      <c r="B32" s="22">
        <v>-0.1999622305985348</v>
      </c>
      <c r="C32" s="23">
        <v>1.109635474216583</v>
      </c>
    </row>
    <row r="33" spans="1:3" x14ac:dyDescent="0.35">
      <c r="A33" s="21">
        <v>9</v>
      </c>
      <c r="B33" s="22">
        <v>-0.20372335951347251</v>
      </c>
      <c r="C33" s="23">
        <v>1.114876720606238</v>
      </c>
    </row>
    <row r="34" spans="1:3" x14ac:dyDescent="0.35">
      <c r="A34" s="21">
        <v>10</v>
      </c>
      <c r="B34" s="22">
        <v>-0.2184187801670818</v>
      </c>
      <c r="C34" s="23">
        <v>1.1358388189403399</v>
      </c>
    </row>
    <row r="35" spans="1:3" x14ac:dyDescent="0.35">
      <c r="A35" s="21">
        <v>11</v>
      </c>
      <c r="B35" s="22">
        <v>-0.21426041852860031</v>
      </c>
      <c r="C35" s="23">
        <v>1.1298276306490049</v>
      </c>
    </row>
    <row r="36" spans="1:3" x14ac:dyDescent="0.35">
      <c r="A36" s="21">
        <v>12</v>
      </c>
      <c r="B36" s="22">
        <v>-0.19587164465635609</v>
      </c>
      <c r="C36" s="23">
        <v>1.1039907792601</v>
      </c>
    </row>
    <row r="37" spans="1:3" x14ac:dyDescent="0.35">
      <c r="A37" s="21">
        <v>13</v>
      </c>
      <c r="B37" s="22">
        <v>-0.22411236446832861</v>
      </c>
      <c r="C37" s="23">
        <v>1.1441737810819059</v>
      </c>
    </row>
    <row r="38" spans="1:3" x14ac:dyDescent="0.35">
      <c r="A38" s="2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10" customWidth="1"/>
    <col min="2" max="2" width="30" customWidth="1"/>
    <col min="3" max="3" width="7" customWidth="1"/>
    <col min="4" max="4" width="9" customWidth="1"/>
    <col min="5" max="5" width="10" customWidth="1"/>
    <col min="6" max="6" width="9" customWidth="1"/>
    <col min="7" max="7" width="10" customWidth="1"/>
    <col min="8" max="8" width="11" customWidth="1"/>
  </cols>
  <sheetData>
    <row r="1" spans="1:8" ht="18" x14ac:dyDescent="0.4">
      <c r="A1" s="1" t="s">
        <v>71</v>
      </c>
    </row>
    <row r="2" spans="1:8" x14ac:dyDescent="0.35">
      <c r="A2" s="2" t="s">
        <v>72</v>
      </c>
    </row>
    <row r="4" spans="1:8" ht="40" customHeight="1" x14ac:dyDescent="0.35">
      <c r="A4" s="3" t="s">
        <v>73</v>
      </c>
      <c r="B4" s="3" t="s">
        <v>74</v>
      </c>
      <c r="C4" s="3" t="s">
        <v>67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</row>
    <row r="5" spans="1:8" x14ac:dyDescent="0.35">
      <c r="A5" s="24" t="s">
        <v>80</v>
      </c>
      <c r="B5" s="24" t="s">
        <v>81</v>
      </c>
      <c r="C5" s="21">
        <v>12</v>
      </c>
      <c r="D5" s="25">
        <v>5.26</v>
      </c>
      <c r="E5" s="26">
        <v>130.66</v>
      </c>
      <c r="F5" s="27">
        <f>INDEX('Efectos y supuestos'!$C$25:$C$37,MATCH(MIN(C5,13),'Efectos y supuestos'!$A$25:$A$37,0))</f>
        <v>1.1039907792601</v>
      </c>
      <c r="G5" s="6">
        <f t="shared" ref="G5:G36" si="0">E5*F5</f>
        <v>144.24743521812468</v>
      </c>
      <c r="H5" s="14">
        <f t="shared" ref="H5:H36" si="1">(G5-E5)*D5</f>
        <v>71.469909247335821</v>
      </c>
    </row>
    <row r="6" spans="1:8" x14ac:dyDescent="0.35">
      <c r="A6" s="24" t="s">
        <v>82</v>
      </c>
      <c r="B6" s="24" t="s">
        <v>81</v>
      </c>
      <c r="C6" s="21">
        <v>11</v>
      </c>
      <c r="D6" s="25">
        <v>19.25</v>
      </c>
      <c r="E6" s="26">
        <v>110.8088311688312</v>
      </c>
      <c r="F6" s="27">
        <f>INDEX('Efectos y supuestos'!$C$25:$C$37,MATCH(MIN(C6,13),'Efectos y supuestos'!$A$25:$A$37,0))</f>
        <v>1.1298276306490049</v>
      </c>
      <c r="G6" s="6">
        <f t="shared" si="0"/>
        <v>125.19487917446617</v>
      </c>
      <c r="H6" s="14">
        <f t="shared" si="1"/>
        <v>276.93142410847304</v>
      </c>
    </row>
    <row r="7" spans="1:8" x14ac:dyDescent="0.35">
      <c r="A7" s="24" t="s">
        <v>83</v>
      </c>
      <c r="B7" s="24" t="s">
        <v>81</v>
      </c>
      <c r="C7" s="21">
        <v>10</v>
      </c>
      <c r="D7" s="25">
        <v>14.42</v>
      </c>
      <c r="E7" s="26">
        <v>110.0894590846047</v>
      </c>
      <c r="F7" s="27">
        <f>INDEX('Efectos y supuestos'!$C$25:$C$37,MATCH(MIN(C7,13),'Efectos y supuestos'!$A$25:$A$37,0))</f>
        <v>1.1358388189403399</v>
      </c>
      <c r="G7" s="6">
        <f t="shared" si="0"/>
        <v>125.04388118443828</v>
      </c>
      <c r="H7" s="14">
        <f t="shared" si="1"/>
        <v>215.64276667960021</v>
      </c>
    </row>
    <row r="8" spans="1:8" x14ac:dyDescent="0.35">
      <c r="A8" s="24" t="s">
        <v>84</v>
      </c>
      <c r="B8" s="24" t="s">
        <v>81</v>
      </c>
      <c r="C8" s="21">
        <v>11</v>
      </c>
      <c r="D8" s="25">
        <v>3.72</v>
      </c>
      <c r="E8" s="26">
        <v>102.760752688172</v>
      </c>
      <c r="F8" s="27">
        <f>INDEX('Efectos y supuestos'!$C$25:$C$37,MATCH(MIN(C8,13),'Efectos y supuestos'!$A$25:$A$37,0))</f>
        <v>1.1298276306490049</v>
      </c>
      <c r="G8" s="6">
        <f t="shared" si="0"/>
        <v>116.10193773338574</v>
      </c>
      <c r="H8" s="14">
        <f t="shared" si="1"/>
        <v>49.629208368195094</v>
      </c>
    </row>
    <row r="9" spans="1:8" x14ac:dyDescent="0.35">
      <c r="A9" s="24" t="s">
        <v>85</v>
      </c>
      <c r="B9" s="24" t="s">
        <v>81</v>
      </c>
      <c r="C9" s="21">
        <v>9</v>
      </c>
      <c r="D9" s="25">
        <v>8.94</v>
      </c>
      <c r="E9" s="26">
        <v>119.3255033557047</v>
      </c>
      <c r="F9" s="27">
        <f>INDEX('Efectos y supuestos'!$C$25:$C$37,MATCH(MIN(C9,13),'Efectos y supuestos'!$A$25:$A$37,0))</f>
        <v>1.114876720606238</v>
      </c>
      <c r="G9" s="6">
        <f t="shared" si="0"/>
        <v>133.0332258658967</v>
      </c>
      <c r="H9" s="14">
        <f t="shared" si="1"/>
        <v>122.54703924111647</v>
      </c>
    </row>
    <row r="10" spans="1:8" x14ac:dyDescent="0.35">
      <c r="A10" s="24" t="s">
        <v>86</v>
      </c>
      <c r="B10" s="24" t="s">
        <v>81</v>
      </c>
      <c r="C10" s="21">
        <v>7</v>
      </c>
      <c r="D10" s="25">
        <v>8.41</v>
      </c>
      <c r="E10" s="26">
        <v>100.99167657550539</v>
      </c>
      <c r="F10" s="27">
        <f>INDEX('Efectos y supuestos'!$C$25:$C$37,MATCH(MIN(C10,13),'Efectos y supuestos'!$A$25:$A$37,0))</f>
        <v>1.091057323323303</v>
      </c>
      <c r="G10" s="6">
        <f t="shared" si="0"/>
        <v>110.18770832240364</v>
      </c>
      <c r="H10" s="14">
        <f t="shared" si="1"/>
        <v>77.338626991414216</v>
      </c>
    </row>
    <row r="11" spans="1:8" x14ac:dyDescent="0.35">
      <c r="A11" s="24" t="s">
        <v>87</v>
      </c>
      <c r="B11" s="24" t="s">
        <v>81</v>
      </c>
      <c r="C11" s="21">
        <v>10</v>
      </c>
      <c r="D11" s="25">
        <v>10.18</v>
      </c>
      <c r="E11" s="26">
        <v>94.231827111984288</v>
      </c>
      <c r="F11" s="27">
        <f>INDEX('Efectos y supuestos'!$C$25:$C$37,MATCH(MIN(C11,13),'Efectos y supuestos'!$A$25:$A$37,0))</f>
        <v>1.1358388189403399</v>
      </c>
      <c r="G11" s="6">
        <f t="shared" si="0"/>
        <v>107.03216721346654</v>
      </c>
      <c r="H11" s="14">
        <f t="shared" si="1"/>
        <v>130.3074622330893</v>
      </c>
    </row>
    <row r="12" spans="1:8" x14ac:dyDescent="0.35">
      <c r="A12" s="24" t="s">
        <v>88</v>
      </c>
      <c r="B12" s="24" t="s">
        <v>81</v>
      </c>
      <c r="C12" s="21">
        <v>9</v>
      </c>
      <c r="D12" s="25">
        <v>4.74</v>
      </c>
      <c r="E12" s="26">
        <v>99.816455696202524</v>
      </c>
      <c r="F12" s="27">
        <f>INDEX('Efectos y supuestos'!$C$25:$C$37,MATCH(MIN(C12,13),'Efectos y supuestos'!$A$25:$A$37,0))</f>
        <v>1.114876720606238</v>
      </c>
      <c r="G12" s="6">
        <f t="shared" si="0"/>
        <v>111.28304278912012</v>
      </c>
      <c r="H12" s="14">
        <f t="shared" si="1"/>
        <v>54.351622820429391</v>
      </c>
    </row>
    <row r="13" spans="1:8" x14ac:dyDescent="0.35">
      <c r="A13" s="24" t="s">
        <v>89</v>
      </c>
      <c r="B13" s="24" t="s">
        <v>81</v>
      </c>
      <c r="C13" s="21">
        <v>14</v>
      </c>
      <c r="D13" s="25">
        <v>1.93</v>
      </c>
      <c r="E13" s="26">
        <v>111.2227979274611</v>
      </c>
      <c r="F13" s="27">
        <f>INDEX('Efectos y supuestos'!$C$25:$C$37,MATCH(MIN(C13,13),'Efectos y supuestos'!$A$25:$A$37,0))</f>
        <v>1.1441737810819059</v>
      </c>
      <c r="G13" s="6">
        <f t="shared" si="0"/>
        <v>127.25820924717193</v>
      </c>
      <c r="H13" s="14">
        <f t="shared" si="1"/>
        <v>30.948343847041905</v>
      </c>
    </row>
    <row r="14" spans="1:8" x14ac:dyDescent="0.35">
      <c r="A14" s="24" t="s">
        <v>90</v>
      </c>
      <c r="B14" s="24" t="s">
        <v>81</v>
      </c>
      <c r="C14" s="21">
        <v>8</v>
      </c>
      <c r="D14" s="25">
        <v>7.28</v>
      </c>
      <c r="E14" s="26">
        <v>115.0398351648352</v>
      </c>
      <c r="F14" s="27">
        <f>INDEX('Efectos y supuestos'!$C$25:$C$37,MATCH(MIN(C14,13),'Efectos y supuestos'!$A$25:$A$37,0))</f>
        <v>1.109635474216583</v>
      </c>
      <c r="G14" s="6">
        <f t="shared" si="0"/>
        <v>127.65228204692944</v>
      </c>
      <c r="H14" s="14">
        <f t="shared" si="1"/>
        <v>91.818613301646124</v>
      </c>
    </row>
    <row r="15" spans="1:8" x14ac:dyDescent="0.35">
      <c r="A15" s="24" t="s">
        <v>91</v>
      </c>
      <c r="B15" s="24" t="s">
        <v>81</v>
      </c>
      <c r="C15" s="21">
        <v>11</v>
      </c>
      <c r="D15" s="25">
        <v>14.22</v>
      </c>
      <c r="E15" s="26">
        <v>92.924050632911403</v>
      </c>
      <c r="F15" s="27">
        <f>INDEX('Efectos y supuestos'!$C$25:$C$37,MATCH(MIN(C15,13),'Efectos y supuestos'!$A$25:$A$37,0))</f>
        <v>1.1298276306490049</v>
      </c>
      <c r="G15" s="6">
        <f t="shared" si="0"/>
        <v>104.98815995689046</v>
      </c>
      <c r="H15" s="14">
        <f t="shared" si="1"/>
        <v>171.55163458698215</v>
      </c>
    </row>
    <row r="16" spans="1:8" x14ac:dyDescent="0.35">
      <c r="A16" s="24" t="s">
        <v>92</v>
      </c>
      <c r="B16" s="24" t="s">
        <v>81</v>
      </c>
      <c r="C16" s="21">
        <v>8</v>
      </c>
      <c r="D16" s="25">
        <v>17.11</v>
      </c>
      <c r="E16" s="26">
        <v>59.74</v>
      </c>
      <c r="F16" s="27">
        <f>INDEX('Efectos y supuestos'!$C$25:$C$37,MATCH(MIN(C16,13),'Efectos y supuestos'!$A$25:$A$37,0))</f>
        <v>1.109635474216583</v>
      </c>
      <c r="G16" s="6">
        <f t="shared" si="0"/>
        <v>66.289623229698677</v>
      </c>
      <c r="H16" s="14">
        <f t="shared" si="1"/>
        <v>112.06405346014432</v>
      </c>
    </row>
    <row r="17" spans="1:8" x14ac:dyDescent="0.35">
      <c r="A17" s="24" t="s">
        <v>93</v>
      </c>
      <c r="B17" s="24" t="s">
        <v>81</v>
      </c>
      <c r="C17" s="21">
        <v>14</v>
      </c>
      <c r="D17" s="25">
        <v>17.14</v>
      </c>
      <c r="E17" s="26">
        <v>108.18</v>
      </c>
      <c r="F17" s="27">
        <f>INDEX('Efectos y supuestos'!$C$25:$C$37,MATCH(MIN(C17,13),'Efectos y supuestos'!$A$25:$A$37,0))</f>
        <v>1.1441737810819059</v>
      </c>
      <c r="G17" s="6">
        <f t="shared" si="0"/>
        <v>123.77671963744059</v>
      </c>
      <c r="H17" s="14">
        <f t="shared" si="1"/>
        <v>267.32777458573167</v>
      </c>
    </row>
    <row r="18" spans="1:8" x14ac:dyDescent="0.35">
      <c r="A18" s="24" t="s">
        <v>94</v>
      </c>
      <c r="B18" s="24" t="s">
        <v>81</v>
      </c>
      <c r="C18" s="21">
        <v>5</v>
      </c>
      <c r="D18" s="25">
        <v>7.52</v>
      </c>
      <c r="E18" s="26">
        <v>70.825797872340431</v>
      </c>
      <c r="F18" s="27">
        <f>INDEX('Efectos y supuestos'!$C$25:$C$37,MATCH(MIN(C18,13),'Efectos y supuestos'!$A$25:$A$37,0))</f>
        <v>1.04550954650188</v>
      </c>
      <c r="G18" s="6">
        <f t="shared" si="0"/>
        <v>74.049047814144458</v>
      </c>
      <c r="H18" s="14">
        <f t="shared" si="1"/>
        <v>24.238839562366287</v>
      </c>
    </row>
    <row r="19" spans="1:8" x14ac:dyDescent="0.35">
      <c r="A19" s="24" t="s">
        <v>95</v>
      </c>
      <c r="B19" s="24" t="s">
        <v>81</v>
      </c>
      <c r="C19" s="21">
        <v>1</v>
      </c>
      <c r="D19" s="25">
        <v>4.63</v>
      </c>
      <c r="E19" s="26">
        <v>142.2570194384449</v>
      </c>
      <c r="F19" s="27">
        <f>INDEX('Efectos y supuestos'!$C$25:$C$37,MATCH(MIN(C19,13),'Efectos y supuestos'!$A$25:$A$37,0))</f>
        <v>0.88775028964097202</v>
      </c>
      <c r="G19" s="6">
        <f t="shared" si="0"/>
        <v>126.28871020994085</v>
      </c>
      <c r="H19" s="14">
        <f t="shared" si="1"/>
        <v>-73.933271727973775</v>
      </c>
    </row>
    <row r="20" spans="1:8" x14ac:dyDescent="0.35">
      <c r="A20" s="24" t="s">
        <v>96</v>
      </c>
      <c r="B20" s="24" t="s">
        <v>81</v>
      </c>
      <c r="C20" s="21">
        <v>6</v>
      </c>
      <c r="D20" s="25">
        <v>5.65</v>
      </c>
      <c r="E20" s="26">
        <v>111.0442477876106</v>
      </c>
      <c r="F20" s="27">
        <f>INDEX('Efectos y supuestos'!$C$25:$C$37,MATCH(MIN(C20,13),'Efectos y supuestos'!$A$25:$A$37,0))</f>
        <v>1.066187711439911</v>
      </c>
      <c r="G20" s="6">
        <f t="shared" si="0"/>
        <v>118.39401241723894</v>
      </c>
      <c r="H20" s="14">
        <f t="shared" si="1"/>
        <v>41.526170157400117</v>
      </c>
    </row>
    <row r="21" spans="1:8" x14ac:dyDescent="0.35">
      <c r="A21" s="24" t="s">
        <v>97</v>
      </c>
      <c r="B21" s="24" t="s">
        <v>81</v>
      </c>
      <c r="C21" s="21">
        <v>10</v>
      </c>
      <c r="D21" s="25">
        <v>11.39</v>
      </c>
      <c r="E21" s="26">
        <v>98.68305531167691</v>
      </c>
      <c r="F21" s="27">
        <f>INDEX('Efectos y supuestos'!$C$25:$C$37,MATCH(MIN(C21,13),'Efectos y supuestos'!$A$25:$A$37,0))</f>
        <v>1.1358388189403399</v>
      </c>
      <c r="G21" s="6">
        <f t="shared" si="0"/>
        <v>112.08804499463933</v>
      </c>
      <c r="H21" s="14">
        <f t="shared" si="1"/>
        <v>152.68283248894201</v>
      </c>
    </row>
    <row r="22" spans="1:8" x14ac:dyDescent="0.35">
      <c r="A22" s="24" t="s">
        <v>98</v>
      </c>
      <c r="B22" s="24" t="s">
        <v>81</v>
      </c>
      <c r="C22" s="21">
        <v>14</v>
      </c>
      <c r="D22" s="25">
        <v>11.71</v>
      </c>
      <c r="E22" s="26">
        <v>122.08</v>
      </c>
      <c r="F22" s="27">
        <f>INDEX('Efectos y supuestos'!$C$25:$C$37,MATCH(MIN(C22,13),'Efectos y supuestos'!$A$25:$A$37,0))</f>
        <v>1.1441737810819059</v>
      </c>
      <c r="G22" s="6">
        <f t="shared" si="0"/>
        <v>139.68073519447907</v>
      </c>
      <c r="H22" s="14">
        <f t="shared" si="1"/>
        <v>206.10460912734993</v>
      </c>
    </row>
    <row r="23" spans="1:8" x14ac:dyDescent="0.35">
      <c r="A23" s="24" t="s">
        <v>99</v>
      </c>
      <c r="B23" s="24" t="s">
        <v>81</v>
      </c>
      <c r="C23" s="21">
        <v>6</v>
      </c>
      <c r="D23" s="25">
        <v>10.210000000000001</v>
      </c>
      <c r="E23" s="26">
        <v>90.26</v>
      </c>
      <c r="F23" s="27">
        <f>INDEX('Efectos y supuestos'!$C$25:$C$37,MATCH(MIN(C23,13),'Efectos y supuestos'!$A$25:$A$37,0))</f>
        <v>1.066187711439911</v>
      </c>
      <c r="G23" s="6">
        <f t="shared" si="0"/>
        <v>96.234102834566372</v>
      </c>
      <c r="H23" s="14">
        <f t="shared" si="1"/>
        <v>60.995589940922606</v>
      </c>
    </row>
    <row r="24" spans="1:8" x14ac:dyDescent="0.35">
      <c r="A24" s="24" t="s">
        <v>100</v>
      </c>
      <c r="B24" s="24" t="s">
        <v>81</v>
      </c>
      <c r="C24" s="21">
        <v>9</v>
      </c>
      <c r="D24" s="25">
        <v>3.4</v>
      </c>
      <c r="E24" s="26">
        <v>83.47058823529413</v>
      </c>
      <c r="F24" s="27">
        <f>INDEX('Efectos y supuestos'!$C$25:$C$37,MATCH(MIN(C24,13),'Efectos y supuestos'!$A$25:$A$37,0))</f>
        <v>1.114876720606238</v>
      </c>
      <c r="G24" s="6">
        <f t="shared" si="0"/>
        <v>93.059415678838349</v>
      </c>
      <c r="H24" s="14">
        <f t="shared" si="1"/>
        <v>32.602013308050338</v>
      </c>
    </row>
    <row r="25" spans="1:8" x14ac:dyDescent="0.35">
      <c r="A25" s="24" t="s">
        <v>101</v>
      </c>
      <c r="B25" s="24" t="s">
        <v>81</v>
      </c>
      <c r="C25" s="21">
        <v>8</v>
      </c>
      <c r="D25" s="25">
        <v>12.44</v>
      </c>
      <c r="E25" s="26">
        <v>90.610932475884255</v>
      </c>
      <c r="F25" s="27">
        <f>INDEX('Efectos y supuestos'!$C$25:$C$37,MATCH(MIN(C25,13),'Efectos y supuestos'!$A$25:$A$37,0))</f>
        <v>1.109635474216583</v>
      </c>
      <c r="G25" s="6">
        <f t="shared" si="0"/>
        <v>100.54510502708462</v>
      </c>
      <c r="H25" s="14">
        <f t="shared" si="1"/>
        <v>123.5811065369325</v>
      </c>
    </row>
    <row r="26" spans="1:8" x14ac:dyDescent="0.35">
      <c r="A26" s="24" t="s">
        <v>102</v>
      </c>
      <c r="B26" s="24" t="s">
        <v>81</v>
      </c>
      <c r="C26" s="21">
        <v>12</v>
      </c>
      <c r="D26" s="25">
        <v>4.75</v>
      </c>
      <c r="E26" s="26">
        <v>121.85052631578949</v>
      </c>
      <c r="F26" s="27">
        <f>INDEX('Efectos y supuestos'!$C$25:$C$37,MATCH(MIN(C26,13),'Efectos y supuestos'!$A$25:$A$37,0))</f>
        <v>1.1039907792601</v>
      </c>
      <c r="G26" s="6">
        <f t="shared" si="0"/>
        <v>134.52185750062176</v>
      </c>
      <c r="H26" s="14">
        <f t="shared" si="1"/>
        <v>60.188823127953277</v>
      </c>
    </row>
    <row r="27" spans="1:8" x14ac:dyDescent="0.35">
      <c r="A27" s="24" t="s">
        <v>103</v>
      </c>
      <c r="B27" s="24" t="s">
        <v>81</v>
      </c>
      <c r="C27" s="21">
        <v>6</v>
      </c>
      <c r="D27" s="25">
        <v>4</v>
      </c>
      <c r="E27" s="26">
        <v>128.35</v>
      </c>
      <c r="F27" s="27">
        <f>INDEX('Efectos y supuestos'!$C$25:$C$37,MATCH(MIN(C27,13),'Efectos y supuestos'!$A$25:$A$37,0))</f>
        <v>1.066187711439911</v>
      </c>
      <c r="G27" s="6">
        <f t="shared" si="0"/>
        <v>136.84519276331258</v>
      </c>
      <c r="H27" s="14">
        <f t="shared" si="1"/>
        <v>33.980771053250351</v>
      </c>
    </row>
    <row r="28" spans="1:8" x14ac:dyDescent="0.35">
      <c r="A28" s="24" t="s">
        <v>104</v>
      </c>
      <c r="B28" s="24" t="s">
        <v>81</v>
      </c>
      <c r="C28" s="21">
        <v>7</v>
      </c>
      <c r="D28" s="25">
        <v>1.8</v>
      </c>
      <c r="E28" s="26">
        <v>134.07</v>
      </c>
      <c r="F28" s="27">
        <f>INDEX('Efectos y supuestos'!$C$25:$C$37,MATCH(MIN(C28,13),'Efectos y supuestos'!$A$25:$A$37,0))</f>
        <v>1.091057323323303</v>
      </c>
      <c r="G28" s="6">
        <f t="shared" si="0"/>
        <v>146.27805533795521</v>
      </c>
      <c r="H28" s="14">
        <f t="shared" si="1"/>
        <v>21.974499608319388</v>
      </c>
    </row>
    <row r="29" spans="1:8" x14ac:dyDescent="0.35">
      <c r="A29" s="24" t="s">
        <v>105</v>
      </c>
      <c r="B29" s="24" t="s">
        <v>81</v>
      </c>
      <c r="C29" s="21">
        <v>7</v>
      </c>
      <c r="D29" s="25">
        <v>13.15</v>
      </c>
      <c r="E29" s="26">
        <v>80.054752851711029</v>
      </c>
      <c r="F29" s="27">
        <f>INDEX('Efectos y supuestos'!$C$25:$C$37,MATCH(MIN(C29,13),'Efectos y supuestos'!$A$25:$A$37,0))</f>
        <v>1.091057323323303</v>
      </c>
      <c r="G29" s="6">
        <f t="shared" si="0"/>
        <v>87.344324365696394</v>
      </c>
      <c r="H29" s="14">
        <f t="shared" si="1"/>
        <v>95.857865408907557</v>
      </c>
    </row>
    <row r="30" spans="1:8" x14ac:dyDescent="0.35">
      <c r="A30" s="24" t="s">
        <v>106</v>
      </c>
      <c r="B30" s="24" t="s">
        <v>81</v>
      </c>
      <c r="C30" s="21">
        <v>9</v>
      </c>
      <c r="D30" s="25">
        <v>6.44</v>
      </c>
      <c r="E30" s="26">
        <v>114.64906832298141</v>
      </c>
      <c r="F30" s="27">
        <f>INDEX('Efectos y supuestos'!$C$25:$C$37,MATCH(MIN(C30,13),'Efectos y supuestos'!$A$25:$A$37,0))</f>
        <v>1.114876720606238</v>
      </c>
      <c r="G30" s="6">
        <f t="shared" si="0"/>
        <v>127.81957731248603</v>
      </c>
      <c r="H30" s="14">
        <f t="shared" si="1"/>
        <v>84.818077892409789</v>
      </c>
    </row>
    <row r="31" spans="1:8" x14ac:dyDescent="0.35">
      <c r="A31" s="24" t="s">
        <v>107</v>
      </c>
      <c r="B31" s="24" t="s">
        <v>81</v>
      </c>
      <c r="C31" s="21">
        <v>5</v>
      </c>
      <c r="D31" s="25">
        <v>1.3</v>
      </c>
      <c r="E31" s="26">
        <v>118.5615384615384</v>
      </c>
      <c r="F31" s="27">
        <f>INDEX('Efectos y supuestos'!$C$25:$C$37,MATCH(MIN(C31,13),'Efectos y supuestos'!$A$25:$A$37,0))</f>
        <v>1.04550954650188</v>
      </c>
      <c r="G31" s="6">
        <f t="shared" si="0"/>
        <v>123.95722030948822</v>
      </c>
      <c r="H31" s="14">
        <f t="shared" si="1"/>
        <v>7.014386402334762</v>
      </c>
    </row>
    <row r="32" spans="1:8" x14ac:dyDescent="0.35">
      <c r="A32" s="24" t="s">
        <v>108</v>
      </c>
      <c r="B32" s="24" t="s">
        <v>81</v>
      </c>
      <c r="C32" s="21">
        <v>5</v>
      </c>
      <c r="D32" s="25">
        <v>1.35</v>
      </c>
      <c r="E32" s="26">
        <v>85.98</v>
      </c>
      <c r="F32" s="27">
        <f>INDEX('Efectos y supuestos'!$C$25:$C$37,MATCH(MIN(C32,13),'Efectos y supuestos'!$A$25:$A$37,0))</f>
        <v>1.04550954650188</v>
      </c>
      <c r="G32" s="6">
        <f t="shared" si="0"/>
        <v>89.892910808231647</v>
      </c>
      <c r="H32" s="14">
        <f t="shared" si="1"/>
        <v>5.2824295911127193</v>
      </c>
    </row>
    <row r="33" spans="1:8" x14ac:dyDescent="0.35">
      <c r="A33" s="24" t="s">
        <v>109</v>
      </c>
      <c r="B33" s="24" t="s">
        <v>81</v>
      </c>
      <c r="C33" s="21">
        <v>7</v>
      </c>
      <c r="D33" s="25">
        <v>5.89</v>
      </c>
      <c r="E33" s="26">
        <v>90.75</v>
      </c>
      <c r="F33" s="27">
        <f>INDEX('Efectos y supuestos'!$C$25:$C$37,MATCH(MIN(C33,13),'Efectos y supuestos'!$A$25:$A$37,0))</f>
        <v>1.091057323323303</v>
      </c>
      <c r="G33" s="6">
        <f t="shared" si="0"/>
        <v>99.013452091589741</v>
      </c>
      <c r="H33" s="14">
        <f t="shared" si="1"/>
        <v>48.671732819463571</v>
      </c>
    </row>
    <row r="34" spans="1:8" x14ac:dyDescent="0.35">
      <c r="A34" s="24" t="s">
        <v>110</v>
      </c>
      <c r="B34" s="24" t="s">
        <v>81</v>
      </c>
      <c r="C34" s="21">
        <v>11</v>
      </c>
      <c r="D34" s="25">
        <v>6.19</v>
      </c>
      <c r="E34" s="26">
        <v>90.72</v>
      </c>
      <c r="F34" s="27">
        <f>INDEX('Efectos y supuestos'!$C$25:$C$37,MATCH(MIN(C34,13),'Efectos y supuestos'!$A$25:$A$37,0))</f>
        <v>1.1298276306490049</v>
      </c>
      <c r="G34" s="6">
        <f t="shared" si="0"/>
        <v>102.49796265247772</v>
      </c>
      <c r="H34" s="14">
        <f t="shared" si="1"/>
        <v>72.905588818837131</v>
      </c>
    </row>
    <row r="35" spans="1:8" x14ac:dyDescent="0.35">
      <c r="A35" s="24" t="s">
        <v>111</v>
      </c>
      <c r="B35" s="24" t="s">
        <v>81</v>
      </c>
      <c r="C35" s="21">
        <v>7</v>
      </c>
      <c r="D35" s="25">
        <v>20.83</v>
      </c>
      <c r="E35" s="26">
        <v>101.33</v>
      </c>
      <c r="F35" s="27">
        <f>INDEX('Efectos y supuestos'!$C$25:$C$37,MATCH(MIN(C35,13),'Efectos y supuestos'!$A$25:$A$37,0))</f>
        <v>1.091057323323303</v>
      </c>
      <c r="G35" s="6">
        <f t="shared" si="0"/>
        <v>110.55683857235029</v>
      </c>
      <c r="H35" s="14">
        <f t="shared" si="1"/>
        <v>192.19504746205649</v>
      </c>
    </row>
    <row r="36" spans="1:8" x14ac:dyDescent="0.35">
      <c r="A36" s="24" t="s">
        <v>112</v>
      </c>
      <c r="B36" s="24" t="s">
        <v>81</v>
      </c>
      <c r="C36" s="21">
        <v>13</v>
      </c>
      <c r="D36" s="25">
        <v>18.66</v>
      </c>
      <c r="E36" s="26">
        <v>126.5289389067524</v>
      </c>
      <c r="F36" s="27">
        <f>INDEX('Efectos y supuestos'!$C$25:$C$37,MATCH(MIN(C36,13),'Efectos y supuestos'!$A$25:$A$37,0))</f>
        <v>1.1441737810819059</v>
      </c>
      <c r="G36" s="6">
        <f t="shared" si="0"/>
        <v>144.77109444522037</v>
      </c>
      <c r="H36" s="14">
        <f t="shared" si="1"/>
        <v>340.39862234781231</v>
      </c>
    </row>
    <row r="37" spans="1:8" x14ac:dyDescent="0.35">
      <c r="A37" s="24" t="s">
        <v>113</v>
      </c>
      <c r="B37" s="24" t="s">
        <v>114</v>
      </c>
      <c r="C37" s="21">
        <v>9</v>
      </c>
      <c r="D37" s="25">
        <v>12.51</v>
      </c>
      <c r="E37" s="26">
        <v>107.8</v>
      </c>
      <c r="F37" s="27">
        <f>INDEX('Efectos y supuestos'!$C$25:$C$37,MATCH(MIN(C37,13),'Efectos y supuestos'!$A$25:$A$37,0))</f>
        <v>1.114876720606238</v>
      </c>
      <c r="G37" s="6">
        <f t="shared" ref="G37:G68" si="2">E37*F37</f>
        <v>120.18371048135245</v>
      </c>
      <c r="H37" s="14">
        <f t="shared" ref="H37:H68" si="3">(G37-E37)*D37</f>
        <v>154.92021812171916</v>
      </c>
    </row>
    <row r="38" spans="1:8" x14ac:dyDescent="0.35">
      <c r="A38" s="24" t="s">
        <v>115</v>
      </c>
      <c r="B38" s="24" t="s">
        <v>114</v>
      </c>
      <c r="C38" s="21">
        <v>5</v>
      </c>
      <c r="D38" s="25">
        <v>1.42</v>
      </c>
      <c r="E38" s="26">
        <v>101.7</v>
      </c>
      <c r="F38" s="27">
        <f>INDEX('Efectos y supuestos'!$C$25:$C$37,MATCH(MIN(C38,13),'Efectos y supuestos'!$A$25:$A$37,0))</f>
        <v>1.04550954650188</v>
      </c>
      <c r="G38" s="6">
        <f t="shared" si="2"/>
        <v>106.3283208792412</v>
      </c>
      <c r="H38" s="14">
        <f t="shared" si="3"/>
        <v>6.5722156485225049</v>
      </c>
    </row>
    <row r="39" spans="1:8" x14ac:dyDescent="0.35">
      <c r="A39" s="24" t="s">
        <v>116</v>
      </c>
      <c r="B39" s="24" t="s">
        <v>114</v>
      </c>
      <c r="C39" s="21">
        <v>12</v>
      </c>
      <c r="D39" s="25">
        <v>21.86</v>
      </c>
      <c r="E39" s="26">
        <v>102.8</v>
      </c>
      <c r="F39" s="27">
        <f>INDEX('Efectos y supuestos'!$C$25:$C$37,MATCH(MIN(C39,13),'Efectos y supuestos'!$A$25:$A$37,0))</f>
        <v>1.1039907792601</v>
      </c>
      <c r="G39" s="6">
        <f t="shared" si="2"/>
        <v>113.49025210793828</v>
      </c>
      <c r="H39" s="14">
        <f t="shared" si="3"/>
        <v>233.68891107953075</v>
      </c>
    </row>
    <row r="40" spans="1:8" x14ac:dyDescent="0.35">
      <c r="A40" s="24" t="s">
        <v>117</v>
      </c>
      <c r="B40" s="24" t="s">
        <v>114</v>
      </c>
      <c r="C40" s="21">
        <v>12</v>
      </c>
      <c r="D40" s="25">
        <v>4.84</v>
      </c>
      <c r="E40" s="26">
        <v>86.3</v>
      </c>
      <c r="F40" s="27">
        <f>INDEX('Efectos y supuestos'!$C$25:$C$37,MATCH(MIN(C40,13),'Efectos y supuestos'!$A$25:$A$37,0))</f>
        <v>1.1039907792601</v>
      </c>
      <c r="G40" s="6">
        <f t="shared" si="2"/>
        <v>95.274404250146631</v>
      </c>
      <c r="H40" s="14">
        <f t="shared" si="3"/>
        <v>43.436116570709707</v>
      </c>
    </row>
    <row r="41" spans="1:8" x14ac:dyDescent="0.35">
      <c r="A41" s="24" t="s">
        <v>118</v>
      </c>
      <c r="B41" s="24" t="s">
        <v>114</v>
      </c>
      <c r="C41" s="21">
        <v>13</v>
      </c>
      <c r="D41" s="25">
        <v>4.9400000000000004</v>
      </c>
      <c r="E41" s="26">
        <v>66.3</v>
      </c>
      <c r="F41" s="27">
        <f>INDEX('Efectos y supuestos'!$C$25:$C$37,MATCH(MIN(C41,13),'Efectos y supuestos'!$A$25:$A$37,0))</f>
        <v>1.1441737810819059</v>
      </c>
      <c r="G41" s="6">
        <f t="shared" si="2"/>
        <v>75.858721685730359</v>
      </c>
      <c r="H41" s="14">
        <f t="shared" si="3"/>
        <v>47.220085127507993</v>
      </c>
    </row>
    <row r="42" spans="1:8" x14ac:dyDescent="0.35">
      <c r="A42" s="24" t="s">
        <v>119</v>
      </c>
      <c r="B42" s="24" t="s">
        <v>114</v>
      </c>
      <c r="C42" s="21">
        <v>6</v>
      </c>
      <c r="D42" s="25">
        <v>11.96</v>
      </c>
      <c r="E42" s="26">
        <v>105.4</v>
      </c>
      <c r="F42" s="27">
        <f>INDEX('Efectos y supuestos'!$C$25:$C$37,MATCH(MIN(C42,13),'Efectos y supuestos'!$A$25:$A$37,0))</f>
        <v>1.066187711439911</v>
      </c>
      <c r="G42" s="6">
        <f t="shared" si="2"/>
        <v>112.37618478576663</v>
      </c>
      <c r="H42" s="14">
        <f t="shared" si="3"/>
        <v>83.435170037768771</v>
      </c>
    </row>
    <row r="43" spans="1:8" x14ac:dyDescent="0.35">
      <c r="A43" s="24" t="s">
        <v>120</v>
      </c>
      <c r="B43" s="24" t="s">
        <v>114</v>
      </c>
      <c r="C43" s="21">
        <v>12</v>
      </c>
      <c r="D43" s="25">
        <v>4.4800000000000004</v>
      </c>
      <c r="E43" s="26">
        <v>117.1</v>
      </c>
      <c r="F43" s="27">
        <f>INDEX('Efectos y supuestos'!$C$25:$C$37,MATCH(MIN(C43,13),'Efectos y supuestos'!$A$25:$A$37,0))</f>
        <v>1.1039907792601</v>
      </c>
      <c r="G43" s="6">
        <f t="shared" si="2"/>
        <v>129.27732025135771</v>
      </c>
      <c r="H43" s="14">
        <f t="shared" si="3"/>
        <v>54.554394726082563</v>
      </c>
    </row>
    <row r="44" spans="1:8" x14ac:dyDescent="0.35">
      <c r="A44" s="24" t="s">
        <v>121</v>
      </c>
      <c r="B44" s="24" t="s">
        <v>114</v>
      </c>
      <c r="C44" s="21">
        <v>10</v>
      </c>
      <c r="D44" s="25">
        <v>5.26</v>
      </c>
      <c r="E44" s="26">
        <v>107.9</v>
      </c>
      <c r="F44" s="27">
        <f>INDEX('Efectos y supuestos'!$C$25:$C$37,MATCH(MIN(C44,13),'Efectos y supuestos'!$A$25:$A$37,0))</f>
        <v>1.1358388189403399</v>
      </c>
      <c r="G44" s="6">
        <f t="shared" si="2"/>
        <v>122.55700856366268</v>
      </c>
      <c r="H44" s="14">
        <f t="shared" si="3"/>
        <v>77.095865044865647</v>
      </c>
    </row>
    <row r="45" spans="1:8" x14ac:dyDescent="0.35">
      <c r="A45" s="24" t="s">
        <v>122</v>
      </c>
      <c r="B45" s="24" t="s">
        <v>114</v>
      </c>
      <c r="C45" s="21">
        <v>10</v>
      </c>
      <c r="D45" s="25">
        <v>6.25</v>
      </c>
      <c r="E45" s="26">
        <v>86.9</v>
      </c>
      <c r="F45" s="27">
        <f>INDEX('Efectos y supuestos'!$C$25:$C$37,MATCH(MIN(C45,13),'Efectos y supuestos'!$A$25:$A$37,0))</f>
        <v>1.1358388189403399</v>
      </c>
      <c r="G45" s="6">
        <f t="shared" si="2"/>
        <v>98.70439336591555</v>
      </c>
      <c r="H45" s="14">
        <f t="shared" si="3"/>
        <v>73.777458536972148</v>
      </c>
    </row>
    <row r="46" spans="1:8" x14ac:dyDescent="0.35">
      <c r="A46" s="24" t="s">
        <v>123</v>
      </c>
      <c r="B46" s="24" t="s">
        <v>114</v>
      </c>
      <c r="C46" s="21">
        <v>10</v>
      </c>
      <c r="D46" s="25">
        <v>8.7799999999999994</v>
      </c>
      <c r="E46" s="26">
        <v>101.7</v>
      </c>
      <c r="F46" s="27">
        <f>INDEX('Efectos y supuestos'!$C$25:$C$37,MATCH(MIN(C46,13),'Efectos y supuestos'!$A$25:$A$37,0))</f>
        <v>1.1358388189403399</v>
      </c>
      <c r="G46" s="6">
        <f t="shared" si="2"/>
        <v>115.51480788623257</v>
      </c>
      <c r="H46" s="14">
        <f t="shared" si="3"/>
        <v>121.29401324112197</v>
      </c>
    </row>
    <row r="47" spans="1:8" x14ac:dyDescent="0.35">
      <c r="A47" s="24" t="s">
        <v>124</v>
      </c>
      <c r="B47" s="24" t="s">
        <v>114</v>
      </c>
      <c r="C47" s="21">
        <v>5</v>
      </c>
      <c r="D47" s="25">
        <v>6.72</v>
      </c>
      <c r="E47" s="26">
        <v>98.7</v>
      </c>
      <c r="F47" s="27">
        <f>INDEX('Efectos y supuestos'!$C$25:$C$37,MATCH(MIN(C47,13),'Efectos y supuestos'!$A$25:$A$37,0))</f>
        <v>1.04550954650188</v>
      </c>
      <c r="G47" s="6">
        <f t="shared" si="2"/>
        <v>103.19179223973556</v>
      </c>
      <c r="H47" s="14">
        <f t="shared" si="3"/>
        <v>30.184843851022961</v>
      </c>
    </row>
    <row r="48" spans="1:8" x14ac:dyDescent="0.35">
      <c r="A48" s="24" t="s">
        <v>125</v>
      </c>
      <c r="B48" s="24" t="s">
        <v>114</v>
      </c>
      <c r="C48" s="21">
        <v>7</v>
      </c>
      <c r="D48" s="25">
        <v>2.14</v>
      </c>
      <c r="E48" s="26">
        <v>83.4</v>
      </c>
      <c r="F48" s="27">
        <f>INDEX('Efectos y supuestos'!$C$25:$C$37,MATCH(MIN(C48,13),'Efectos y supuestos'!$A$25:$A$37,0))</f>
        <v>1.091057323323303</v>
      </c>
      <c r="G48" s="6">
        <f t="shared" si="2"/>
        <v>90.994180765163478</v>
      </c>
      <c r="H48" s="14">
        <f t="shared" si="3"/>
        <v>16.25154683744983</v>
      </c>
    </row>
    <row r="49" spans="1:8" x14ac:dyDescent="0.35">
      <c r="A49" s="24" t="s">
        <v>126</v>
      </c>
      <c r="B49" s="24" t="s">
        <v>114</v>
      </c>
      <c r="C49" s="21">
        <v>13</v>
      </c>
      <c r="D49" s="25">
        <v>5.66</v>
      </c>
      <c r="E49" s="26">
        <v>91.1</v>
      </c>
      <c r="F49" s="27">
        <f>INDEX('Efectos y supuestos'!$C$25:$C$37,MATCH(MIN(C49,13),'Efectos y supuestos'!$A$25:$A$37,0))</f>
        <v>1.1441737810819059</v>
      </c>
      <c r="G49" s="6">
        <f t="shared" si="2"/>
        <v>104.23423145656162</v>
      </c>
      <c r="H49" s="14">
        <f t="shared" si="3"/>
        <v>74.339750044138782</v>
      </c>
    </row>
    <row r="50" spans="1:8" x14ac:dyDescent="0.35">
      <c r="A50" s="24" t="s">
        <v>127</v>
      </c>
      <c r="B50" s="24" t="s">
        <v>114</v>
      </c>
      <c r="C50" s="21">
        <v>11</v>
      </c>
      <c r="D50" s="25">
        <v>18.57</v>
      </c>
      <c r="E50" s="26">
        <v>86.7</v>
      </c>
      <c r="F50" s="27">
        <f>INDEX('Efectos y supuestos'!$C$25:$C$37,MATCH(MIN(C50,13),'Efectos y supuestos'!$A$25:$A$37,0))</f>
        <v>1.1298276306490049</v>
      </c>
      <c r="G50" s="6">
        <f t="shared" si="2"/>
        <v>97.956055577268728</v>
      </c>
      <c r="H50" s="14">
        <f t="shared" si="3"/>
        <v>209.02495206988024</v>
      </c>
    </row>
    <row r="51" spans="1:8" x14ac:dyDescent="0.35">
      <c r="A51" s="24" t="s">
        <v>128</v>
      </c>
      <c r="B51" s="24" t="s">
        <v>114</v>
      </c>
      <c r="C51" s="21">
        <v>9</v>
      </c>
      <c r="D51" s="25">
        <v>14.64</v>
      </c>
      <c r="E51" s="26">
        <v>107.2</v>
      </c>
      <c r="F51" s="27">
        <f>INDEX('Efectos y supuestos'!$C$25:$C$37,MATCH(MIN(C51,13),'Efectos y supuestos'!$A$25:$A$37,0))</f>
        <v>1.114876720606238</v>
      </c>
      <c r="G51" s="6">
        <f t="shared" si="2"/>
        <v>119.51478444898872</v>
      </c>
      <c r="H51" s="14">
        <f t="shared" si="3"/>
        <v>180.28844433319483</v>
      </c>
    </row>
    <row r="52" spans="1:8" x14ac:dyDescent="0.35">
      <c r="A52" s="24" t="s">
        <v>129</v>
      </c>
      <c r="B52" s="24" t="s">
        <v>114</v>
      </c>
      <c r="C52" s="21">
        <v>8</v>
      </c>
      <c r="D52" s="25">
        <v>6.79</v>
      </c>
      <c r="E52" s="26">
        <v>84</v>
      </c>
      <c r="F52" s="27">
        <f>INDEX('Efectos y supuestos'!$C$25:$C$37,MATCH(MIN(C52,13),'Efectos y supuestos'!$A$25:$A$37,0))</f>
        <v>1.109635474216583</v>
      </c>
      <c r="G52" s="6">
        <f t="shared" si="2"/>
        <v>93.209379834192973</v>
      </c>
      <c r="H52" s="14">
        <f t="shared" si="3"/>
        <v>62.531689074170288</v>
      </c>
    </row>
    <row r="53" spans="1:8" x14ac:dyDescent="0.35">
      <c r="A53" s="24" t="s">
        <v>130</v>
      </c>
      <c r="B53" s="24" t="s">
        <v>114</v>
      </c>
      <c r="C53" s="21">
        <v>12</v>
      </c>
      <c r="D53" s="25">
        <v>10.98</v>
      </c>
      <c r="E53" s="26">
        <v>92.7</v>
      </c>
      <c r="F53" s="27">
        <f>INDEX('Efectos y supuestos'!$C$25:$C$37,MATCH(MIN(C53,13),'Efectos y supuestos'!$A$25:$A$37,0))</f>
        <v>1.1039907792601</v>
      </c>
      <c r="G53" s="6">
        <f t="shared" si="2"/>
        <v>102.33994523741127</v>
      </c>
      <c r="H53" s="14">
        <f t="shared" si="3"/>
        <v>105.84659870677574</v>
      </c>
    </row>
    <row r="54" spans="1:8" x14ac:dyDescent="0.35">
      <c r="A54" s="24" t="s">
        <v>131</v>
      </c>
      <c r="B54" s="24" t="s">
        <v>114</v>
      </c>
      <c r="C54" s="21">
        <v>8</v>
      </c>
      <c r="D54" s="25">
        <v>8.24</v>
      </c>
      <c r="E54" s="26">
        <v>97.9</v>
      </c>
      <c r="F54" s="27">
        <f>INDEX('Efectos y supuestos'!$C$25:$C$37,MATCH(MIN(C54,13),'Efectos y supuestos'!$A$25:$A$37,0))</f>
        <v>1.109635474216583</v>
      </c>
      <c r="G54" s="6">
        <f t="shared" si="2"/>
        <v>108.63331292580348</v>
      </c>
      <c r="H54" s="14">
        <f t="shared" si="3"/>
        <v>88.442498508620631</v>
      </c>
    </row>
    <row r="55" spans="1:8" x14ac:dyDescent="0.35">
      <c r="A55" s="24" t="s">
        <v>132</v>
      </c>
      <c r="B55" s="24" t="s">
        <v>114</v>
      </c>
      <c r="C55" s="21">
        <v>3</v>
      </c>
      <c r="D55" s="25">
        <v>4.96</v>
      </c>
      <c r="E55" s="26">
        <v>72.099999999999994</v>
      </c>
      <c r="F55" s="27">
        <f>INDEX('Efectos y supuestos'!$C$25:$C$37,MATCH(MIN(C55,13),'Efectos y supuestos'!$A$25:$A$37,0))</f>
        <v>0.96265952324244553</v>
      </c>
      <c r="G55" s="6">
        <f t="shared" si="2"/>
        <v>69.407751625780321</v>
      </c>
      <c r="H55" s="14">
        <f t="shared" si="3"/>
        <v>-13.353551936129579</v>
      </c>
    </row>
    <row r="56" spans="1:8" x14ac:dyDescent="0.35">
      <c r="A56" s="24" t="s">
        <v>133</v>
      </c>
      <c r="B56" s="24" t="s">
        <v>114</v>
      </c>
      <c r="C56" s="21">
        <v>10</v>
      </c>
      <c r="D56" s="25">
        <v>13.5</v>
      </c>
      <c r="E56" s="26">
        <v>93.3</v>
      </c>
      <c r="F56" s="27">
        <f>INDEX('Efectos y supuestos'!$C$25:$C$37,MATCH(MIN(C56,13),'Efectos y supuestos'!$A$25:$A$37,0))</f>
        <v>1.1358388189403399</v>
      </c>
      <c r="G56" s="6">
        <f t="shared" si="2"/>
        <v>105.97376180713371</v>
      </c>
      <c r="H56" s="14">
        <f t="shared" si="3"/>
        <v>171.09578439630516</v>
      </c>
    </row>
    <row r="57" spans="1:8" x14ac:dyDescent="0.35">
      <c r="A57" s="24" t="s">
        <v>134</v>
      </c>
      <c r="B57" s="24" t="s">
        <v>114</v>
      </c>
      <c r="C57" s="21">
        <v>2</v>
      </c>
      <c r="D57" s="25">
        <v>13.47</v>
      </c>
      <c r="E57" s="26">
        <v>100</v>
      </c>
      <c r="F57" s="27">
        <f>INDEX('Efectos y supuestos'!$C$25:$C$37,MATCH(MIN(C57,13),'Efectos y supuestos'!$A$25:$A$37,0))</f>
        <v>0.93711280084402016</v>
      </c>
      <c r="G57" s="6">
        <f t="shared" si="2"/>
        <v>93.71128008440202</v>
      </c>
      <c r="H57" s="14">
        <f t="shared" si="3"/>
        <v>-84.709057263104796</v>
      </c>
    </row>
    <row r="58" spans="1:8" x14ac:dyDescent="0.35">
      <c r="A58" s="24" t="s">
        <v>135</v>
      </c>
      <c r="B58" s="24" t="s">
        <v>114</v>
      </c>
      <c r="C58" s="21">
        <v>2</v>
      </c>
      <c r="D58" s="25">
        <v>8.9</v>
      </c>
      <c r="E58" s="26">
        <v>85.4</v>
      </c>
      <c r="F58" s="27">
        <f>INDEX('Efectos y supuestos'!$C$25:$C$37,MATCH(MIN(C58,13),'Efectos y supuestos'!$A$25:$A$37,0))</f>
        <v>0.93711280084402016</v>
      </c>
      <c r="G58" s="6">
        <f t="shared" si="2"/>
        <v>80.029433192079324</v>
      </c>
      <c r="H58" s="14">
        <f t="shared" si="3"/>
        <v>-47.798044590494065</v>
      </c>
    </row>
    <row r="59" spans="1:8" x14ac:dyDescent="0.35">
      <c r="A59" s="24" t="s">
        <v>136</v>
      </c>
      <c r="B59" s="24" t="s">
        <v>114</v>
      </c>
      <c r="C59" s="21">
        <v>2</v>
      </c>
      <c r="D59" s="25">
        <v>5.27</v>
      </c>
      <c r="E59" s="26">
        <v>78.099999999999994</v>
      </c>
      <c r="F59" s="27">
        <f>INDEX('Efectos y supuestos'!$C$25:$C$37,MATCH(MIN(C59,13),'Efectos y supuestos'!$A$25:$A$37,0))</f>
        <v>0.93711280084402016</v>
      </c>
      <c r="G59" s="6">
        <f t="shared" si="2"/>
        <v>73.188509745917969</v>
      </c>
      <c r="H59" s="14">
        <f t="shared" si="3"/>
        <v>-25.88355363901227</v>
      </c>
    </row>
    <row r="60" spans="1:8" x14ac:dyDescent="0.35">
      <c r="A60" s="24" t="s">
        <v>137</v>
      </c>
      <c r="B60" s="24" t="s">
        <v>114</v>
      </c>
      <c r="C60" s="21">
        <v>8</v>
      </c>
      <c r="D60" s="25">
        <v>9.1300000000000008</v>
      </c>
      <c r="E60" s="26">
        <v>93</v>
      </c>
      <c r="F60" s="27">
        <f>INDEX('Efectos y supuestos'!$C$25:$C$37,MATCH(MIN(C60,13),'Efectos y supuestos'!$A$25:$A$37,0))</f>
        <v>1.109635474216583</v>
      </c>
      <c r="G60" s="6">
        <f t="shared" si="2"/>
        <v>103.19609910214223</v>
      </c>
      <c r="H60" s="14">
        <f t="shared" si="3"/>
        <v>93.090384802558546</v>
      </c>
    </row>
    <row r="61" spans="1:8" x14ac:dyDescent="0.35">
      <c r="A61" s="24" t="s">
        <v>138</v>
      </c>
      <c r="B61" s="24" t="s">
        <v>114</v>
      </c>
      <c r="C61" s="21">
        <v>9</v>
      </c>
      <c r="D61" s="25">
        <v>10.29</v>
      </c>
      <c r="E61" s="26">
        <v>98.8</v>
      </c>
      <c r="F61" s="27">
        <f>INDEX('Efectos y supuestos'!$C$25:$C$37,MATCH(MIN(C61,13),'Efectos y supuestos'!$A$25:$A$37,0))</f>
        <v>1.114876720606238</v>
      </c>
      <c r="G61" s="6">
        <f t="shared" si="2"/>
        <v>110.14981999589631</v>
      </c>
      <c r="H61" s="14">
        <f t="shared" si="3"/>
        <v>116.78964775777304</v>
      </c>
    </row>
    <row r="62" spans="1:8" x14ac:dyDescent="0.35">
      <c r="A62" s="24" t="s">
        <v>139</v>
      </c>
      <c r="B62" s="24" t="s">
        <v>114</v>
      </c>
      <c r="C62" s="21">
        <v>8</v>
      </c>
      <c r="D62" s="25">
        <v>8.91</v>
      </c>
      <c r="E62" s="26">
        <v>94</v>
      </c>
      <c r="F62" s="27">
        <f>INDEX('Efectos y supuestos'!$C$25:$C$37,MATCH(MIN(C62,13),'Efectos y supuestos'!$A$25:$A$37,0))</f>
        <v>1.109635474216583</v>
      </c>
      <c r="G62" s="6">
        <f t="shared" si="2"/>
        <v>104.3057345763588</v>
      </c>
      <c r="H62" s="14">
        <f t="shared" si="3"/>
        <v>91.824095075356922</v>
      </c>
    </row>
    <row r="63" spans="1:8" x14ac:dyDescent="0.35">
      <c r="A63" s="24" t="s">
        <v>140</v>
      </c>
      <c r="B63" s="24" t="s">
        <v>114</v>
      </c>
      <c r="C63" s="21">
        <v>7</v>
      </c>
      <c r="D63" s="25">
        <v>16.649999999999999</v>
      </c>
      <c r="E63" s="26">
        <v>80.099999999999994</v>
      </c>
      <c r="F63" s="27">
        <f>INDEX('Efectos y supuestos'!$C$25:$C$37,MATCH(MIN(C63,13),'Efectos y supuestos'!$A$25:$A$37,0))</f>
        <v>1.091057323323303</v>
      </c>
      <c r="G63" s="6">
        <f t="shared" si="2"/>
        <v>87.393691598196554</v>
      </c>
      <c r="H63" s="14">
        <f t="shared" si="3"/>
        <v>121.4399651099727</v>
      </c>
    </row>
    <row r="64" spans="1:8" x14ac:dyDescent="0.35">
      <c r="A64" s="24" t="s">
        <v>141</v>
      </c>
      <c r="B64" s="24" t="s">
        <v>114</v>
      </c>
      <c r="C64" s="21">
        <v>6</v>
      </c>
      <c r="D64" s="25">
        <v>4.45</v>
      </c>
      <c r="E64" s="26">
        <v>61.4</v>
      </c>
      <c r="F64" s="27">
        <f>INDEX('Efectos y supuestos'!$C$25:$C$37,MATCH(MIN(C64,13),'Efectos y supuestos'!$A$25:$A$37,0))</f>
        <v>1.066187711439911</v>
      </c>
      <c r="G64" s="6">
        <f t="shared" si="2"/>
        <v>65.463925482410531</v>
      </c>
      <c r="H64" s="14">
        <f t="shared" si="3"/>
        <v>18.084468396726869</v>
      </c>
    </row>
    <row r="65" spans="1:8" x14ac:dyDescent="0.35">
      <c r="A65" s="24" t="s">
        <v>142</v>
      </c>
      <c r="B65" s="24" t="s">
        <v>114</v>
      </c>
      <c r="C65" s="21">
        <v>10</v>
      </c>
      <c r="D65" s="25">
        <v>5.24</v>
      </c>
      <c r="E65" s="26">
        <v>85</v>
      </c>
      <c r="F65" s="27">
        <f>INDEX('Efectos y supuestos'!$C$25:$C$37,MATCH(MIN(C65,13),'Efectos y supuestos'!$A$25:$A$37,0))</f>
        <v>1.1358388189403399</v>
      </c>
      <c r="G65" s="6">
        <f t="shared" si="2"/>
        <v>96.546299609928894</v>
      </c>
      <c r="H65" s="14">
        <f t="shared" si="3"/>
        <v>60.502609956027406</v>
      </c>
    </row>
    <row r="66" spans="1:8" x14ac:dyDescent="0.35">
      <c r="A66" s="24" t="s">
        <v>143</v>
      </c>
      <c r="B66" s="24" t="s">
        <v>114</v>
      </c>
      <c r="C66" s="21">
        <v>7</v>
      </c>
      <c r="D66" s="25">
        <v>7.61</v>
      </c>
      <c r="E66" s="26">
        <v>102.6</v>
      </c>
      <c r="F66" s="27">
        <f>INDEX('Efectos y supuestos'!$C$25:$C$37,MATCH(MIN(C66,13),'Efectos y supuestos'!$A$25:$A$37,0))</f>
        <v>1.091057323323303</v>
      </c>
      <c r="G66" s="6">
        <f t="shared" si="2"/>
        <v>111.94248137297087</v>
      </c>
      <c r="H66" s="14">
        <f t="shared" si="3"/>
        <v>71.096283248308396</v>
      </c>
    </row>
    <row r="67" spans="1:8" x14ac:dyDescent="0.35">
      <c r="A67" s="24" t="s">
        <v>144</v>
      </c>
      <c r="B67" s="24" t="s">
        <v>114</v>
      </c>
      <c r="C67" s="21">
        <v>7</v>
      </c>
      <c r="D67" s="25">
        <v>15.21</v>
      </c>
      <c r="E67" s="26">
        <v>96.7</v>
      </c>
      <c r="F67" s="27">
        <f>INDEX('Efectos y supuestos'!$C$25:$C$37,MATCH(MIN(C67,13),'Efectos y supuestos'!$A$25:$A$37,0))</f>
        <v>1.091057323323303</v>
      </c>
      <c r="G67" s="6">
        <f t="shared" si="2"/>
        <v>105.5052431653634</v>
      </c>
      <c r="H67" s="14">
        <f t="shared" si="3"/>
        <v>133.92774854517722</v>
      </c>
    </row>
    <row r="68" spans="1:8" x14ac:dyDescent="0.35">
      <c r="A68" s="24" t="s">
        <v>145</v>
      </c>
      <c r="B68" s="24" t="s">
        <v>114</v>
      </c>
      <c r="C68" s="21">
        <v>11</v>
      </c>
      <c r="D68" s="25">
        <v>2.11</v>
      </c>
      <c r="E68" s="26">
        <v>106.7</v>
      </c>
      <c r="F68" s="27">
        <f>INDEX('Efectos y supuestos'!$C$25:$C$37,MATCH(MIN(C68,13),'Efectos y supuestos'!$A$25:$A$37,0))</f>
        <v>1.1298276306490049</v>
      </c>
      <c r="G68" s="6">
        <f t="shared" si="2"/>
        <v>120.55260819024883</v>
      </c>
      <c r="H68" s="14">
        <f t="shared" si="3"/>
        <v>29.22900328142503</v>
      </c>
    </row>
    <row r="69" spans="1:8" x14ac:dyDescent="0.35">
      <c r="A69" s="24" t="s">
        <v>146</v>
      </c>
      <c r="B69" s="24" t="s">
        <v>114</v>
      </c>
      <c r="C69" s="21">
        <v>7</v>
      </c>
      <c r="D69" s="25">
        <v>6.58</v>
      </c>
      <c r="E69" s="26">
        <v>92.9</v>
      </c>
      <c r="F69" s="27">
        <f>INDEX('Efectos y supuestos'!$C$25:$C$37,MATCH(MIN(C69,13),'Efectos y supuestos'!$A$25:$A$37,0))</f>
        <v>1.091057323323303</v>
      </c>
      <c r="G69" s="6">
        <f t="shared" ref="G69:G100" si="4">E69*F69</f>
        <v>101.35922533673485</v>
      </c>
      <c r="H69" s="14">
        <f t="shared" ref="H69:H100" si="5">(G69-E69)*D69</f>
        <v>55.661702715715286</v>
      </c>
    </row>
    <row r="70" spans="1:8" x14ac:dyDescent="0.35">
      <c r="A70" s="24" t="s">
        <v>147</v>
      </c>
      <c r="B70" s="24" t="s">
        <v>114</v>
      </c>
      <c r="C70" s="21">
        <v>2</v>
      </c>
      <c r="D70" s="25">
        <v>16.82</v>
      </c>
      <c r="E70" s="26">
        <v>111.2</v>
      </c>
      <c r="F70" s="27">
        <f>INDEX('Efectos y supuestos'!$C$25:$C$37,MATCH(MIN(C70,13),'Efectos y supuestos'!$A$25:$A$37,0))</f>
        <v>0.93711280084402016</v>
      </c>
      <c r="G70" s="6">
        <f t="shared" si="4"/>
        <v>104.20694345385505</v>
      </c>
      <c r="H70" s="14">
        <f t="shared" si="5"/>
        <v>-117.62321110615817</v>
      </c>
    </row>
    <row r="71" spans="1:8" x14ac:dyDescent="0.35">
      <c r="A71" s="24" t="s">
        <v>148</v>
      </c>
      <c r="B71" s="24" t="s">
        <v>114</v>
      </c>
      <c r="C71" s="21">
        <v>2</v>
      </c>
      <c r="D71" s="25">
        <v>10.45</v>
      </c>
      <c r="E71" s="26">
        <v>131</v>
      </c>
      <c r="F71" s="27">
        <f>INDEX('Efectos y supuestos'!$C$25:$C$37,MATCH(MIN(C71,13),'Efectos y supuestos'!$A$25:$A$37,0))</f>
        <v>0.93711280084402016</v>
      </c>
      <c r="G71" s="6">
        <f t="shared" si="4"/>
        <v>122.76177691056664</v>
      </c>
      <c r="H71" s="14">
        <f t="shared" si="5"/>
        <v>-86.089431284578623</v>
      </c>
    </row>
    <row r="72" spans="1:8" x14ac:dyDescent="0.35">
      <c r="A72" s="24" t="s">
        <v>149</v>
      </c>
      <c r="B72" s="24" t="s">
        <v>114</v>
      </c>
      <c r="C72" s="21">
        <v>10</v>
      </c>
      <c r="D72" s="25">
        <v>15.08</v>
      </c>
      <c r="E72" s="26">
        <v>112.6</v>
      </c>
      <c r="F72" s="27">
        <f>INDEX('Efectos y supuestos'!$C$25:$C$37,MATCH(MIN(C72,13),'Efectos y supuestos'!$A$25:$A$37,0))</f>
        <v>1.1358388189403399</v>
      </c>
      <c r="G72" s="6">
        <f t="shared" si="4"/>
        <v>127.89545101268226</v>
      </c>
      <c r="H72" s="14">
        <f t="shared" si="5"/>
        <v>230.65540127124854</v>
      </c>
    </row>
    <row r="73" spans="1:8" x14ac:dyDescent="0.35">
      <c r="A73" s="24" t="s">
        <v>150</v>
      </c>
      <c r="B73" s="24" t="s">
        <v>114</v>
      </c>
      <c r="C73" s="21">
        <v>5</v>
      </c>
      <c r="D73" s="25">
        <v>15.3</v>
      </c>
      <c r="E73" s="26">
        <v>120.2</v>
      </c>
      <c r="F73" s="27">
        <f>INDEX('Efectos y supuestos'!$C$25:$C$37,MATCH(MIN(C73,13),'Efectos y supuestos'!$A$25:$A$37,0))</f>
        <v>1.04550954650188</v>
      </c>
      <c r="G73" s="6">
        <f t="shared" si="4"/>
        <v>125.67024748952598</v>
      </c>
      <c r="H73" s="14">
        <f t="shared" si="5"/>
        <v>83.694786589747409</v>
      </c>
    </row>
    <row r="74" spans="1:8" x14ac:dyDescent="0.35">
      <c r="A74" s="24" t="s">
        <v>151</v>
      </c>
      <c r="B74" s="24" t="s">
        <v>114</v>
      </c>
      <c r="C74" s="21">
        <v>5</v>
      </c>
      <c r="D74" s="25">
        <v>5.82</v>
      </c>
      <c r="E74" s="26">
        <v>78.599999999999994</v>
      </c>
      <c r="F74" s="27">
        <f>INDEX('Efectos y supuestos'!$C$25:$C$37,MATCH(MIN(C74,13),'Efectos y supuestos'!$A$25:$A$37,0))</f>
        <v>1.04550954650188</v>
      </c>
      <c r="G74" s="6">
        <f t="shared" si="4"/>
        <v>82.177050355047768</v>
      </c>
      <c r="H74" s="14">
        <f t="shared" si="5"/>
        <v>20.818433066378045</v>
      </c>
    </row>
    <row r="75" spans="1:8" x14ac:dyDescent="0.35">
      <c r="A75" s="8" t="s">
        <v>152</v>
      </c>
      <c r="B75" s="9"/>
      <c r="C75" s="9"/>
      <c r="D75" s="10">
        <f>SUM(D5:D74)</f>
        <v>635.70000000000039</v>
      </c>
      <c r="E75" s="9"/>
      <c r="F75" s="9"/>
      <c r="G75" s="9"/>
      <c r="H75" s="10">
        <f>SUM(H5:H74)</f>
        <v>5788.3724493509462</v>
      </c>
    </row>
    <row r="77" spans="1:8" x14ac:dyDescent="0.35">
      <c r="A77" s="20" t="s">
        <v>153</v>
      </c>
    </row>
    <row r="78" spans="1:8" x14ac:dyDescent="0.35">
      <c r="A78" s="4" t="s">
        <v>154</v>
      </c>
      <c r="D78" s="7">
        <v>605.68999999999994</v>
      </c>
    </row>
    <row r="79" spans="1:8" x14ac:dyDescent="0.35">
      <c r="A79" s="4" t="s">
        <v>155</v>
      </c>
      <c r="D79" s="6">
        <f>SUM(H5:H36)/SUM(D5:D36)</f>
        <v>11.28179427775579</v>
      </c>
    </row>
    <row r="80" spans="1:8" x14ac:dyDescent="0.35">
      <c r="A80" s="20" t="s">
        <v>156</v>
      </c>
      <c r="D80" s="28">
        <f>D78*D79</f>
        <v>6833.2699760939031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10" customWidth="1"/>
    <col min="2" max="2" width="11" customWidth="1"/>
    <col min="3" max="3" width="30" customWidth="1"/>
    <col min="4" max="4" width="18" customWidth="1"/>
    <col min="5" max="5" width="9" customWidth="1"/>
    <col min="6" max="7" width="8" customWidth="1"/>
    <col min="8" max="8" width="11" customWidth="1"/>
  </cols>
  <sheetData>
    <row r="1" spans="1:8" ht="18" x14ac:dyDescent="0.4">
      <c r="A1" s="1" t="s">
        <v>157</v>
      </c>
    </row>
    <row r="2" spans="1:8" x14ac:dyDescent="0.35">
      <c r="A2" s="2" t="s">
        <v>158</v>
      </c>
    </row>
    <row r="4" spans="1:8" ht="40" customHeight="1" x14ac:dyDescent="0.35">
      <c r="A4" s="3" t="s">
        <v>73</v>
      </c>
      <c r="B4" s="3" t="s">
        <v>159</v>
      </c>
      <c r="C4" s="3" t="s">
        <v>160</v>
      </c>
      <c r="D4" s="3" t="s">
        <v>161</v>
      </c>
      <c r="E4" s="3" t="s">
        <v>75</v>
      </c>
      <c r="F4" s="3" t="s">
        <v>162</v>
      </c>
      <c r="G4" s="3" t="s">
        <v>163</v>
      </c>
      <c r="H4" s="3" t="s">
        <v>79</v>
      </c>
    </row>
    <row r="5" spans="1:8" x14ac:dyDescent="0.35">
      <c r="A5" s="20" t="s">
        <v>164</v>
      </c>
    </row>
    <row r="6" spans="1:8" x14ac:dyDescent="0.35">
      <c r="A6" s="24" t="s">
        <v>165</v>
      </c>
      <c r="B6" s="29">
        <v>45961</v>
      </c>
      <c r="C6" s="24" t="s">
        <v>166</v>
      </c>
      <c r="D6" s="24" t="s">
        <v>167</v>
      </c>
      <c r="E6" s="25">
        <v>2.62</v>
      </c>
      <c r="F6" s="26">
        <v>69</v>
      </c>
      <c r="G6" s="30">
        <f>IF(OR(D6="TARDIO",D6="PENDIENTE (TARDÍO)"),'Efectos y supuestos'!$B$8,0)</f>
        <v>0</v>
      </c>
      <c r="H6" s="14">
        <f t="shared" ref="H6:H69" si="0">-G6*F6*E6</f>
        <v>0</v>
      </c>
    </row>
    <row r="7" spans="1:8" x14ac:dyDescent="0.35">
      <c r="A7" s="24" t="s">
        <v>168</v>
      </c>
      <c r="B7" s="29">
        <v>45847</v>
      </c>
      <c r="C7" s="24" t="s">
        <v>169</v>
      </c>
      <c r="D7" s="24" t="s">
        <v>167</v>
      </c>
      <c r="E7" s="25">
        <v>6.91</v>
      </c>
      <c r="F7" s="26">
        <v>102.82344428364689</v>
      </c>
      <c r="G7" s="30">
        <f>IF(OR(D7="TARDIO",D7="PENDIENTE (TARDÍO)"),'Efectos y supuestos'!$B$8,0)</f>
        <v>0</v>
      </c>
      <c r="H7" s="14">
        <f t="shared" si="0"/>
        <v>0</v>
      </c>
    </row>
    <row r="8" spans="1:8" x14ac:dyDescent="0.35">
      <c r="A8" s="24" t="s">
        <v>170</v>
      </c>
      <c r="B8" s="29">
        <v>45957</v>
      </c>
      <c r="C8" s="24" t="s">
        <v>166</v>
      </c>
      <c r="D8" s="24" t="s">
        <v>167</v>
      </c>
      <c r="E8" s="25">
        <v>3.18</v>
      </c>
      <c r="F8" s="26">
        <v>95.3</v>
      </c>
      <c r="G8" s="30">
        <f>IF(OR(D8="TARDIO",D8="PENDIENTE (TARDÍO)"),'Efectos y supuestos'!$B$8,0)</f>
        <v>0</v>
      </c>
      <c r="H8" s="14">
        <f t="shared" si="0"/>
        <v>0</v>
      </c>
    </row>
    <row r="9" spans="1:8" x14ac:dyDescent="0.35">
      <c r="A9" s="24" t="s">
        <v>171</v>
      </c>
      <c r="B9" s="29">
        <v>45958</v>
      </c>
      <c r="C9" s="24" t="s">
        <v>166</v>
      </c>
      <c r="D9" s="24" t="s">
        <v>167</v>
      </c>
      <c r="E9" s="25">
        <v>2.1800000000000002</v>
      </c>
      <c r="F9" s="26">
        <v>115.2</v>
      </c>
      <c r="G9" s="30">
        <f>IF(OR(D9="TARDIO",D9="PENDIENTE (TARDÍO)"),'Efectos y supuestos'!$B$8,0)</f>
        <v>0</v>
      </c>
      <c r="H9" s="14">
        <f t="shared" si="0"/>
        <v>0</v>
      </c>
    </row>
    <row r="10" spans="1:8" x14ac:dyDescent="0.35">
      <c r="A10" s="24" t="s">
        <v>172</v>
      </c>
      <c r="B10" s="29">
        <v>45812</v>
      </c>
      <c r="C10" s="24" t="s">
        <v>169</v>
      </c>
      <c r="D10" s="24" t="s">
        <v>167</v>
      </c>
      <c r="E10" s="25">
        <v>6.59</v>
      </c>
      <c r="F10" s="26">
        <v>104.40971168437029</v>
      </c>
      <c r="G10" s="30">
        <f>IF(OR(D10="TARDIO",D10="PENDIENTE (TARDÍO)"),'Efectos y supuestos'!$B$8,0)</f>
        <v>0</v>
      </c>
      <c r="H10" s="14">
        <f t="shared" si="0"/>
        <v>0</v>
      </c>
    </row>
    <row r="11" spans="1:8" x14ac:dyDescent="0.35">
      <c r="A11" s="24" t="s">
        <v>173</v>
      </c>
      <c r="B11" s="29">
        <v>45715</v>
      </c>
      <c r="C11" s="24" t="s">
        <v>169</v>
      </c>
      <c r="D11" s="24" t="s">
        <v>167</v>
      </c>
      <c r="E11" s="25">
        <v>10.65</v>
      </c>
      <c r="F11" s="26">
        <v>155.12018779342719</v>
      </c>
      <c r="G11" s="30">
        <f>IF(OR(D11="TARDIO",D11="PENDIENTE (TARDÍO)"),'Efectos y supuestos'!$B$8,0)</f>
        <v>0</v>
      </c>
      <c r="H11" s="14">
        <f t="shared" si="0"/>
        <v>0</v>
      </c>
    </row>
    <row r="12" spans="1:8" x14ac:dyDescent="0.35">
      <c r="A12" s="24" t="s">
        <v>174</v>
      </c>
      <c r="B12" s="29">
        <v>45843</v>
      </c>
      <c r="C12" s="24" t="s">
        <v>169</v>
      </c>
      <c r="D12" s="24" t="s">
        <v>167</v>
      </c>
      <c r="E12" s="25">
        <v>10.57</v>
      </c>
      <c r="F12" s="26">
        <v>107.79848628193</v>
      </c>
      <c r="G12" s="30">
        <f>IF(OR(D12="TARDIO",D12="PENDIENTE (TARDÍO)"),'Efectos y supuestos'!$B$8,0)</f>
        <v>0</v>
      </c>
      <c r="H12" s="14">
        <f t="shared" si="0"/>
        <v>0</v>
      </c>
    </row>
    <row r="13" spans="1:8" x14ac:dyDescent="0.35">
      <c r="A13" s="24" t="s">
        <v>82</v>
      </c>
      <c r="B13" s="29">
        <v>45850</v>
      </c>
      <c r="C13" s="24" t="s">
        <v>169</v>
      </c>
      <c r="D13" s="24" t="s">
        <v>167</v>
      </c>
      <c r="E13" s="25">
        <v>19.25</v>
      </c>
      <c r="F13" s="26">
        <v>110.8088311688312</v>
      </c>
      <c r="G13" s="30">
        <f>IF(OR(D13="TARDIO",D13="PENDIENTE (TARDÍO)"),'Efectos y supuestos'!$B$8,0)</f>
        <v>0</v>
      </c>
      <c r="H13" s="14">
        <f t="shared" si="0"/>
        <v>0</v>
      </c>
    </row>
    <row r="14" spans="1:8" x14ac:dyDescent="0.35">
      <c r="A14" s="24" t="s">
        <v>175</v>
      </c>
      <c r="B14" s="29">
        <v>45877</v>
      </c>
      <c r="C14" s="24" t="s">
        <v>169</v>
      </c>
      <c r="D14" s="24" t="s">
        <v>167</v>
      </c>
      <c r="E14" s="25">
        <v>4.43</v>
      </c>
      <c r="F14" s="26">
        <v>104.9097065462754</v>
      </c>
      <c r="G14" s="30">
        <f>IF(OR(D14="TARDIO",D14="PENDIENTE (TARDÍO)"),'Efectos y supuestos'!$B$8,0)</f>
        <v>0</v>
      </c>
      <c r="H14" s="14">
        <f t="shared" si="0"/>
        <v>0</v>
      </c>
    </row>
    <row r="15" spans="1:8" x14ac:dyDescent="0.35">
      <c r="A15" s="24" t="s">
        <v>176</v>
      </c>
      <c r="B15" s="29">
        <v>45828</v>
      </c>
      <c r="C15" s="24" t="s">
        <v>169</v>
      </c>
      <c r="D15" s="24" t="s">
        <v>167</v>
      </c>
      <c r="E15" s="25">
        <v>7.97</v>
      </c>
      <c r="F15" s="26">
        <v>91.974905897114184</v>
      </c>
      <c r="G15" s="30">
        <f>IF(OR(D15="TARDIO",D15="PENDIENTE (TARDÍO)"),'Efectos y supuestos'!$B$8,0)</f>
        <v>0</v>
      </c>
      <c r="H15" s="14">
        <f t="shared" si="0"/>
        <v>0</v>
      </c>
    </row>
    <row r="16" spans="1:8" x14ac:dyDescent="0.35">
      <c r="A16" s="24" t="s">
        <v>177</v>
      </c>
      <c r="B16" s="29">
        <v>45765</v>
      </c>
      <c r="C16" s="24" t="s">
        <v>169</v>
      </c>
      <c r="D16" s="24" t="s">
        <v>167</v>
      </c>
      <c r="E16" s="25">
        <v>5.56</v>
      </c>
      <c r="F16" s="26">
        <v>139.73741007194249</v>
      </c>
      <c r="G16" s="30">
        <f>IF(OR(D16="TARDIO",D16="PENDIENTE (TARDÍO)"),'Efectos y supuestos'!$B$8,0)</f>
        <v>0</v>
      </c>
      <c r="H16" s="14">
        <f t="shared" si="0"/>
        <v>0</v>
      </c>
    </row>
    <row r="17" spans="1:8" x14ac:dyDescent="0.35">
      <c r="A17" s="24" t="s">
        <v>178</v>
      </c>
      <c r="B17" s="29">
        <v>45960</v>
      </c>
      <c r="C17" s="24" t="s">
        <v>166</v>
      </c>
      <c r="D17" s="24" t="s">
        <v>167</v>
      </c>
      <c r="E17" s="25">
        <v>9.14</v>
      </c>
      <c r="F17" s="26">
        <v>106.7</v>
      </c>
      <c r="G17" s="30">
        <f>IF(OR(D17="TARDIO",D17="PENDIENTE (TARDÍO)"),'Efectos y supuestos'!$B$8,0)</f>
        <v>0</v>
      </c>
      <c r="H17" s="14">
        <f t="shared" si="0"/>
        <v>0</v>
      </c>
    </row>
    <row r="18" spans="1:8" x14ac:dyDescent="0.35">
      <c r="A18" s="24" t="s">
        <v>179</v>
      </c>
      <c r="B18" s="29">
        <v>45853</v>
      </c>
      <c r="C18" s="24" t="s">
        <v>169</v>
      </c>
      <c r="D18" s="24" t="s">
        <v>167</v>
      </c>
      <c r="E18" s="25">
        <v>5.18</v>
      </c>
      <c r="F18" s="26">
        <v>76.181467181467184</v>
      </c>
      <c r="G18" s="30">
        <f>IF(OR(D18="TARDIO",D18="PENDIENTE (TARDÍO)"),'Efectos y supuestos'!$B$8,0)</f>
        <v>0</v>
      </c>
      <c r="H18" s="14">
        <f t="shared" si="0"/>
        <v>0</v>
      </c>
    </row>
    <row r="19" spans="1:8" x14ac:dyDescent="0.35">
      <c r="A19" s="24" t="s">
        <v>180</v>
      </c>
      <c r="B19" s="29">
        <v>45764</v>
      </c>
      <c r="C19" s="24" t="s">
        <v>169</v>
      </c>
      <c r="D19" s="24" t="s">
        <v>167</v>
      </c>
      <c r="E19" s="25">
        <v>9.1999999999999993</v>
      </c>
      <c r="F19" s="26">
        <v>113.3902173913044</v>
      </c>
      <c r="G19" s="30">
        <f>IF(OR(D19="TARDIO",D19="PENDIENTE (TARDÍO)"),'Efectos y supuestos'!$B$8,0)</f>
        <v>0</v>
      </c>
      <c r="H19" s="14">
        <f t="shared" si="0"/>
        <v>0</v>
      </c>
    </row>
    <row r="20" spans="1:8" x14ac:dyDescent="0.35">
      <c r="A20" s="24" t="s">
        <v>181</v>
      </c>
      <c r="B20" s="29">
        <v>45872</v>
      </c>
      <c r="C20" s="24" t="s">
        <v>169</v>
      </c>
      <c r="D20" s="24" t="s">
        <v>167</v>
      </c>
      <c r="E20" s="25">
        <v>4.6500000000000004</v>
      </c>
      <c r="F20" s="26">
        <v>87.683870967741939</v>
      </c>
      <c r="G20" s="30">
        <f>IF(OR(D20="TARDIO",D20="PENDIENTE (TARDÍO)"),'Efectos y supuestos'!$B$8,0)</f>
        <v>0</v>
      </c>
      <c r="H20" s="14">
        <f t="shared" si="0"/>
        <v>0</v>
      </c>
    </row>
    <row r="21" spans="1:8" x14ac:dyDescent="0.35">
      <c r="A21" s="24" t="s">
        <v>182</v>
      </c>
      <c r="B21" s="29">
        <v>45629</v>
      </c>
      <c r="C21" s="24" t="s">
        <v>169</v>
      </c>
      <c r="D21" s="24" t="s">
        <v>167</v>
      </c>
      <c r="E21" s="25">
        <v>14.11</v>
      </c>
      <c r="F21" s="26">
        <v>117.0439404677534</v>
      </c>
      <c r="G21" s="30">
        <f>IF(OR(D21="TARDIO",D21="PENDIENTE (TARDÍO)"),'Efectos y supuestos'!$B$8,0)</f>
        <v>0</v>
      </c>
      <c r="H21" s="14">
        <f t="shared" si="0"/>
        <v>0</v>
      </c>
    </row>
    <row r="22" spans="1:8" x14ac:dyDescent="0.35">
      <c r="A22" s="24" t="s">
        <v>183</v>
      </c>
      <c r="B22" s="29">
        <v>45574</v>
      </c>
      <c r="C22" s="24" t="s">
        <v>169</v>
      </c>
      <c r="D22" s="24" t="s">
        <v>167</v>
      </c>
      <c r="E22" s="25">
        <v>5.72</v>
      </c>
      <c r="F22" s="26">
        <v>116.8024475524476</v>
      </c>
      <c r="G22" s="30">
        <f>IF(OR(D22="TARDIO",D22="PENDIENTE (TARDÍO)"),'Efectos y supuestos'!$B$8,0)</f>
        <v>0</v>
      </c>
      <c r="H22" s="14">
        <f t="shared" si="0"/>
        <v>0</v>
      </c>
    </row>
    <row r="23" spans="1:8" x14ac:dyDescent="0.35">
      <c r="A23" s="24" t="s">
        <v>184</v>
      </c>
      <c r="B23" s="29">
        <v>45572</v>
      </c>
      <c r="C23" s="24" t="s">
        <v>169</v>
      </c>
      <c r="D23" s="24" t="s">
        <v>167</v>
      </c>
      <c r="E23" s="25">
        <v>5.51</v>
      </c>
      <c r="F23" s="26">
        <v>88.235934664246827</v>
      </c>
      <c r="G23" s="30">
        <f>IF(OR(D23="TARDIO",D23="PENDIENTE (TARDÍO)"),'Efectos y supuestos'!$B$8,0)</f>
        <v>0</v>
      </c>
      <c r="H23" s="14">
        <f t="shared" si="0"/>
        <v>0</v>
      </c>
    </row>
    <row r="24" spans="1:8" x14ac:dyDescent="0.35">
      <c r="A24" s="24" t="s">
        <v>185</v>
      </c>
      <c r="B24" s="29">
        <v>45572</v>
      </c>
      <c r="C24" s="24" t="s">
        <v>169</v>
      </c>
      <c r="D24" s="24" t="s">
        <v>167</v>
      </c>
      <c r="E24" s="25">
        <v>5.81</v>
      </c>
      <c r="F24" s="26">
        <v>104.4130808950086</v>
      </c>
      <c r="G24" s="30">
        <f>IF(OR(D24="TARDIO",D24="PENDIENTE (TARDÍO)"),'Efectos y supuestos'!$B$8,0)</f>
        <v>0</v>
      </c>
      <c r="H24" s="14">
        <f t="shared" si="0"/>
        <v>0</v>
      </c>
    </row>
    <row r="25" spans="1:8" x14ac:dyDescent="0.35">
      <c r="A25" s="24" t="s">
        <v>186</v>
      </c>
      <c r="B25" s="29">
        <v>45527</v>
      </c>
      <c r="C25" s="24" t="s">
        <v>169</v>
      </c>
      <c r="D25" s="24" t="s">
        <v>167</v>
      </c>
      <c r="E25" s="25">
        <v>20.170000000000002</v>
      </c>
      <c r="F25" s="26">
        <v>140.50470996529501</v>
      </c>
      <c r="G25" s="30">
        <f>IF(OR(D25="TARDIO",D25="PENDIENTE (TARDÍO)"),'Efectos y supuestos'!$B$8,0)</f>
        <v>0</v>
      </c>
      <c r="H25" s="14">
        <f t="shared" si="0"/>
        <v>0</v>
      </c>
    </row>
    <row r="26" spans="1:8" x14ac:dyDescent="0.35">
      <c r="A26" s="24" t="s">
        <v>83</v>
      </c>
      <c r="B26" s="29">
        <v>45888</v>
      </c>
      <c r="C26" s="24" t="s">
        <v>169</v>
      </c>
      <c r="D26" s="24" t="s">
        <v>167</v>
      </c>
      <c r="E26" s="25">
        <v>14.42</v>
      </c>
      <c r="F26" s="26">
        <v>110.0894590846047</v>
      </c>
      <c r="G26" s="30">
        <f>IF(OR(D26="TARDIO",D26="PENDIENTE (TARDÍO)"),'Efectos y supuestos'!$B$8,0)</f>
        <v>0</v>
      </c>
      <c r="H26" s="14">
        <f t="shared" si="0"/>
        <v>0</v>
      </c>
    </row>
    <row r="27" spans="1:8" x14ac:dyDescent="0.35">
      <c r="A27" s="24" t="s">
        <v>84</v>
      </c>
      <c r="B27" s="29">
        <v>45894</v>
      </c>
      <c r="C27" s="24" t="s">
        <v>169</v>
      </c>
      <c r="D27" s="24" t="s">
        <v>167</v>
      </c>
      <c r="E27" s="25">
        <v>3.72</v>
      </c>
      <c r="F27" s="26">
        <v>102.760752688172</v>
      </c>
      <c r="G27" s="30">
        <f>IF(OR(D27="TARDIO",D27="PENDIENTE (TARDÍO)"),'Efectos y supuestos'!$B$8,0)</f>
        <v>0</v>
      </c>
      <c r="H27" s="14">
        <f t="shared" si="0"/>
        <v>0</v>
      </c>
    </row>
    <row r="28" spans="1:8" x14ac:dyDescent="0.35">
      <c r="A28" s="24" t="s">
        <v>187</v>
      </c>
      <c r="B28" s="29">
        <v>45840</v>
      </c>
      <c r="C28" s="24" t="s">
        <v>169</v>
      </c>
      <c r="D28" s="24" t="s">
        <v>167</v>
      </c>
      <c r="E28" s="25">
        <v>8.9700000000000006</v>
      </c>
      <c r="F28" s="26">
        <v>94.265328874024519</v>
      </c>
      <c r="G28" s="30">
        <f>IF(OR(D28="TARDIO",D28="PENDIENTE (TARDÍO)"),'Efectos y supuestos'!$B$8,0)</f>
        <v>0</v>
      </c>
      <c r="H28" s="14">
        <f t="shared" si="0"/>
        <v>0</v>
      </c>
    </row>
    <row r="29" spans="1:8" x14ac:dyDescent="0.35">
      <c r="A29" s="24" t="s">
        <v>187</v>
      </c>
      <c r="B29" s="29">
        <v>45840</v>
      </c>
      <c r="C29" s="24" t="s">
        <v>169</v>
      </c>
      <c r="D29" s="24" t="s">
        <v>167</v>
      </c>
      <c r="E29" s="25">
        <v>8.9700000000000006</v>
      </c>
      <c r="F29" s="26">
        <v>94.265328874024519</v>
      </c>
      <c r="G29" s="30">
        <f>IF(OR(D29="TARDIO",D29="PENDIENTE (TARDÍO)"),'Efectos y supuestos'!$B$8,0)</f>
        <v>0</v>
      </c>
      <c r="H29" s="14">
        <f t="shared" si="0"/>
        <v>0</v>
      </c>
    </row>
    <row r="30" spans="1:8" x14ac:dyDescent="0.35">
      <c r="A30" s="24" t="s">
        <v>85</v>
      </c>
      <c r="B30" s="29">
        <v>45566</v>
      </c>
      <c r="C30" s="24" t="s">
        <v>169</v>
      </c>
      <c r="D30" s="24" t="s">
        <v>167</v>
      </c>
      <c r="E30" s="25">
        <v>8.94</v>
      </c>
      <c r="F30" s="26">
        <v>119.3255033557047</v>
      </c>
      <c r="G30" s="30">
        <f>IF(OR(D30="TARDIO",D30="PENDIENTE (TARDÍO)"),'Efectos y supuestos'!$B$8,0)</f>
        <v>0</v>
      </c>
      <c r="H30" s="14">
        <f t="shared" si="0"/>
        <v>0</v>
      </c>
    </row>
    <row r="31" spans="1:8" x14ac:dyDescent="0.35">
      <c r="A31" s="24" t="s">
        <v>188</v>
      </c>
      <c r="B31" s="29">
        <v>45721</v>
      </c>
      <c r="C31" s="24" t="s">
        <v>169</v>
      </c>
      <c r="D31" s="24" t="s">
        <v>167</v>
      </c>
      <c r="E31" s="25">
        <v>1.64</v>
      </c>
      <c r="F31" s="26">
        <v>118.5487804878049</v>
      </c>
      <c r="G31" s="30">
        <f>IF(OR(D31="TARDIO",D31="PENDIENTE (TARDÍO)"),'Efectos y supuestos'!$B$8,0)</f>
        <v>0</v>
      </c>
      <c r="H31" s="14">
        <f t="shared" si="0"/>
        <v>0</v>
      </c>
    </row>
    <row r="32" spans="1:8" x14ac:dyDescent="0.35">
      <c r="A32" s="24" t="s">
        <v>189</v>
      </c>
      <c r="B32" s="29">
        <v>45767</v>
      </c>
      <c r="C32" s="24" t="s">
        <v>169</v>
      </c>
      <c r="D32" s="24" t="s">
        <v>167</v>
      </c>
      <c r="E32" s="25">
        <v>8.9700000000000006</v>
      </c>
      <c r="F32" s="26">
        <v>88.994425863991069</v>
      </c>
      <c r="G32" s="30">
        <f>IF(OR(D32="TARDIO",D32="PENDIENTE (TARDÍO)"),'Efectos y supuestos'!$B$8,0)</f>
        <v>0</v>
      </c>
      <c r="H32" s="14">
        <f t="shared" si="0"/>
        <v>0</v>
      </c>
    </row>
    <row r="33" spans="1:8" x14ac:dyDescent="0.35">
      <c r="A33" s="24" t="s">
        <v>190</v>
      </c>
      <c r="B33" s="29">
        <v>45889</v>
      </c>
      <c r="C33" s="24" t="s">
        <v>169</v>
      </c>
      <c r="D33" s="24" t="s">
        <v>167</v>
      </c>
      <c r="E33" s="25">
        <v>7.29</v>
      </c>
      <c r="F33" s="26">
        <v>144.80658436213989</v>
      </c>
      <c r="G33" s="30">
        <f>IF(OR(D33="TARDIO",D33="PENDIENTE (TARDÍO)"),'Efectos y supuestos'!$B$8,0)</f>
        <v>0</v>
      </c>
      <c r="H33" s="14">
        <f t="shared" si="0"/>
        <v>0</v>
      </c>
    </row>
    <row r="34" spans="1:8" x14ac:dyDescent="0.35">
      <c r="A34" s="24" t="s">
        <v>191</v>
      </c>
      <c r="B34" s="29">
        <v>45519</v>
      </c>
      <c r="C34" s="24" t="s">
        <v>169</v>
      </c>
      <c r="D34" s="24" t="s">
        <v>167</v>
      </c>
      <c r="E34" s="25">
        <v>6.74</v>
      </c>
      <c r="F34" s="26">
        <v>100.14836795252219</v>
      </c>
      <c r="G34" s="30">
        <f>IF(OR(D34="TARDIO",D34="PENDIENTE (TARDÍO)"),'Efectos y supuestos'!$B$8,0)</f>
        <v>0</v>
      </c>
      <c r="H34" s="14">
        <f t="shared" si="0"/>
        <v>0</v>
      </c>
    </row>
    <row r="35" spans="1:8" x14ac:dyDescent="0.35">
      <c r="A35" s="24" t="s">
        <v>192</v>
      </c>
      <c r="B35" s="29">
        <v>45890</v>
      </c>
      <c r="C35" s="24" t="s">
        <v>169</v>
      </c>
      <c r="D35" s="24" t="s">
        <v>167</v>
      </c>
      <c r="E35" s="25">
        <v>5.74</v>
      </c>
      <c r="F35" s="26">
        <v>95.395470383275267</v>
      </c>
      <c r="G35" s="30">
        <f>IF(OR(D35="TARDIO",D35="PENDIENTE (TARDÍO)"),'Efectos y supuestos'!$B$8,0)</f>
        <v>0</v>
      </c>
      <c r="H35" s="14">
        <f t="shared" si="0"/>
        <v>0</v>
      </c>
    </row>
    <row r="36" spans="1:8" x14ac:dyDescent="0.35">
      <c r="A36" s="24" t="s">
        <v>193</v>
      </c>
      <c r="B36" s="29">
        <v>45889</v>
      </c>
      <c r="C36" s="24" t="s">
        <v>169</v>
      </c>
      <c r="D36" s="24" t="s">
        <v>167</v>
      </c>
      <c r="E36" s="25">
        <v>6.73</v>
      </c>
      <c r="F36" s="26">
        <v>95.884101040118864</v>
      </c>
      <c r="G36" s="30">
        <f>IF(OR(D36="TARDIO",D36="PENDIENTE (TARDÍO)"),'Efectos y supuestos'!$B$8,0)</f>
        <v>0</v>
      </c>
      <c r="H36" s="14">
        <f t="shared" si="0"/>
        <v>0</v>
      </c>
    </row>
    <row r="37" spans="1:8" x14ac:dyDescent="0.35">
      <c r="A37" s="24" t="s">
        <v>194</v>
      </c>
      <c r="B37" s="29">
        <v>45828</v>
      </c>
      <c r="C37" s="24" t="s">
        <v>169</v>
      </c>
      <c r="D37" s="24" t="s">
        <v>167</v>
      </c>
      <c r="E37" s="25">
        <v>7.92</v>
      </c>
      <c r="F37" s="26">
        <v>104.29671717171721</v>
      </c>
      <c r="G37" s="30">
        <f>IF(OR(D37="TARDIO",D37="PENDIENTE (TARDÍO)"),'Efectos y supuestos'!$B$8,0)</f>
        <v>0</v>
      </c>
      <c r="H37" s="14">
        <f t="shared" si="0"/>
        <v>0</v>
      </c>
    </row>
    <row r="38" spans="1:8" x14ac:dyDescent="0.35">
      <c r="A38" s="24" t="s">
        <v>195</v>
      </c>
      <c r="B38" s="29">
        <v>45849</v>
      </c>
      <c r="C38" s="24" t="s">
        <v>169</v>
      </c>
      <c r="D38" s="24" t="s">
        <v>167</v>
      </c>
      <c r="E38" s="25">
        <v>7.72</v>
      </c>
      <c r="F38" s="26">
        <v>99.549222797927456</v>
      </c>
      <c r="G38" s="30">
        <f>IF(OR(D38="TARDIO",D38="PENDIENTE (TARDÍO)"),'Efectos y supuestos'!$B$8,0)</f>
        <v>0</v>
      </c>
      <c r="H38" s="14">
        <f t="shared" si="0"/>
        <v>0</v>
      </c>
    </row>
    <row r="39" spans="1:8" x14ac:dyDescent="0.35">
      <c r="A39" s="24" t="s">
        <v>196</v>
      </c>
      <c r="B39" s="29">
        <v>45767</v>
      </c>
      <c r="C39" s="24" t="s">
        <v>169</v>
      </c>
      <c r="D39" s="24" t="s">
        <v>167</v>
      </c>
      <c r="E39" s="25">
        <v>8.07</v>
      </c>
      <c r="F39" s="26">
        <v>108.9752168525403</v>
      </c>
      <c r="G39" s="30">
        <f>IF(OR(D39="TARDIO",D39="PENDIENTE (TARDÍO)"),'Efectos y supuestos'!$B$8,0)</f>
        <v>0</v>
      </c>
      <c r="H39" s="14">
        <f t="shared" si="0"/>
        <v>0</v>
      </c>
    </row>
    <row r="40" spans="1:8" x14ac:dyDescent="0.35">
      <c r="A40" s="24" t="s">
        <v>86</v>
      </c>
      <c r="B40" s="29">
        <v>45872</v>
      </c>
      <c r="C40" s="24" t="s">
        <v>169</v>
      </c>
      <c r="D40" s="24" t="s">
        <v>167</v>
      </c>
      <c r="E40" s="25">
        <v>8.41</v>
      </c>
      <c r="F40" s="26">
        <v>100.99167657550539</v>
      </c>
      <c r="G40" s="30">
        <f>IF(OR(D40="TARDIO",D40="PENDIENTE (TARDÍO)"),'Efectos y supuestos'!$B$8,0)</f>
        <v>0</v>
      </c>
      <c r="H40" s="14">
        <f t="shared" si="0"/>
        <v>0</v>
      </c>
    </row>
    <row r="41" spans="1:8" x14ac:dyDescent="0.35">
      <c r="A41" s="24" t="s">
        <v>197</v>
      </c>
      <c r="B41" s="29">
        <v>45824</v>
      </c>
      <c r="C41" s="24" t="s">
        <v>169</v>
      </c>
      <c r="D41" s="24" t="s">
        <v>167</v>
      </c>
      <c r="E41" s="25">
        <v>10.74</v>
      </c>
      <c r="F41" s="26">
        <v>119.4869646182495</v>
      </c>
      <c r="G41" s="30">
        <f>IF(OR(D41="TARDIO",D41="PENDIENTE (TARDÍO)"),'Efectos y supuestos'!$B$8,0)</f>
        <v>0</v>
      </c>
      <c r="H41" s="14">
        <f t="shared" si="0"/>
        <v>0</v>
      </c>
    </row>
    <row r="42" spans="1:8" x14ac:dyDescent="0.35">
      <c r="A42" s="24" t="s">
        <v>198</v>
      </c>
      <c r="B42" s="29">
        <v>45883</v>
      </c>
      <c r="C42" s="24" t="s">
        <v>169</v>
      </c>
      <c r="D42" s="24" t="s">
        <v>167</v>
      </c>
      <c r="E42" s="25">
        <v>7.57</v>
      </c>
      <c r="F42" s="26">
        <v>99.974900924702766</v>
      </c>
      <c r="G42" s="30">
        <f>IF(OR(D42="TARDIO",D42="PENDIENTE (TARDÍO)"),'Efectos y supuestos'!$B$8,0)</f>
        <v>0</v>
      </c>
      <c r="H42" s="14">
        <f t="shared" si="0"/>
        <v>0</v>
      </c>
    </row>
    <row r="43" spans="1:8" x14ac:dyDescent="0.35">
      <c r="A43" s="24" t="s">
        <v>199</v>
      </c>
      <c r="B43" s="29">
        <v>45849</v>
      </c>
      <c r="C43" s="24" t="s">
        <v>169</v>
      </c>
      <c r="D43" s="24" t="s">
        <v>167</v>
      </c>
      <c r="E43" s="25">
        <v>11.44</v>
      </c>
      <c r="F43" s="26">
        <v>105.88548951048951</v>
      </c>
      <c r="G43" s="30">
        <f>IF(OR(D43="TARDIO",D43="PENDIENTE (TARDÍO)"),'Efectos y supuestos'!$B$8,0)</f>
        <v>0</v>
      </c>
      <c r="H43" s="14">
        <f t="shared" si="0"/>
        <v>0</v>
      </c>
    </row>
    <row r="44" spans="1:8" x14ac:dyDescent="0.35">
      <c r="A44" s="24" t="s">
        <v>200</v>
      </c>
      <c r="B44" s="29">
        <v>45961</v>
      </c>
      <c r="C44" s="24" t="s">
        <v>166</v>
      </c>
      <c r="D44" s="24" t="s">
        <v>167</v>
      </c>
      <c r="E44" s="25">
        <v>12.85</v>
      </c>
      <c r="F44" s="26">
        <v>88.8</v>
      </c>
      <c r="G44" s="30">
        <f>IF(OR(D44="TARDIO",D44="PENDIENTE (TARDÍO)"),'Efectos y supuestos'!$B$8,0)</f>
        <v>0</v>
      </c>
      <c r="H44" s="14">
        <f t="shared" si="0"/>
        <v>0</v>
      </c>
    </row>
    <row r="45" spans="1:8" x14ac:dyDescent="0.35">
      <c r="A45" s="24" t="s">
        <v>87</v>
      </c>
      <c r="B45" s="29">
        <v>45824</v>
      </c>
      <c r="C45" s="24" t="s">
        <v>169</v>
      </c>
      <c r="D45" s="24" t="s">
        <v>167</v>
      </c>
      <c r="E45" s="25">
        <v>10.18</v>
      </c>
      <c r="F45" s="26">
        <v>94.231827111984288</v>
      </c>
      <c r="G45" s="30">
        <f>IF(OR(D45="TARDIO",D45="PENDIENTE (TARDÍO)"),'Efectos y supuestos'!$B$8,0)</f>
        <v>0</v>
      </c>
      <c r="H45" s="14">
        <f t="shared" si="0"/>
        <v>0</v>
      </c>
    </row>
    <row r="46" spans="1:8" x14ac:dyDescent="0.35">
      <c r="A46" s="24" t="s">
        <v>201</v>
      </c>
      <c r="B46" s="29">
        <v>45961</v>
      </c>
      <c r="C46" s="24" t="s">
        <v>166</v>
      </c>
      <c r="D46" s="24" t="s">
        <v>167</v>
      </c>
      <c r="E46" s="25">
        <v>8.07</v>
      </c>
      <c r="F46" s="26">
        <v>135.69999999999999</v>
      </c>
      <c r="G46" s="30">
        <f>IF(OR(D46="TARDIO",D46="PENDIENTE (TARDÍO)"),'Efectos y supuestos'!$B$8,0)</f>
        <v>0</v>
      </c>
      <c r="H46" s="14">
        <f t="shared" si="0"/>
        <v>0</v>
      </c>
    </row>
    <row r="47" spans="1:8" x14ac:dyDescent="0.35">
      <c r="A47" s="24" t="s">
        <v>202</v>
      </c>
      <c r="B47" s="29">
        <v>45820</v>
      </c>
      <c r="C47" s="24" t="s">
        <v>169</v>
      </c>
      <c r="D47" s="24" t="s">
        <v>167</v>
      </c>
      <c r="E47" s="25">
        <v>10.18</v>
      </c>
      <c r="F47" s="26">
        <v>85.764243614931246</v>
      </c>
      <c r="G47" s="30">
        <f>IF(OR(D47="TARDIO",D47="PENDIENTE (TARDÍO)"),'Efectos y supuestos'!$B$8,0)</f>
        <v>0</v>
      </c>
      <c r="H47" s="14">
        <f t="shared" si="0"/>
        <v>0</v>
      </c>
    </row>
    <row r="48" spans="1:8" x14ac:dyDescent="0.35">
      <c r="A48" s="24" t="s">
        <v>119</v>
      </c>
      <c r="B48" s="29">
        <v>45961</v>
      </c>
      <c r="C48" s="24" t="s">
        <v>166</v>
      </c>
      <c r="D48" s="24" t="s">
        <v>167</v>
      </c>
      <c r="E48" s="25">
        <v>11.96</v>
      </c>
      <c r="F48" s="26">
        <v>105.4</v>
      </c>
      <c r="G48" s="30">
        <f>IF(OR(D48="TARDIO",D48="PENDIENTE (TARDÍO)"),'Efectos y supuestos'!$B$8,0)</f>
        <v>0</v>
      </c>
      <c r="H48" s="14">
        <f t="shared" si="0"/>
        <v>0</v>
      </c>
    </row>
    <row r="49" spans="1:8" x14ac:dyDescent="0.35">
      <c r="A49" s="24" t="s">
        <v>88</v>
      </c>
      <c r="B49" s="29">
        <v>45838</v>
      </c>
      <c r="C49" s="24" t="s">
        <v>169</v>
      </c>
      <c r="D49" s="24" t="s">
        <v>167</v>
      </c>
      <c r="E49" s="25">
        <v>4.74</v>
      </c>
      <c r="F49" s="26">
        <v>99.816455696202524</v>
      </c>
      <c r="G49" s="30">
        <f>IF(OR(D49="TARDIO",D49="PENDIENTE (TARDÍO)"),'Efectos y supuestos'!$B$8,0)</f>
        <v>0</v>
      </c>
      <c r="H49" s="14">
        <f t="shared" si="0"/>
        <v>0</v>
      </c>
    </row>
    <row r="50" spans="1:8" x14ac:dyDescent="0.35">
      <c r="A50" s="24" t="s">
        <v>89</v>
      </c>
      <c r="B50" s="29">
        <v>45564</v>
      </c>
      <c r="C50" s="24" t="s">
        <v>169</v>
      </c>
      <c r="D50" s="24" t="s">
        <v>167</v>
      </c>
      <c r="E50" s="25">
        <v>1.93</v>
      </c>
      <c r="F50" s="26">
        <v>111.2227979274611</v>
      </c>
      <c r="G50" s="30">
        <f>IF(OR(D50="TARDIO",D50="PENDIENTE (TARDÍO)"),'Efectos y supuestos'!$B$8,0)</f>
        <v>0</v>
      </c>
      <c r="H50" s="14">
        <f t="shared" si="0"/>
        <v>0</v>
      </c>
    </row>
    <row r="51" spans="1:8" x14ac:dyDescent="0.35">
      <c r="A51" s="24" t="s">
        <v>203</v>
      </c>
      <c r="B51" s="29">
        <v>45816</v>
      </c>
      <c r="C51" s="24" t="s">
        <v>169</v>
      </c>
      <c r="D51" s="24" t="s">
        <v>167</v>
      </c>
      <c r="E51" s="25">
        <v>4.3899999999999997</v>
      </c>
      <c r="F51" s="26">
        <v>145.24145785876991</v>
      </c>
      <c r="G51" s="30">
        <f>IF(OR(D51="TARDIO",D51="PENDIENTE (TARDÍO)"),'Efectos y supuestos'!$B$8,0)</f>
        <v>0</v>
      </c>
      <c r="H51" s="14">
        <f t="shared" si="0"/>
        <v>0</v>
      </c>
    </row>
    <row r="52" spans="1:8" x14ac:dyDescent="0.35">
      <c r="A52" s="24" t="s">
        <v>204</v>
      </c>
      <c r="B52" s="29">
        <v>45952</v>
      </c>
      <c r="C52" s="24" t="s">
        <v>166</v>
      </c>
      <c r="D52" s="24" t="s">
        <v>167</v>
      </c>
      <c r="E52" s="25">
        <v>7.19</v>
      </c>
      <c r="F52" s="26">
        <v>113.3</v>
      </c>
      <c r="G52" s="30">
        <f>IF(OR(D52="TARDIO",D52="PENDIENTE (TARDÍO)"),'Efectos y supuestos'!$B$8,0)</f>
        <v>0</v>
      </c>
      <c r="H52" s="14">
        <f t="shared" si="0"/>
        <v>0</v>
      </c>
    </row>
    <row r="53" spans="1:8" x14ac:dyDescent="0.35">
      <c r="A53" s="24" t="s">
        <v>205</v>
      </c>
      <c r="B53" s="29">
        <v>45816</v>
      </c>
      <c r="C53" s="24" t="s">
        <v>169</v>
      </c>
      <c r="D53" s="24" t="s">
        <v>167</v>
      </c>
      <c r="E53" s="25">
        <v>6.67</v>
      </c>
      <c r="F53" s="26">
        <v>101.4392803598201</v>
      </c>
      <c r="G53" s="30">
        <f>IF(OR(D53="TARDIO",D53="PENDIENTE (TARDÍO)"),'Efectos y supuestos'!$B$8,0)</f>
        <v>0</v>
      </c>
      <c r="H53" s="14">
        <f t="shared" si="0"/>
        <v>0</v>
      </c>
    </row>
    <row r="54" spans="1:8" x14ac:dyDescent="0.35">
      <c r="A54" s="24" t="s">
        <v>206</v>
      </c>
      <c r="B54" s="29">
        <v>45819</v>
      </c>
      <c r="C54" s="24" t="s">
        <v>169</v>
      </c>
      <c r="D54" s="24" t="s">
        <v>167</v>
      </c>
      <c r="E54" s="25">
        <v>2.79</v>
      </c>
      <c r="F54" s="26">
        <v>153.61290322580641</v>
      </c>
      <c r="G54" s="30">
        <f>IF(OR(D54="TARDIO",D54="PENDIENTE (TARDÍO)"),'Efectos y supuestos'!$B$8,0)</f>
        <v>0</v>
      </c>
      <c r="H54" s="14">
        <f t="shared" si="0"/>
        <v>0</v>
      </c>
    </row>
    <row r="55" spans="1:8" x14ac:dyDescent="0.35">
      <c r="A55" s="24" t="s">
        <v>207</v>
      </c>
      <c r="B55" s="29">
        <v>45852</v>
      </c>
      <c r="C55" s="24" t="s">
        <v>169</v>
      </c>
      <c r="D55" s="24" t="s">
        <v>167</v>
      </c>
      <c r="E55" s="25">
        <v>4.07</v>
      </c>
      <c r="F55" s="26">
        <v>104.76904176904181</v>
      </c>
      <c r="G55" s="30">
        <f>IF(OR(D55="TARDIO",D55="PENDIENTE (TARDÍO)"),'Efectos y supuestos'!$B$8,0)</f>
        <v>0</v>
      </c>
      <c r="H55" s="14">
        <f t="shared" si="0"/>
        <v>0</v>
      </c>
    </row>
    <row r="56" spans="1:8" x14ac:dyDescent="0.35">
      <c r="A56" s="24" t="s">
        <v>208</v>
      </c>
      <c r="B56" s="29">
        <v>45753</v>
      </c>
      <c r="C56" s="24" t="s">
        <v>169</v>
      </c>
      <c r="D56" s="24" t="s">
        <v>167</v>
      </c>
      <c r="E56" s="25">
        <v>18.809999999999999</v>
      </c>
      <c r="F56" s="26">
        <v>136.6092503987241</v>
      </c>
      <c r="G56" s="30">
        <f>IF(OR(D56="TARDIO",D56="PENDIENTE (TARDÍO)"),'Efectos y supuestos'!$B$8,0)</f>
        <v>0</v>
      </c>
      <c r="H56" s="14">
        <f t="shared" si="0"/>
        <v>0</v>
      </c>
    </row>
    <row r="57" spans="1:8" x14ac:dyDescent="0.35">
      <c r="A57" s="24" t="s">
        <v>91</v>
      </c>
      <c r="B57" s="29">
        <v>45920</v>
      </c>
      <c r="C57" s="24" t="s">
        <v>169</v>
      </c>
      <c r="D57" s="24" t="s">
        <v>167</v>
      </c>
      <c r="E57" s="25">
        <v>14.22</v>
      </c>
      <c r="F57" s="26">
        <v>92.924050632911403</v>
      </c>
      <c r="G57" s="30">
        <f>IF(OR(D57="TARDIO",D57="PENDIENTE (TARDÍO)"),'Efectos y supuestos'!$B$8,0)</f>
        <v>0</v>
      </c>
      <c r="H57" s="14">
        <f t="shared" si="0"/>
        <v>0</v>
      </c>
    </row>
    <row r="58" spans="1:8" x14ac:dyDescent="0.35">
      <c r="A58" s="24" t="s">
        <v>209</v>
      </c>
      <c r="B58" s="29">
        <v>45726</v>
      </c>
      <c r="C58" s="24" t="s">
        <v>169</v>
      </c>
      <c r="D58" s="24" t="s">
        <v>167</v>
      </c>
      <c r="E58" s="25">
        <v>19.21</v>
      </c>
      <c r="F58" s="26">
        <v>127.25559604372719</v>
      </c>
      <c r="G58" s="30">
        <f>IF(OR(D58="TARDIO",D58="PENDIENTE (TARDÍO)"),'Efectos y supuestos'!$B$8,0)</f>
        <v>0</v>
      </c>
      <c r="H58" s="14">
        <f t="shared" si="0"/>
        <v>0</v>
      </c>
    </row>
    <row r="59" spans="1:8" x14ac:dyDescent="0.35">
      <c r="A59" s="24" t="s">
        <v>210</v>
      </c>
      <c r="B59" s="29">
        <v>45921</v>
      </c>
      <c r="C59" s="24" t="s">
        <v>169</v>
      </c>
      <c r="D59" s="24" t="s">
        <v>167</v>
      </c>
      <c r="E59" s="25">
        <v>17.670000000000002</v>
      </c>
      <c r="F59" s="26">
        <v>92.53</v>
      </c>
      <c r="G59" s="30">
        <f>IF(OR(D59="TARDIO",D59="PENDIENTE (TARDÍO)"),'Efectos y supuestos'!$B$8,0)</f>
        <v>0</v>
      </c>
      <c r="H59" s="14">
        <f t="shared" si="0"/>
        <v>0</v>
      </c>
    </row>
    <row r="60" spans="1:8" x14ac:dyDescent="0.35">
      <c r="A60" s="24" t="s">
        <v>211</v>
      </c>
      <c r="B60" s="29">
        <v>45878</v>
      </c>
      <c r="C60" s="24" t="s">
        <v>169</v>
      </c>
      <c r="D60" s="24" t="s">
        <v>167</v>
      </c>
      <c r="E60" s="25">
        <v>17.34</v>
      </c>
      <c r="F60" s="26">
        <v>87.566320645905421</v>
      </c>
      <c r="G60" s="30">
        <f>IF(OR(D60="TARDIO",D60="PENDIENTE (TARDÍO)"),'Efectos y supuestos'!$B$8,0)</f>
        <v>0</v>
      </c>
      <c r="H60" s="14">
        <f t="shared" si="0"/>
        <v>0</v>
      </c>
    </row>
    <row r="61" spans="1:8" x14ac:dyDescent="0.35">
      <c r="A61" s="24" t="s">
        <v>212</v>
      </c>
      <c r="B61" s="29">
        <v>45620</v>
      </c>
      <c r="C61" s="24" t="s">
        <v>169</v>
      </c>
      <c r="D61" s="24" t="s">
        <v>167</v>
      </c>
      <c r="E61" s="25">
        <v>17.850000000000001</v>
      </c>
      <c r="F61" s="26">
        <v>114.63753501400561</v>
      </c>
      <c r="G61" s="30">
        <f>IF(OR(D61="TARDIO",D61="PENDIENTE (TARDÍO)"),'Efectos y supuestos'!$B$8,0)</f>
        <v>0</v>
      </c>
      <c r="H61" s="14">
        <f t="shared" si="0"/>
        <v>0</v>
      </c>
    </row>
    <row r="62" spans="1:8" x14ac:dyDescent="0.35">
      <c r="A62" s="24" t="s">
        <v>213</v>
      </c>
      <c r="B62" s="29">
        <v>45876</v>
      </c>
      <c r="C62" s="24" t="s">
        <v>169</v>
      </c>
      <c r="D62" s="24" t="s">
        <v>167</v>
      </c>
      <c r="E62" s="25">
        <v>11.1</v>
      </c>
      <c r="F62" s="26">
        <v>94.943243243243231</v>
      </c>
      <c r="G62" s="30">
        <f>IF(OR(D62="TARDIO",D62="PENDIENTE (TARDÍO)"),'Efectos y supuestos'!$B$8,0)</f>
        <v>0</v>
      </c>
      <c r="H62" s="14">
        <f t="shared" si="0"/>
        <v>0</v>
      </c>
    </row>
    <row r="63" spans="1:8" x14ac:dyDescent="0.35">
      <c r="A63" s="24" t="s">
        <v>214</v>
      </c>
      <c r="B63" s="29">
        <v>45895</v>
      </c>
      <c r="C63" s="24" t="s">
        <v>169</v>
      </c>
      <c r="D63" s="24" t="s">
        <v>167</v>
      </c>
      <c r="E63" s="25">
        <v>17.559999999999999</v>
      </c>
      <c r="F63" s="26">
        <v>97.019362186788172</v>
      </c>
      <c r="G63" s="30">
        <f>IF(OR(D63="TARDIO",D63="PENDIENTE (TARDÍO)"),'Efectos y supuestos'!$B$8,0)</f>
        <v>0</v>
      </c>
      <c r="H63" s="14">
        <f t="shared" si="0"/>
        <v>0</v>
      </c>
    </row>
    <row r="64" spans="1:8" x14ac:dyDescent="0.35">
      <c r="A64" s="24" t="s">
        <v>215</v>
      </c>
      <c r="B64" s="29">
        <v>45895</v>
      </c>
      <c r="C64" s="24" t="s">
        <v>169</v>
      </c>
      <c r="D64" s="24" t="s">
        <v>167</v>
      </c>
      <c r="E64" s="25">
        <v>5.24</v>
      </c>
      <c r="F64" s="26">
        <v>101.45610687022899</v>
      </c>
      <c r="G64" s="30">
        <f>IF(OR(D64="TARDIO",D64="PENDIENTE (TARDÍO)"),'Efectos y supuestos'!$B$8,0)</f>
        <v>0</v>
      </c>
      <c r="H64" s="14">
        <f t="shared" si="0"/>
        <v>0</v>
      </c>
    </row>
    <row r="65" spans="1:8" x14ac:dyDescent="0.35">
      <c r="A65" s="24" t="s">
        <v>216</v>
      </c>
      <c r="B65" s="29">
        <v>45852</v>
      </c>
      <c r="C65" s="24" t="s">
        <v>169</v>
      </c>
      <c r="D65" s="24" t="s">
        <v>167</v>
      </c>
      <c r="E65" s="25">
        <v>17.72</v>
      </c>
      <c r="F65" s="26">
        <v>102.5423250564334</v>
      </c>
      <c r="G65" s="30">
        <f>IF(OR(D65="TARDIO",D65="PENDIENTE (TARDÍO)"),'Efectos y supuestos'!$B$8,0)</f>
        <v>0</v>
      </c>
      <c r="H65" s="14">
        <f t="shared" si="0"/>
        <v>0</v>
      </c>
    </row>
    <row r="66" spans="1:8" x14ac:dyDescent="0.35">
      <c r="A66" s="24" t="s">
        <v>217</v>
      </c>
      <c r="B66" s="29">
        <v>45684</v>
      </c>
      <c r="C66" s="24" t="s">
        <v>169</v>
      </c>
      <c r="D66" s="24" t="s">
        <v>167</v>
      </c>
      <c r="E66" s="25">
        <v>17.59</v>
      </c>
      <c r="F66" s="26">
        <v>131.525298465037</v>
      </c>
      <c r="G66" s="30">
        <f>IF(OR(D66="TARDIO",D66="PENDIENTE (TARDÍO)"),'Efectos y supuestos'!$B$8,0)</f>
        <v>0</v>
      </c>
      <c r="H66" s="14">
        <f t="shared" si="0"/>
        <v>0</v>
      </c>
    </row>
    <row r="67" spans="1:8" x14ac:dyDescent="0.35">
      <c r="A67" s="24" t="s">
        <v>218</v>
      </c>
      <c r="B67" s="29">
        <v>45734</v>
      </c>
      <c r="C67" s="24" t="s">
        <v>169</v>
      </c>
      <c r="D67" s="24" t="s">
        <v>167</v>
      </c>
      <c r="E67" s="25">
        <v>7.52</v>
      </c>
      <c r="F67" s="26">
        <v>83.047872340425528</v>
      </c>
      <c r="G67" s="30">
        <f>IF(OR(D67="TARDIO",D67="PENDIENTE (TARDÍO)"),'Efectos y supuestos'!$B$8,0)</f>
        <v>0</v>
      </c>
      <c r="H67" s="14">
        <f t="shared" si="0"/>
        <v>0</v>
      </c>
    </row>
    <row r="68" spans="1:8" x14ac:dyDescent="0.35">
      <c r="A68" s="24" t="s">
        <v>219</v>
      </c>
      <c r="B68" s="29">
        <v>45890</v>
      </c>
      <c r="C68" s="24" t="s">
        <v>169</v>
      </c>
      <c r="D68" s="24" t="s">
        <v>167</v>
      </c>
      <c r="E68" s="25">
        <v>5.59</v>
      </c>
      <c r="F68" s="26">
        <v>123.0983899821109</v>
      </c>
      <c r="G68" s="30">
        <f>IF(OR(D68="TARDIO",D68="PENDIENTE (TARDÍO)"),'Efectos y supuestos'!$B$8,0)</f>
        <v>0</v>
      </c>
      <c r="H68" s="14">
        <f t="shared" si="0"/>
        <v>0</v>
      </c>
    </row>
    <row r="69" spans="1:8" x14ac:dyDescent="0.35">
      <c r="A69" s="24" t="s">
        <v>220</v>
      </c>
      <c r="B69" s="29">
        <v>45877</v>
      </c>
      <c r="C69" s="24" t="s">
        <v>169</v>
      </c>
      <c r="D69" s="24" t="s">
        <v>167</v>
      </c>
      <c r="E69" s="25">
        <v>10.82</v>
      </c>
      <c r="F69" s="26">
        <v>114.77634011090571</v>
      </c>
      <c r="G69" s="30">
        <f>IF(OR(D69="TARDIO",D69="PENDIENTE (TARDÍO)"),'Efectos y supuestos'!$B$8,0)</f>
        <v>0</v>
      </c>
      <c r="H69" s="14">
        <f t="shared" si="0"/>
        <v>0</v>
      </c>
    </row>
    <row r="70" spans="1:8" x14ac:dyDescent="0.35">
      <c r="A70" s="24" t="s">
        <v>221</v>
      </c>
      <c r="B70" s="29">
        <v>45921</v>
      </c>
      <c r="C70" s="24" t="s">
        <v>169</v>
      </c>
      <c r="D70" s="24" t="s">
        <v>167</v>
      </c>
      <c r="E70" s="25">
        <v>5.03</v>
      </c>
      <c r="F70" s="26">
        <v>111.53876739562619</v>
      </c>
      <c r="G70" s="30">
        <f>IF(OR(D70="TARDIO",D70="PENDIENTE (TARDÍO)"),'Efectos y supuestos'!$B$8,0)</f>
        <v>0</v>
      </c>
      <c r="H70" s="14">
        <f t="shared" ref="H70:H133" si="1">-G70*F70*E70</f>
        <v>0</v>
      </c>
    </row>
    <row r="71" spans="1:8" x14ac:dyDescent="0.35">
      <c r="A71" s="24" t="s">
        <v>222</v>
      </c>
      <c r="B71" s="29">
        <v>45921</v>
      </c>
      <c r="C71" s="24" t="s">
        <v>169</v>
      </c>
      <c r="D71" s="24" t="s">
        <v>167</v>
      </c>
      <c r="E71" s="25">
        <v>4.25</v>
      </c>
      <c r="F71" s="26">
        <v>118.20941176470591</v>
      </c>
      <c r="G71" s="30">
        <f>IF(OR(D71="TARDIO",D71="PENDIENTE (TARDÍO)"),'Efectos y supuestos'!$B$8,0)</f>
        <v>0</v>
      </c>
      <c r="H71" s="14">
        <f t="shared" si="1"/>
        <v>0</v>
      </c>
    </row>
    <row r="72" spans="1:8" x14ac:dyDescent="0.35">
      <c r="A72" s="24" t="s">
        <v>223</v>
      </c>
      <c r="B72" s="29">
        <v>45712</v>
      </c>
      <c r="C72" s="24" t="s">
        <v>169</v>
      </c>
      <c r="D72" s="24" t="s">
        <v>167</v>
      </c>
      <c r="E72" s="25">
        <v>5.0199999999999996</v>
      </c>
      <c r="F72" s="26">
        <v>88.211155378486069</v>
      </c>
      <c r="G72" s="30">
        <f>IF(OR(D72="TARDIO",D72="PENDIENTE (TARDÍO)"),'Efectos y supuestos'!$B$8,0)</f>
        <v>0</v>
      </c>
      <c r="H72" s="14">
        <f t="shared" si="1"/>
        <v>0</v>
      </c>
    </row>
    <row r="73" spans="1:8" x14ac:dyDescent="0.35">
      <c r="A73" s="24" t="s">
        <v>224</v>
      </c>
      <c r="B73" s="29">
        <v>45721</v>
      </c>
      <c r="C73" s="24" t="s">
        <v>169</v>
      </c>
      <c r="D73" s="24" t="s">
        <v>167</v>
      </c>
      <c r="E73" s="25">
        <v>9.73</v>
      </c>
      <c r="F73" s="26">
        <v>107.2189105858171</v>
      </c>
      <c r="G73" s="30">
        <f>IF(OR(D73="TARDIO",D73="PENDIENTE (TARDÍO)"),'Efectos y supuestos'!$B$8,0)</f>
        <v>0</v>
      </c>
      <c r="H73" s="14">
        <f t="shared" si="1"/>
        <v>0</v>
      </c>
    </row>
    <row r="74" spans="1:8" x14ac:dyDescent="0.35">
      <c r="A74" s="24" t="s">
        <v>225</v>
      </c>
      <c r="B74" s="29">
        <v>45635</v>
      </c>
      <c r="C74" s="24" t="s">
        <v>169</v>
      </c>
      <c r="D74" s="24" t="s">
        <v>167</v>
      </c>
      <c r="E74" s="25">
        <v>11.97</v>
      </c>
      <c r="F74" s="26">
        <v>108.406015037594</v>
      </c>
      <c r="G74" s="30">
        <f>IF(OR(D74="TARDIO",D74="PENDIENTE (TARDÍO)"),'Efectos y supuestos'!$B$8,0)</f>
        <v>0</v>
      </c>
      <c r="H74" s="14">
        <f t="shared" si="1"/>
        <v>0</v>
      </c>
    </row>
    <row r="75" spans="1:8" x14ac:dyDescent="0.35">
      <c r="A75" s="24" t="s">
        <v>226</v>
      </c>
      <c r="B75" s="29">
        <v>45895</v>
      </c>
      <c r="C75" s="24" t="s">
        <v>166</v>
      </c>
      <c r="D75" s="24" t="s">
        <v>167</v>
      </c>
      <c r="E75" s="25">
        <v>20.059999999999999</v>
      </c>
      <c r="F75" s="26">
        <v>105</v>
      </c>
      <c r="G75" s="30">
        <f>IF(OR(D75="TARDIO",D75="PENDIENTE (TARDÍO)"),'Efectos y supuestos'!$B$8,0)</f>
        <v>0</v>
      </c>
      <c r="H75" s="14">
        <f t="shared" si="1"/>
        <v>0</v>
      </c>
    </row>
    <row r="76" spans="1:8" x14ac:dyDescent="0.35">
      <c r="A76" s="24" t="s">
        <v>227</v>
      </c>
      <c r="B76" s="29">
        <v>45957</v>
      </c>
      <c r="C76" s="24" t="s">
        <v>166</v>
      </c>
      <c r="D76" s="24" t="s">
        <v>167</v>
      </c>
      <c r="E76" s="25">
        <v>22.92</v>
      </c>
      <c r="F76" s="26">
        <v>121.2</v>
      </c>
      <c r="G76" s="30">
        <f>IF(OR(D76="TARDIO",D76="PENDIENTE (TARDÍO)"),'Efectos y supuestos'!$B$8,0)</f>
        <v>0</v>
      </c>
      <c r="H76" s="14">
        <f t="shared" si="1"/>
        <v>0</v>
      </c>
    </row>
    <row r="77" spans="1:8" x14ac:dyDescent="0.35">
      <c r="A77" s="24" t="s">
        <v>228</v>
      </c>
      <c r="B77" s="29">
        <v>45910</v>
      </c>
      <c r="C77" s="24" t="s">
        <v>166</v>
      </c>
      <c r="D77" s="24" t="s">
        <v>167</v>
      </c>
      <c r="E77" s="25">
        <v>7.52</v>
      </c>
      <c r="F77" s="26">
        <v>105</v>
      </c>
      <c r="G77" s="30">
        <f>IF(OR(D77="TARDIO",D77="PENDIENTE (TARDÍO)"),'Efectos y supuestos'!$B$8,0)</f>
        <v>0</v>
      </c>
      <c r="H77" s="14">
        <f t="shared" si="1"/>
        <v>0</v>
      </c>
    </row>
    <row r="78" spans="1:8" x14ac:dyDescent="0.35">
      <c r="A78" s="24" t="s">
        <v>229</v>
      </c>
      <c r="B78" s="29">
        <v>45890</v>
      </c>
      <c r="C78" s="24" t="s">
        <v>166</v>
      </c>
      <c r="D78" s="24" t="s">
        <v>167</v>
      </c>
      <c r="E78" s="25">
        <v>4.08</v>
      </c>
      <c r="F78" s="26">
        <v>105</v>
      </c>
      <c r="G78" s="30">
        <f>IF(OR(D78="TARDIO",D78="PENDIENTE (TARDÍO)"),'Efectos y supuestos'!$B$8,0)</f>
        <v>0</v>
      </c>
      <c r="H78" s="14">
        <f t="shared" si="1"/>
        <v>0</v>
      </c>
    </row>
    <row r="79" spans="1:8" x14ac:dyDescent="0.35">
      <c r="A79" s="24" t="s">
        <v>230</v>
      </c>
      <c r="B79" s="29">
        <v>45890</v>
      </c>
      <c r="C79" s="24" t="s">
        <v>166</v>
      </c>
      <c r="D79" s="24" t="s">
        <v>167</v>
      </c>
      <c r="E79" s="25">
        <v>1.82</v>
      </c>
      <c r="F79" s="26">
        <v>105</v>
      </c>
      <c r="G79" s="30">
        <f>IF(OR(D79="TARDIO",D79="PENDIENTE (TARDÍO)"),'Efectos y supuestos'!$B$8,0)</f>
        <v>0</v>
      </c>
      <c r="H79" s="14">
        <f t="shared" si="1"/>
        <v>0</v>
      </c>
    </row>
    <row r="80" spans="1:8" x14ac:dyDescent="0.35">
      <c r="A80" s="24" t="s">
        <v>231</v>
      </c>
      <c r="B80" s="29">
        <v>45875</v>
      </c>
      <c r="C80" s="24" t="s">
        <v>166</v>
      </c>
      <c r="D80" s="24" t="s">
        <v>167</v>
      </c>
      <c r="E80" s="25">
        <v>11.12</v>
      </c>
      <c r="F80" s="26">
        <v>105</v>
      </c>
      <c r="G80" s="30">
        <f>IF(OR(D80="TARDIO",D80="PENDIENTE (TARDÍO)"),'Efectos y supuestos'!$B$8,0)</f>
        <v>0</v>
      </c>
      <c r="H80" s="14">
        <f t="shared" si="1"/>
        <v>0</v>
      </c>
    </row>
    <row r="81" spans="1:8" x14ac:dyDescent="0.35">
      <c r="A81" s="24" t="s">
        <v>232</v>
      </c>
      <c r="B81" s="29">
        <v>45876</v>
      </c>
      <c r="C81" s="24" t="s">
        <v>166</v>
      </c>
      <c r="D81" s="24" t="s">
        <v>167</v>
      </c>
      <c r="E81" s="25">
        <v>11.08</v>
      </c>
      <c r="F81" s="26">
        <v>105</v>
      </c>
      <c r="G81" s="30">
        <f>IF(OR(D81="TARDIO",D81="PENDIENTE (TARDÍO)"),'Efectos y supuestos'!$B$8,0)</f>
        <v>0</v>
      </c>
      <c r="H81" s="14">
        <f t="shared" si="1"/>
        <v>0</v>
      </c>
    </row>
    <row r="82" spans="1:8" x14ac:dyDescent="0.35">
      <c r="A82" s="24" t="s">
        <v>233</v>
      </c>
      <c r="B82" s="29">
        <v>45886</v>
      </c>
      <c r="C82" s="24" t="s">
        <v>166</v>
      </c>
      <c r="D82" s="24" t="s">
        <v>167</v>
      </c>
      <c r="E82" s="25">
        <v>17.350000000000001</v>
      </c>
      <c r="F82" s="26">
        <v>105</v>
      </c>
      <c r="G82" s="30">
        <f>IF(OR(D82="TARDIO",D82="PENDIENTE (TARDÍO)"),'Efectos y supuestos'!$B$8,0)</f>
        <v>0</v>
      </c>
      <c r="H82" s="14">
        <f t="shared" si="1"/>
        <v>0</v>
      </c>
    </row>
    <row r="83" spans="1:8" x14ac:dyDescent="0.35">
      <c r="A83" s="24" t="s">
        <v>234</v>
      </c>
      <c r="B83" s="29">
        <v>45888</v>
      </c>
      <c r="C83" s="24" t="s">
        <v>166</v>
      </c>
      <c r="D83" s="24" t="s">
        <v>167</v>
      </c>
      <c r="E83" s="25">
        <v>8.2799999999999994</v>
      </c>
      <c r="F83" s="26">
        <v>105</v>
      </c>
      <c r="G83" s="30">
        <f>IF(OR(D83="TARDIO",D83="PENDIENTE (TARDÍO)"),'Efectos y supuestos'!$B$8,0)</f>
        <v>0</v>
      </c>
      <c r="H83" s="14">
        <f t="shared" si="1"/>
        <v>0</v>
      </c>
    </row>
    <row r="84" spans="1:8" x14ac:dyDescent="0.35">
      <c r="A84" s="24" t="s">
        <v>235</v>
      </c>
      <c r="B84" s="29">
        <v>45886</v>
      </c>
      <c r="C84" s="24" t="s">
        <v>166</v>
      </c>
      <c r="D84" s="24" t="s">
        <v>167</v>
      </c>
      <c r="E84" s="25">
        <v>5.65</v>
      </c>
      <c r="F84" s="26">
        <v>105</v>
      </c>
      <c r="G84" s="30">
        <f>IF(OR(D84="TARDIO",D84="PENDIENTE (TARDÍO)"),'Efectos y supuestos'!$B$8,0)</f>
        <v>0</v>
      </c>
      <c r="H84" s="14">
        <f t="shared" si="1"/>
        <v>0</v>
      </c>
    </row>
    <row r="85" spans="1:8" x14ac:dyDescent="0.35">
      <c r="A85" s="24" t="s">
        <v>236</v>
      </c>
      <c r="B85" s="29">
        <v>45626</v>
      </c>
      <c r="C85" s="24" t="s">
        <v>169</v>
      </c>
      <c r="D85" s="24" t="s">
        <v>167</v>
      </c>
      <c r="E85" s="25">
        <v>11.43</v>
      </c>
      <c r="F85" s="26">
        <v>118.0752405949256</v>
      </c>
      <c r="G85" s="30">
        <f>IF(OR(D85="TARDIO",D85="PENDIENTE (TARDÍO)"),'Efectos y supuestos'!$B$8,0)</f>
        <v>0</v>
      </c>
      <c r="H85" s="14">
        <f t="shared" si="1"/>
        <v>0</v>
      </c>
    </row>
    <row r="86" spans="1:8" x14ac:dyDescent="0.35">
      <c r="A86" s="24" t="s">
        <v>237</v>
      </c>
      <c r="B86" s="29">
        <v>45627</v>
      </c>
      <c r="C86" s="24" t="s">
        <v>169</v>
      </c>
      <c r="D86" s="24" t="s">
        <v>167</v>
      </c>
      <c r="E86" s="25">
        <v>17.64</v>
      </c>
      <c r="F86" s="26">
        <v>123.8526077097505</v>
      </c>
      <c r="G86" s="30">
        <f>IF(OR(D86="TARDIO",D86="PENDIENTE (TARDÍO)"),'Efectos y supuestos'!$B$8,0)</f>
        <v>0</v>
      </c>
      <c r="H86" s="14">
        <f t="shared" si="1"/>
        <v>0</v>
      </c>
    </row>
    <row r="87" spans="1:8" x14ac:dyDescent="0.35">
      <c r="A87" s="24" t="s">
        <v>237</v>
      </c>
      <c r="B87" s="29">
        <v>45639</v>
      </c>
      <c r="C87" s="24" t="s">
        <v>169</v>
      </c>
      <c r="D87" s="24" t="s">
        <v>167</v>
      </c>
      <c r="E87" s="25">
        <v>17.64</v>
      </c>
      <c r="F87" s="26">
        <v>123.8526077097505</v>
      </c>
      <c r="G87" s="30">
        <f>IF(OR(D87="TARDIO",D87="PENDIENTE (TARDÍO)"),'Efectos y supuestos'!$B$8,0)</f>
        <v>0</v>
      </c>
      <c r="H87" s="14">
        <f t="shared" si="1"/>
        <v>0</v>
      </c>
    </row>
    <row r="88" spans="1:8" x14ac:dyDescent="0.35">
      <c r="A88" s="24" t="s">
        <v>238</v>
      </c>
      <c r="B88" s="29">
        <v>45641</v>
      </c>
      <c r="C88" s="24" t="s">
        <v>169</v>
      </c>
      <c r="D88" s="24" t="s">
        <v>167</v>
      </c>
      <c r="E88" s="25">
        <v>9.6300000000000008</v>
      </c>
      <c r="F88" s="26">
        <v>113.2336448598131</v>
      </c>
      <c r="G88" s="30">
        <f>IF(OR(D88="TARDIO",D88="PENDIENTE (TARDÍO)"),'Efectos y supuestos'!$B$8,0)</f>
        <v>0</v>
      </c>
      <c r="H88" s="14">
        <f t="shared" si="1"/>
        <v>0</v>
      </c>
    </row>
    <row r="89" spans="1:8" x14ac:dyDescent="0.35">
      <c r="A89" s="24" t="s">
        <v>239</v>
      </c>
      <c r="B89" s="29">
        <v>45910</v>
      </c>
      <c r="C89" s="24" t="s">
        <v>169</v>
      </c>
      <c r="D89" s="24" t="s">
        <v>167</v>
      </c>
      <c r="E89" s="25">
        <v>9.01</v>
      </c>
      <c r="F89" s="26">
        <v>93.433962264150949</v>
      </c>
      <c r="G89" s="30">
        <f>IF(OR(D89="TARDIO",D89="PENDIENTE (TARDÍO)"),'Efectos y supuestos'!$B$8,0)</f>
        <v>0</v>
      </c>
      <c r="H89" s="14">
        <f t="shared" si="1"/>
        <v>0</v>
      </c>
    </row>
    <row r="90" spans="1:8" x14ac:dyDescent="0.35">
      <c r="A90" s="24" t="s">
        <v>97</v>
      </c>
      <c r="B90" s="29">
        <v>45872</v>
      </c>
      <c r="C90" s="24" t="s">
        <v>169</v>
      </c>
      <c r="D90" s="24" t="s">
        <v>167</v>
      </c>
      <c r="E90" s="25">
        <v>11.39</v>
      </c>
      <c r="F90" s="26">
        <v>98.68305531167691</v>
      </c>
      <c r="G90" s="30">
        <f>IF(OR(D90="TARDIO",D90="PENDIENTE (TARDÍO)"),'Efectos y supuestos'!$B$8,0)</f>
        <v>0</v>
      </c>
      <c r="H90" s="14">
        <f t="shared" si="1"/>
        <v>0</v>
      </c>
    </row>
    <row r="91" spans="1:8" x14ac:dyDescent="0.35">
      <c r="A91" s="24" t="s">
        <v>240</v>
      </c>
      <c r="B91" s="29">
        <v>45640</v>
      </c>
      <c r="C91" s="24" t="s">
        <v>169</v>
      </c>
      <c r="D91" s="24" t="s">
        <v>167</v>
      </c>
      <c r="E91" s="25">
        <v>5.62</v>
      </c>
      <c r="F91" s="26">
        <v>97.539145907473298</v>
      </c>
      <c r="G91" s="30">
        <f>IF(OR(D91="TARDIO",D91="PENDIENTE (TARDÍO)"),'Efectos y supuestos'!$B$8,0)</f>
        <v>0</v>
      </c>
      <c r="H91" s="14">
        <f t="shared" si="1"/>
        <v>0</v>
      </c>
    </row>
    <row r="92" spans="1:8" x14ac:dyDescent="0.35">
      <c r="A92" s="24" t="s">
        <v>241</v>
      </c>
      <c r="B92" s="29">
        <v>45733</v>
      </c>
      <c r="C92" s="24" t="s">
        <v>169</v>
      </c>
      <c r="D92" s="24" t="s">
        <v>167</v>
      </c>
      <c r="E92" s="25">
        <v>19.34</v>
      </c>
      <c r="F92" s="26">
        <v>85.443123061013452</v>
      </c>
      <c r="G92" s="30">
        <f>IF(OR(D92="TARDIO",D92="PENDIENTE (TARDÍO)"),'Efectos y supuestos'!$B$8,0)</f>
        <v>0</v>
      </c>
      <c r="H92" s="14">
        <f t="shared" si="1"/>
        <v>0</v>
      </c>
    </row>
    <row r="93" spans="1:8" x14ac:dyDescent="0.35">
      <c r="A93" s="24" t="s">
        <v>242</v>
      </c>
      <c r="B93" s="29">
        <v>45872</v>
      </c>
      <c r="C93" s="24" t="s">
        <v>169</v>
      </c>
      <c r="D93" s="24" t="s">
        <v>167</v>
      </c>
      <c r="E93" s="25">
        <v>4.3600000000000003</v>
      </c>
      <c r="F93" s="26">
        <v>98.42889908256879</v>
      </c>
      <c r="G93" s="30">
        <f>IF(OR(D93="TARDIO",D93="PENDIENTE (TARDÍO)"),'Efectos y supuestos'!$B$8,0)</f>
        <v>0</v>
      </c>
      <c r="H93" s="14">
        <f t="shared" si="1"/>
        <v>0</v>
      </c>
    </row>
    <row r="94" spans="1:8" x14ac:dyDescent="0.35">
      <c r="A94" s="24" t="s">
        <v>243</v>
      </c>
      <c r="B94" s="29">
        <v>45907</v>
      </c>
      <c r="C94" s="24" t="s">
        <v>169</v>
      </c>
      <c r="D94" s="24" t="s">
        <v>167</v>
      </c>
      <c r="E94" s="25">
        <v>8.82</v>
      </c>
      <c r="F94" s="26">
        <v>111.45578231292519</v>
      </c>
      <c r="G94" s="30">
        <f>IF(OR(D94="TARDIO",D94="PENDIENTE (TARDÍO)"),'Efectos y supuestos'!$B$8,0)</f>
        <v>0</v>
      </c>
      <c r="H94" s="14">
        <f t="shared" si="1"/>
        <v>0</v>
      </c>
    </row>
    <row r="95" spans="1:8" x14ac:dyDescent="0.35">
      <c r="A95" s="24" t="s">
        <v>244</v>
      </c>
      <c r="B95" s="29">
        <v>45925</v>
      </c>
      <c r="C95" s="24" t="s">
        <v>166</v>
      </c>
      <c r="D95" s="24" t="s">
        <v>167</v>
      </c>
      <c r="E95" s="25">
        <v>10.3</v>
      </c>
      <c r="F95" s="26">
        <v>99.1</v>
      </c>
      <c r="G95" s="30">
        <f>IF(OR(D95="TARDIO",D95="PENDIENTE (TARDÍO)"),'Efectos y supuestos'!$B$8,0)</f>
        <v>0</v>
      </c>
      <c r="H95" s="14">
        <f t="shared" si="1"/>
        <v>0</v>
      </c>
    </row>
    <row r="96" spans="1:8" x14ac:dyDescent="0.35">
      <c r="A96" s="24" t="s">
        <v>127</v>
      </c>
      <c r="B96" s="29">
        <v>45923</v>
      </c>
      <c r="C96" s="24" t="s">
        <v>166</v>
      </c>
      <c r="D96" s="24" t="s">
        <v>167</v>
      </c>
      <c r="E96" s="25">
        <v>18.57</v>
      </c>
      <c r="F96" s="26">
        <v>86.7</v>
      </c>
      <c r="G96" s="30">
        <f>IF(OR(D96="TARDIO",D96="PENDIENTE (TARDÍO)"),'Efectos y supuestos'!$B$8,0)</f>
        <v>0</v>
      </c>
      <c r="H96" s="14">
        <f t="shared" si="1"/>
        <v>0</v>
      </c>
    </row>
    <row r="97" spans="1:8" x14ac:dyDescent="0.35">
      <c r="A97" s="24" t="s">
        <v>245</v>
      </c>
      <c r="B97" s="29">
        <v>45919</v>
      </c>
      <c r="C97" s="24" t="s">
        <v>169</v>
      </c>
      <c r="D97" s="24" t="s">
        <v>167</v>
      </c>
      <c r="E97" s="25">
        <v>9.68</v>
      </c>
      <c r="F97" s="26">
        <v>99.87</v>
      </c>
      <c r="G97" s="30">
        <f>IF(OR(D97="TARDIO",D97="PENDIENTE (TARDÍO)"),'Efectos y supuestos'!$B$8,0)</f>
        <v>0</v>
      </c>
      <c r="H97" s="14">
        <f t="shared" si="1"/>
        <v>0</v>
      </c>
    </row>
    <row r="98" spans="1:8" x14ac:dyDescent="0.35">
      <c r="A98" s="24" t="s">
        <v>246</v>
      </c>
      <c r="B98" s="29">
        <v>45888</v>
      </c>
      <c r="C98" s="24" t="s">
        <v>169</v>
      </c>
      <c r="D98" s="24" t="s">
        <v>167</v>
      </c>
      <c r="E98" s="25">
        <v>12.22</v>
      </c>
      <c r="F98" s="26">
        <v>112.7823240589198</v>
      </c>
      <c r="G98" s="30">
        <f>IF(OR(D98="TARDIO",D98="PENDIENTE (TARDÍO)"),'Efectos y supuestos'!$B$8,0)</f>
        <v>0</v>
      </c>
      <c r="H98" s="14">
        <f t="shared" si="1"/>
        <v>0</v>
      </c>
    </row>
    <row r="99" spans="1:8" x14ac:dyDescent="0.35">
      <c r="A99" s="24" t="s">
        <v>247</v>
      </c>
      <c r="B99" s="29">
        <v>45726</v>
      </c>
      <c r="C99" s="24" t="s">
        <v>169</v>
      </c>
      <c r="D99" s="24" t="s">
        <v>167</v>
      </c>
      <c r="E99" s="25">
        <v>8.1499999999999986</v>
      </c>
      <c r="F99" s="26">
        <v>84.774233128834368</v>
      </c>
      <c r="G99" s="30">
        <f>IF(OR(D99="TARDIO",D99="PENDIENTE (TARDÍO)"),'Efectos y supuestos'!$B$8,0)</f>
        <v>0</v>
      </c>
      <c r="H99" s="14">
        <f t="shared" si="1"/>
        <v>0</v>
      </c>
    </row>
    <row r="100" spans="1:8" x14ac:dyDescent="0.35">
      <c r="A100" s="24" t="s">
        <v>248</v>
      </c>
      <c r="B100" s="29">
        <v>45741</v>
      </c>
      <c r="C100" s="24" t="s">
        <v>169</v>
      </c>
      <c r="D100" s="24" t="s">
        <v>167</v>
      </c>
      <c r="E100" s="25">
        <v>4.7</v>
      </c>
      <c r="F100" s="26">
        <v>73.259574468085106</v>
      </c>
      <c r="G100" s="30">
        <f>IF(OR(D100="TARDIO",D100="PENDIENTE (TARDÍO)"),'Efectos y supuestos'!$B$8,0)</f>
        <v>0</v>
      </c>
      <c r="H100" s="14">
        <f t="shared" si="1"/>
        <v>0</v>
      </c>
    </row>
    <row r="101" spans="1:8" x14ac:dyDescent="0.35">
      <c r="A101" s="24" t="s">
        <v>249</v>
      </c>
      <c r="B101" s="29">
        <v>45648</v>
      </c>
      <c r="C101" s="24" t="s">
        <v>169</v>
      </c>
      <c r="D101" s="24" t="s">
        <v>167</v>
      </c>
      <c r="E101" s="25">
        <v>5.21</v>
      </c>
      <c r="F101" s="26">
        <v>120.9961612284069</v>
      </c>
      <c r="G101" s="30">
        <f>IF(OR(D101="TARDIO",D101="PENDIENTE (TARDÍO)"),'Efectos y supuestos'!$B$8,0)</f>
        <v>0</v>
      </c>
      <c r="H101" s="14">
        <f t="shared" si="1"/>
        <v>0</v>
      </c>
    </row>
    <row r="102" spans="1:8" x14ac:dyDescent="0.35">
      <c r="A102" s="24" t="s">
        <v>250</v>
      </c>
      <c r="B102" s="29">
        <v>45852</v>
      </c>
      <c r="C102" s="24" t="s">
        <v>169</v>
      </c>
      <c r="D102" s="24" t="s">
        <v>167</v>
      </c>
      <c r="E102" s="25">
        <v>11.73</v>
      </c>
      <c r="F102" s="26">
        <v>125.5899403239557</v>
      </c>
      <c r="G102" s="30">
        <f>IF(OR(D102="TARDIO",D102="PENDIENTE (TARDÍO)"),'Efectos y supuestos'!$B$8,0)</f>
        <v>0</v>
      </c>
      <c r="H102" s="14">
        <f t="shared" si="1"/>
        <v>0</v>
      </c>
    </row>
    <row r="103" spans="1:8" x14ac:dyDescent="0.35">
      <c r="A103" s="24" t="s">
        <v>251</v>
      </c>
      <c r="B103" s="29">
        <v>45901</v>
      </c>
      <c r="C103" s="24" t="s">
        <v>169</v>
      </c>
      <c r="D103" s="24" t="s">
        <v>167</v>
      </c>
      <c r="E103" s="25">
        <v>15.7</v>
      </c>
      <c r="F103" s="26">
        <v>118.2541401273885</v>
      </c>
      <c r="G103" s="30">
        <f>IF(OR(D103="TARDIO",D103="PENDIENTE (TARDÍO)"),'Efectos y supuestos'!$B$8,0)</f>
        <v>0</v>
      </c>
      <c r="H103" s="14">
        <f t="shared" si="1"/>
        <v>0</v>
      </c>
    </row>
    <row r="104" spans="1:8" x14ac:dyDescent="0.35">
      <c r="A104" s="24" t="s">
        <v>252</v>
      </c>
      <c r="B104" s="29">
        <v>45876</v>
      </c>
      <c r="C104" s="24" t="s">
        <v>169</v>
      </c>
      <c r="D104" s="24" t="s">
        <v>167</v>
      </c>
      <c r="E104" s="25">
        <v>1.98</v>
      </c>
      <c r="F104" s="26">
        <v>94.742424242424249</v>
      </c>
      <c r="G104" s="30">
        <f>IF(OR(D104="TARDIO",D104="PENDIENTE (TARDÍO)"),'Efectos y supuestos'!$B$8,0)</f>
        <v>0</v>
      </c>
      <c r="H104" s="14">
        <f t="shared" si="1"/>
        <v>0</v>
      </c>
    </row>
    <row r="105" spans="1:8" x14ac:dyDescent="0.35">
      <c r="A105" s="24" t="s">
        <v>253</v>
      </c>
      <c r="B105" s="29">
        <v>45895</v>
      </c>
      <c r="C105" s="24" t="s">
        <v>169</v>
      </c>
      <c r="D105" s="24" t="s">
        <v>167</v>
      </c>
      <c r="E105" s="25">
        <v>16.100000000000001</v>
      </c>
      <c r="F105" s="26">
        <v>111.3142857142857</v>
      </c>
      <c r="G105" s="30">
        <f>IF(OR(D105="TARDIO",D105="PENDIENTE (TARDÍO)"),'Efectos y supuestos'!$B$8,0)</f>
        <v>0</v>
      </c>
      <c r="H105" s="14">
        <f t="shared" si="1"/>
        <v>0</v>
      </c>
    </row>
    <row r="106" spans="1:8" x14ac:dyDescent="0.35">
      <c r="A106" s="24" t="s">
        <v>254</v>
      </c>
      <c r="B106" s="29">
        <v>45895</v>
      </c>
      <c r="C106" s="24" t="s">
        <v>166</v>
      </c>
      <c r="D106" s="24" t="s">
        <v>167</v>
      </c>
      <c r="E106" s="25">
        <v>6.22</v>
      </c>
      <c r="F106" s="26">
        <v>105</v>
      </c>
      <c r="G106" s="30">
        <f>IF(OR(D106="TARDIO",D106="PENDIENTE (TARDÍO)"),'Efectos y supuestos'!$B$8,0)</f>
        <v>0</v>
      </c>
      <c r="H106" s="14">
        <f t="shared" si="1"/>
        <v>0</v>
      </c>
    </row>
    <row r="107" spans="1:8" x14ac:dyDescent="0.35">
      <c r="A107" s="24" t="s">
        <v>255</v>
      </c>
      <c r="B107" s="29">
        <v>45892</v>
      </c>
      <c r="C107" s="24" t="s">
        <v>169</v>
      </c>
      <c r="D107" s="24" t="s">
        <v>167</v>
      </c>
      <c r="E107" s="25">
        <v>6.06</v>
      </c>
      <c r="F107" s="26">
        <v>130.45874587458749</v>
      </c>
      <c r="G107" s="30">
        <f>IF(OR(D107="TARDIO",D107="PENDIENTE (TARDÍO)"),'Efectos y supuestos'!$B$8,0)</f>
        <v>0</v>
      </c>
      <c r="H107" s="14">
        <f t="shared" si="1"/>
        <v>0</v>
      </c>
    </row>
    <row r="108" spans="1:8" x14ac:dyDescent="0.35">
      <c r="A108" s="24" t="s">
        <v>256</v>
      </c>
      <c r="B108" s="29">
        <v>45856</v>
      </c>
      <c r="C108" s="24" t="s">
        <v>169</v>
      </c>
      <c r="D108" s="24" t="s">
        <v>167</v>
      </c>
      <c r="E108" s="25">
        <v>11.65</v>
      </c>
      <c r="F108" s="26">
        <v>97.229184549356219</v>
      </c>
      <c r="G108" s="30">
        <f>IF(OR(D108="TARDIO",D108="PENDIENTE (TARDÍO)"),'Efectos y supuestos'!$B$8,0)</f>
        <v>0</v>
      </c>
      <c r="H108" s="14">
        <f t="shared" si="1"/>
        <v>0</v>
      </c>
    </row>
    <row r="109" spans="1:8" x14ac:dyDescent="0.35">
      <c r="A109" s="24" t="s">
        <v>257</v>
      </c>
      <c r="B109" s="29">
        <v>45893</v>
      </c>
      <c r="C109" s="24" t="s">
        <v>169</v>
      </c>
      <c r="D109" s="24" t="s">
        <v>167</v>
      </c>
      <c r="E109" s="25">
        <v>5.98</v>
      </c>
      <c r="F109" s="26">
        <v>121.5752508361204</v>
      </c>
      <c r="G109" s="30">
        <f>IF(OR(D109="TARDIO",D109="PENDIENTE (TARDÍO)"),'Efectos y supuestos'!$B$8,0)</f>
        <v>0</v>
      </c>
      <c r="H109" s="14">
        <f t="shared" si="1"/>
        <v>0</v>
      </c>
    </row>
    <row r="110" spans="1:8" x14ac:dyDescent="0.35">
      <c r="A110" s="24" t="s">
        <v>258</v>
      </c>
      <c r="B110" s="29">
        <v>45873</v>
      </c>
      <c r="C110" s="24" t="s">
        <v>169</v>
      </c>
      <c r="D110" s="24" t="s">
        <v>167</v>
      </c>
      <c r="E110" s="25">
        <v>5.58</v>
      </c>
      <c r="F110" s="26">
        <v>122.9964157706093</v>
      </c>
      <c r="G110" s="30">
        <f>IF(OR(D110="TARDIO",D110="PENDIENTE (TARDÍO)"),'Efectos y supuestos'!$B$8,0)</f>
        <v>0</v>
      </c>
      <c r="H110" s="14">
        <f t="shared" si="1"/>
        <v>0</v>
      </c>
    </row>
    <row r="111" spans="1:8" x14ac:dyDescent="0.35">
      <c r="A111" s="24" t="s">
        <v>259</v>
      </c>
      <c r="B111" s="29">
        <v>45861</v>
      </c>
      <c r="C111" s="24" t="s">
        <v>169</v>
      </c>
      <c r="D111" s="24" t="s">
        <v>167</v>
      </c>
      <c r="E111" s="25">
        <v>5.97</v>
      </c>
      <c r="F111" s="26">
        <v>109.01842546063649</v>
      </c>
      <c r="G111" s="30">
        <f>IF(OR(D111="TARDIO",D111="PENDIENTE (TARDÍO)"),'Efectos y supuestos'!$B$8,0)</f>
        <v>0</v>
      </c>
      <c r="H111" s="14">
        <f t="shared" si="1"/>
        <v>0</v>
      </c>
    </row>
    <row r="112" spans="1:8" x14ac:dyDescent="0.35">
      <c r="A112" s="24" t="s">
        <v>260</v>
      </c>
      <c r="B112" s="29">
        <v>45892</v>
      </c>
      <c r="C112" s="24" t="s">
        <v>169</v>
      </c>
      <c r="D112" s="24" t="s">
        <v>167</v>
      </c>
      <c r="E112" s="25">
        <v>9.64</v>
      </c>
      <c r="F112" s="26">
        <v>107.4917012448133</v>
      </c>
      <c r="G112" s="30">
        <f>IF(OR(D112="TARDIO",D112="PENDIENTE (TARDÍO)"),'Efectos y supuestos'!$B$8,0)</f>
        <v>0</v>
      </c>
      <c r="H112" s="14">
        <f t="shared" si="1"/>
        <v>0</v>
      </c>
    </row>
    <row r="113" spans="1:8" x14ac:dyDescent="0.35">
      <c r="A113" s="24" t="s">
        <v>261</v>
      </c>
      <c r="B113" s="29">
        <v>45856</v>
      </c>
      <c r="C113" s="24" t="s">
        <v>169</v>
      </c>
      <c r="D113" s="24" t="s">
        <v>167</v>
      </c>
      <c r="E113" s="25">
        <v>16.329999999999998</v>
      </c>
      <c r="F113" s="26">
        <v>116.3619105939988</v>
      </c>
      <c r="G113" s="30">
        <f>IF(OR(D113="TARDIO",D113="PENDIENTE (TARDÍO)"),'Efectos y supuestos'!$B$8,0)</f>
        <v>0</v>
      </c>
      <c r="H113" s="14">
        <f t="shared" si="1"/>
        <v>0</v>
      </c>
    </row>
    <row r="114" spans="1:8" x14ac:dyDescent="0.35">
      <c r="A114" s="24" t="s">
        <v>262</v>
      </c>
      <c r="B114" s="29">
        <v>45854</v>
      </c>
      <c r="C114" s="24" t="s">
        <v>169</v>
      </c>
      <c r="D114" s="24" t="s">
        <v>167</v>
      </c>
      <c r="E114" s="25">
        <v>16.170000000000002</v>
      </c>
      <c r="F114" s="26">
        <v>111.9387755102041</v>
      </c>
      <c r="G114" s="30">
        <f>IF(OR(D114="TARDIO",D114="PENDIENTE (TARDÍO)"),'Efectos y supuestos'!$B$8,0)</f>
        <v>0</v>
      </c>
      <c r="H114" s="14">
        <f t="shared" si="1"/>
        <v>0</v>
      </c>
    </row>
    <row r="115" spans="1:8" x14ac:dyDescent="0.35">
      <c r="A115" s="24" t="s">
        <v>263</v>
      </c>
      <c r="B115" s="29">
        <v>45858</v>
      </c>
      <c r="C115" s="24" t="s">
        <v>169</v>
      </c>
      <c r="D115" s="24" t="s">
        <v>167</v>
      </c>
      <c r="E115" s="25">
        <v>17.38</v>
      </c>
      <c r="F115" s="26">
        <v>116.0448791714614</v>
      </c>
      <c r="G115" s="30">
        <f>IF(OR(D115="TARDIO",D115="PENDIENTE (TARDÍO)"),'Efectos y supuestos'!$B$8,0)</f>
        <v>0</v>
      </c>
      <c r="H115" s="14">
        <f t="shared" si="1"/>
        <v>0</v>
      </c>
    </row>
    <row r="116" spans="1:8" x14ac:dyDescent="0.35">
      <c r="A116" s="24" t="s">
        <v>264</v>
      </c>
      <c r="B116" s="29">
        <v>45642</v>
      </c>
      <c r="C116" s="24" t="s">
        <v>169</v>
      </c>
      <c r="D116" s="24" t="s">
        <v>167</v>
      </c>
      <c r="E116" s="25">
        <v>9.9600000000000009</v>
      </c>
      <c r="F116" s="26">
        <v>107.3473895582329</v>
      </c>
      <c r="G116" s="30">
        <f>IF(OR(D116="TARDIO",D116="PENDIENTE (TARDÍO)"),'Efectos y supuestos'!$B$8,0)</f>
        <v>0</v>
      </c>
      <c r="H116" s="14">
        <f t="shared" si="1"/>
        <v>0</v>
      </c>
    </row>
    <row r="117" spans="1:8" x14ac:dyDescent="0.35">
      <c r="A117" s="24" t="s">
        <v>265</v>
      </c>
      <c r="B117" s="29">
        <v>45581</v>
      </c>
      <c r="C117" s="24" t="s">
        <v>169</v>
      </c>
      <c r="D117" s="24" t="s">
        <v>167</v>
      </c>
      <c r="E117" s="25">
        <v>3.18</v>
      </c>
      <c r="F117" s="26">
        <v>134.53459119496861</v>
      </c>
      <c r="G117" s="30">
        <f>IF(OR(D117="TARDIO",D117="PENDIENTE (TARDÍO)"),'Efectos y supuestos'!$B$8,0)</f>
        <v>0</v>
      </c>
      <c r="H117" s="14">
        <f t="shared" si="1"/>
        <v>0</v>
      </c>
    </row>
    <row r="118" spans="1:8" x14ac:dyDescent="0.35">
      <c r="A118" s="24" t="s">
        <v>266</v>
      </c>
      <c r="B118" s="29">
        <v>45876</v>
      </c>
      <c r="C118" s="24" t="s">
        <v>169</v>
      </c>
      <c r="D118" s="24" t="s">
        <v>167</v>
      </c>
      <c r="E118" s="25">
        <v>6.2</v>
      </c>
      <c r="F118" s="26">
        <v>111.3048387096774</v>
      </c>
      <c r="G118" s="30">
        <f>IF(OR(D118="TARDIO",D118="PENDIENTE (TARDÍO)"),'Efectos y supuestos'!$B$8,0)</f>
        <v>0</v>
      </c>
      <c r="H118" s="14">
        <f t="shared" si="1"/>
        <v>0</v>
      </c>
    </row>
    <row r="119" spans="1:8" x14ac:dyDescent="0.35">
      <c r="A119" s="24" t="s">
        <v>267</v>
      </c>
      <c r="B119" s="29">
        <v>45826</v>
      </c>
      <c r="C119" s="24" t="s">
        <v>169</v>
      </c>
      <c r="D119" s="24" t="s">
        <v>167</v>
      </c>
      <c r="E119" s="25">
        <v>11.05</v>
      </c>
      <c r="F119" s="26">
        <v>88.835294117647052</v>
      </c>
      <c r="G119" s="30">
        <f>IF(OR(D119="TARDIO",D119="PENDIENTE (TARDÍO)"),'Efectos y supuestos'!$B$8,0)</f>
        <v>0</v>
      </c>
      <c r="H119" s="14">
        <f t="shared" si="1"/>
        <v>0</v>
      </c>
    </row>
    <row r="120" spans="1:8" x14ac:dyDescent="0.35">
      <c r="A120" s="24" t="s">
        <v>100</v>
      </c>
      <c r="B120" s="29">
        <v>45705</v>
      </c>
      <c r="C120" s="24" t="s">
        <v>169</v>
      </c>
      <c r="D120" s="24" t="s">
        <v>167</v>
      </c>
      <c r="E120" s="25">
        <v>3.4</v>
      </c>
      <c r="F120" s="26">
        <v>83.47058823529413</v>
      </c>
      <c r="G120" s="30">
        <f>IF(OR(D120="TARDIO",D120="PENDIENTE (TARDÍO)"),'Efectos y supuestos'!$B$8,0)</f>
        <v>0</v>
      </c>
      <c r="H120" s="14">
        <f t="shared" si="1"/>
        <v>0</v>
      </c>
    </row>
    <row r="121" spans="1:8" x14ac:dyDescent="0.35">
      <c r="A121" s="24" t="s">
        <v>268</v>
      </c>
      <c r="B121" s="29">
        <v>45705</v>
      </c>
      <c r="C121" s="24" t="s">
        <v>169</v>
      </c>
      <c r="D121" s="24" t="s">
        <v>167</v>
      </c>
      <c r="E121" s="25">
        <v>9.25</v>
      </c>
      <c r="F121" s="26">
        <v>77.781621621621625</v>
      </c>
      <c r="G121" s="30">
        <f>IF(OR(D121="TARDIO",D121="PENDIENTE (TARDÍO)"),'Efectos y supuestos'!$B$8,0)</f>
        <v>0</v>
      </c>
      <c r="H121" s="14">
        <f t="shared" si="1"/>
        <v>0</v>
      </c>
    </row>
    <row r="122" spans="1:8" x14ac:dyDescent="0.35">
      <c r="A122" s="24" t="s">
        <v>269</v>
      </c>
      <c r="B122" s="29">
        <v>45859</v>
      </c>
      <c r="C122" s="24" t="s">
        <v>169</v>
      </c>
      <c r="D122" s="24" t="s">
        <v>167</v>
      </c>
      <c r="E122" s="25">
        <v>4.13</v>
      </c>
      <c r="F122" s="26">
        <v>113.0847457627119</v>
      </c>
      <c r="G122" s="30">
        <f>IF(OR(D122="TARDIO",D122="PENDIENTE (TARDÍO)"),'Efectos y supuestos'!$B$8,0)</f>
        <v>0</v>
      </c>
      <c r="H122" s="14">
        <f t="shared" si="1"/>
        <v>0</v>
      </c>
    </row>
    <row r="123" spans="1:8" x14ac:dyDescent="0.35">
      <c r="A123" s="24" t="s">
        <v>270</v>
      </c>
      <c r="B123" s="29">
        <v>45899</v>
      </c>
      <c r="C123" s="24" t="s">
        <v>169</v>
      </c>
      <c r="D123" s="24" t="s">
        <v>167</v>
      </c>
      <c r="E123" s="25">
        <v>3.56</v>
      </c>
      <c r="F123" s="26">
        <v>123.42</v>
      </c>
      <c r="G123" s="30">
        <f>IF(OR(D123="TARDIO",D123="PENDIENTE (TARDÍO)"),'Efectos y supuestos'!$B$8,0)</f>
        <v>0</v>
      </c>
      <c r="H123" s="14">
        <f t="shared" si="1"/>
        <v>0</v>
      </c>
    </row>
    <row r="124" spans="1:8" x14ac:dyDescent="0.35">
      <c r="A124" s="24" t="s">
        <v>271</v>
      </c>
      <c r="B124" s="29">
        <v>45899</v>
      </c>
      <c r="C124" s="24" t="s">
        <v>169</v>
      </c>
      <c r="D124" s="24" t="s">
        <v>167</v>
      </c>
      <c r="E124" s="25">
        <v>9.26</v>
      </c>
      <c r="F124" s="26">
        <v>158.96</v>
      </c>
      <c r="G124" s="30">
        <f>IF(OR(D124="TARDIO",D124="PENDIENTE (TARDÍO)"),'Efectos y supuestos'!$B$8,0)</f>
        <v>0</v>
      </c>
      <c r="H124" s="14">
        <f t="shared" si="1"/>
        <v>0</v>
      </c>
    </row>
    <row r="125" spans="1:8" x14ac:dyDescent="0.35">
      <c r="A125" s="24" t="s">
        <v>272</v>
      </c>
      <c r="B125" s="29">
        <v>45724</v>
      </c>
      <c r="C125" s="24" t="s">
        <v>169</v>
      </c>
      <c r="D125" s="24" t="s">
        <v>167</v>
      </c>
      <c r="E125" s="25">
        <v>13.5</v>
      </c>
      <c r="F125" s="26">
        <v>79.031111111111116</v>
      </c>
      <c r="G125" s="30">
        <f>IF(OR(D125="TARDIO",D125="PENDIENTE (TARDÍO)"),'Efectos y supuestos'!$B$8,0)</f>
        <v>0</v>
      </c>
      <c r="H125" s="14">
        <f t="shared" si="1"/>
        <v>0</v>
      </c>
    </row>
    <row r="126" spans="1:8" x14ac:dyDescent="0.35">
      <c r="A126" s="24" t="s">
        <v>273</v>
      </c>
      <c r="B126" s="29">
        <v>45849</v>
      </c>
      <c r="C126" s="24" t="s">
        <v>169</v>
      </c>
      <c r="D126" s="24" t="s">
        <v>167</v>
      </c>
      <c r="E126" s="25">
        <v>12.99</v>
      </c>
      <c r="F126" s="26">
        <v>86.294842186297146</v>
      </c>
      <c r="G126" s="30">
        <f>IF(OR(D126="TARDIO",D126="PENDIENTE (TARDÍO)"),'Efectos y supuestos'!$B$8,0)</f>
        <v>0</v>
      </c>
      <c r="H126" s="14">
        <f t="shared" si="1"/>
        <v>0</v>
      </c>
    </row>
    <row r="127" spans="1:8" x14ac:dyDescent="0.35">
      <c r="A127" s="24" t="s">
        <v>274</v>
      </c>
      <c r="B127" s="29">
        <v>45643</v>
      </c>
      <c r="C127" s="24" t="s">
        <v>169</v>
      </c>
      <c r="D127" s="24" t="s">
        <v>167</v>
      </c>
      <c r="E127" s="25">
        <v>15.64</v>
      </c>
      <c r="F127" s="26">
        <v>110.8772378516624</v>
      </c>
      <c r="G127" s="30">
        <f>IF(OR(D127="TARDIO",D127="PENDIENTE (TARDÍO)"),'Efectos y supuestos'!$B$8,0)</f>
        <v>0</v>
      </c>
      <c r="H127" s="14">
        <f t="shared" si="1"/>
        <v>0</v>
      </c>
    </row>
    <row r="128" spans="1:8" x14ac:dyDescent="0.35">
      <c r="A128" s="24" t="s">
        <v>275</v>
      </c>
      <c r="B128" s="29">
        <v>45712</v>
      </c>
      <c r="C128" s="24" t="s">
        <v>169</v>
      </c>
      <c r="D128" s="24" t="s">
        <v>167</v>
      </c>
      <c r="E128" s="25">
        <v>20.420000000000002</v>
      </c>
      <c r="F128" s="26">
        <v>99.959843290891271</v>
      </c>
      <c r="G128" s="30">
        <f>IF(OR(D128="TARDIO",D128="PENDIENTE (TARDÍO)"),'Efectos y supuestos'!$B$8,0)</f>
        <v>0</v>
      </c>
      <c r="H128" s="14">
        <f t="shared" si="1"/>
        <v>0</v>
      </c>
    </row>
    <row r="129" spans="1:8" x14ac:dyDescent="0.35">
      <c r="A129" s="24" t="s">
        <v>276</v>
      </c>
      <c r="B129" s="29">
        <v>45910</v>
      </c>
      <c r="C129" s="24" t="s">
        <v>169</v>
      </c>
      <c r="D129" s="24" t="s">
        <v>167</v>
      </c>
      <c r="E129" s="25">
        <v>6.62</v>
      </c>
      <c r="F129" s="26">
        <v>97.353474320241688</v>
      </c>
      <c r="G129" s="30">
        <f>IF(OR(D129="TARDIO",D129="PENDIENTE (TARDÍO)"),'Efectos y supuestos'!$B$8,0)</f>
        <v>0</v>
      </c>
      <c r="H129" s="14">
        <f t="shared" si="1"/>
        <v>0</v>
      </c>
    </row>
    <row r="130" spans="1:8" x14ac:dyDescent="0.35">
      <c r="A130" s="24" t="s">
        <v>276</v>
      </c>
      <c r="B130" s="29">
        <v>45910</v>
      </c>
      <c r="C130" s="24" t="s">
        <v>169</v>
      </c>
      <c r="D130" s="24" t="s">
        <v>167</v>
      </c>
      <c r="E130" s="25">
        <v>6.62</v>
      </c>
      <c r="F130" s="26">
        <v>97.353474320241688</v>
      </c>
      <c r="G130" s="30">
        <f>IF(OR(D130="TARDIO",D130="PENDIENTE (TARDÍO)"),'Efectos y supuestos'!$B$8,0)</f>
        <v>0</v>
      </c>
      <c r="H130" s="14">
        <f t="shared" si="1"/>
        <v>0</v>
      </c>
    </row>
    <row r="131" spans="1:8" x14ac:dyDescent="0.35">
      <c r="A131" s="24" t="s">
        <v>277</v>
      </c>
      <c r="B131" s="29">
        <v>45911</v>
      </c>
      <c r="C131" s="24" t="s">
        <v>169</v>
      </c>
      <c r="D131" s="24" t="s">
        <v>167</v>
      </c>
      <c r="E131" s="25">
        <v>5.51</v>
      </c>
      <c r="F131" s="26">
        <v>102.513611615245</v>
      </c>
      <c r="G131" s="30">
        <f>IF(OR(D131="TARDIO",D131="PENDIENTE (TARDÍO)"),'Efectos y supuestos'!$B$8,0)</f>
        <v>0</v>
      </c>
      <c r="H131" s="14">
        <f t="shared" si="1"/>
        <v>0</v>
      </c>
    </row>
    <row r="132" spans="1:8" x14ac:dyDescent="0.35">
      <c r="A132" s="24" t="s">
        <v>278</v>
      </c>
      <c r="B132" s="29">
        <v>45815</v>
      </c>
      <c r="C132" s="24" t="s">
        <v>169</v>
      </c>
      <c r="D132" s="24" t="s">
        <v>167</v>
      </c>
      <c r="E132" s="25">
        <v>8.48</v>
      </c>
      <c r="F132" s="26">
        <v>138.7582547169811</v>
      </c>
      <c r="G132" s="30">
        <f>IF(OR(D132="TARDIO",D132="PENDIENTE (TARDÍO)"),'Efectos y supuestos'!$B$8,0)</f>
        <v>0</v>
      </c>
      <c r="H132" s="14">
        <f t="shared" si="1"/>
        <v>0</v>
      </c>
    </row>
    <row r="133" spans="1:8" x14ac:dyDescent="0.35">
      <c r="A133" s="24" t="s">
        <v>279</v>
      </c>
      <c r="B133" s="29">
        <v>45595</v>
      </c>
      <c r="C133" s="24" t="s">
        <v>169</v>
      </c>
      <c r="D133" s="24" t="s">
        <v>167</v>
      </c>
      <c r="E133" s="25">
        <v>3.98</v>
      </c>
      <c r="F133" s="26">
        <v>135.8492462311558</v>
      </c>
      <c r="G133" s="30">
        <f>IF(OR(D133="TARDIO",D133="PENDIENTE (TARDÍO)"),'Efectos y supuestos'!$B$8,0)</f>
        <v>0</v>
      </c>
      <c r="H133" s="14">
        <f t="shared" si="1"/>
        <v>0</v>
      </c>
    </row>
    <row r="134" spans="1:8" x14ac:dyDescent="0.35">
      <c r="A134" s="24" t="s">
        <v>131</v>
      </c>
      <c r="B134" s="29">
        <v>45959</v>
      </c>
      <c r="C134" s="24" t="s">
        <v>166</v>
      </c>
      <c r="D134" s="24" t="s">
        <v>167</v>
      </c>
      <c r="E134" s="25">
        <v>8.24</v>
      </c>
      <c r="F134" s="26">
        <v>97.9</v>
      </c>
      <c r="G134" s="30">
        <f>IF(OR(D134="TARDIO",D134="PENDIENTE (TARDÍO)"),'Efectos y supuestos'!$B$8,0)</f>
        <v>0</v>
      </c>
      <c r="H134" s="14">
        <f t="shared" ref="H134:H197" si="2">-G134*F134*E134</f>
        <v>0</v>
      </c>
    </row>
    <row r="135" spans="1:8" x14ac:dyDescent="0.35">
      <c r="A135" s="24" t="s">
        <v>280</v>
      </c>
      <c r="B135" s="29">
        <v>45912</v>
      </c>
      <c r="C135" s="24" t="s">
        <v>169</v>
      </c>
      <c r="D135" s="24" t="s">
        <v>167</v>
      </c>
      <c r="E135" s="25">
        <v>6.93</v>
      </c>
      <c r="F135" s="26">
        <v>103.95815295815299</v>
      </c>
      <c r="G135" s="30">
        <f>IF(OR(D135="TARDIO",D135="PENDIENTE (TARDÍO)"),'Efectos y supuestos'!$B$8,0)</f>
        <v>0</v>
      </c>
      <c r="H135" s="14">
        <f t="shared" si="2"/>
        <v>0</v>
      </c>
    </row>
    <row r="136" spans="1:8" x14ac:dyDescent="0.35">
      <c r="A136" s="24" t="s">
        <v>101</v>
      </c>
      <c r="B136" s="29">
        <v>45920</v>
      </c>
      <c r="C136" s="24" t="s">
        <v>169</v>
      </c>
      <c r="D136" s="24" t="s">
        <v>167</v>
      </c>
      <c r="E136" s="25">
        <v>12.44</v>
      </c>
      <c r="F136" s="26">
        <v>90.610932475884255</v>
      </c>
      <c r="G136" s="30">
        <f>IF(OR(D136="TARDIO",D136="PENDIENTE (TARDÍO)"),'Efectos y supuestos'!$B$8,0)</f>
        <v>0</v>
      </c>
      <c r="H136" s="14">
        <f t="shared" si="2"/>
        <v>0</v>
      </c>
    </row>
    <row r="137" spans="1:8" x14ac:dyDescent="0.35">
      <c r="A137" s="24" t="s">
        <v>281</v>
      </c>
      <c r="B137" s="29">
        <v>45843</v>
      </c>
      <c r="C137" s="24" t="s">
        <v>169</v>
      </c>
      <c r="D137" s="24" t="s">
        <v>167</v>
      </c>
      <c r="E137" s="25">
        <v>5.34</v>
      </c>
      <c r="F137" s="26">
        <v>120.88764044943819</v>
      </c>
      <c r="G137" s="30">
        <f>IF(OR(D137="TARDIO",D137="PENDIENTE (TARDÍO)"),'Efectos y supuestos'!$B$8,0)</f>
        <v>0</v>
      </c>
      <c r="H137" s="14">
        <f t="shared" si="2"/>
        <v>0</v>
      </c>
    </row>
    <row r="138" spans="1:8" x14ac:dyDescent="0.35">
      <c r="A138" s="24" t="s">
        <v>282</v>
      </c>
      <c r="B138" s="29">
        <v>45881</v>
      </c>
      <c r="C138" s="24" t="s">
        <v>169</v>
      </c>
      <c r="D138" s="24" t="s">
        <v>167</v>
      </c>
      <c r="E138" s="25">
        <v>9</v>
      </c>
      <c r="F138" s="26">
        <v>96.49</v>
      </c>
      <c r="G138" s="30">
        <f>IF(OR(D138="TARDIO",D138="PENDIENTE (TARDÍO)"),'Efectos y supuestos'!$B$8,0)</f>
        <v>0</v>
      </c>
      <c r="H138" s="14">
        <f t="shared" si="2"/>
        <v>0</v>
      </c>
    </row>
    <row r="139" spans="1:8" x14ac:dyDescent="0.35">
      <c r="A139" s="24" t="s">
        <v>283</v>
      </c>
      <c r="B139" s="29">
        <v>45766</v>
      </c>
      <c r="C139" s="24" t="s">
        <v>169</v>
      </c>
      <c r="D139" s="24" t="s">
        <v>167</v>
      </c>
      <c r="E139" s="25">
        <v>11.87</v>
      </c>
      <c r="F139" s="26">
        <v>125.54675652906489</v>
      </c>
      <c r="G139" s="30">
        <f>IF(OR(D139="TARDIO",D139="PENDIENTE (TARDÍO)"),'Efectos y supuestos'!$B$8,0)</f>
        <v>0</v>
      </c>
      <c r="H139" s="14">
        <f t="shared" si="2"/>
        <v>0</v>
      </c>
    </row>
    <row r="140" spans="1:8" x14ac:dyDescent="0.35">
      <c r="A140" s="24" t="s">
        <v>284</v>
      </c>
      <c r="B140" s="29">
        <v>45766</v>
      </c>
      <c r="C140" s="24" t="s">
        <v>169</v>
      </c>
      <c r="D140" s="24" t="s">
        <v>167</v>
      </c>
      <c r="E140" s="25">
        <v>4.4400000000000004</v>
      </c>
      <c r="F140" s="26">
        <v>119.0833333333333</v>
      </c>
      <c r="G140" s="30">
        <f>IF(OR(D140="TARDIO",D140="PENDIENTE (TARDÍO)"),'Efectos y supuestos'!$B$8,0)</f>
        <v>0</v>
      </c>
      <c r="H140" s="14">
        <f t="shared" si="2"/>
        <v>0</v>
      </c>
    </row>
    <row r="141" spans="1:8" x14ac:dyDescent="0.35">
      <c r="A141" s="24" t="s">
        <v>285</v>
      </c>
      <c r="B141" s="29">
        <v>45811</v>
      </c>
      <c r="C141" s="24" t="s">
        <v>169</v>
      </c>
      <c r="D141" s="24" t="s">
        <v>167</v>
      </c>
      <c r="E141" s="25">
        <v>5.8</v>
      </c>
      <c r="F141" s="26">
        <v>121.32241379310349</v>
      </c>
      <c r="G141" s="30">
        <f>IF(OR(D141="TARDIO",D141="PENDIENTE (TARDÍO)"),'Efectos y supuestos'!$B$8,0)</f>
        <v>0</v>
      </c>
      <c r="H141" s="14">
        <f t="shared" si="2"/>
        <v>0</v>
      </c>
    </row>
    <row r="142" spans="1:8" x14ac:dyDescent="0.35">
      <c r="A142" s="24" t="s">
        <v>286</v>
      </c>
      <c r="B142" s="29">
        <v>45877</v>
      </c>
      <c r="C142" s="24" t="s">
        <v>169</v>
      </c>
      <c r="D142" s="24" t="s">
        <v>167</v>
      </c>
      <c r="E142" s="25">
        <v>12.52</v>
      </c>
      <c r="F142" s="26">
        <v>92.825878594249204</v>
      </c>
      <c r="G142" s="30">
        <f>IF(OR(D142="TARDIO",D142="PENDIENTE (TARDÍO)"),'Efectos y supuestos'!$B$8,0)</f>
        <v>0</v>
      </c>
      <c r="H142" s="14">
        <f t="shared" si="2"/>
        <v>0</v>
      </c>
    </row>
    <row r="143" spans="1:8" x14ac:dyDescent="0.35">
      <c r="A143" s="24" t="s">
        <v>287</v>
      </c>
      <c r="B143" s="29">
        <v>45843</v>
      </c>
      <c r="C143" s="24" t="s">
        <v>169</v>
      </c>
      <c r="D143" s="24" t="s">
        <v>167</v>
      </c>
      <c r="E143" s="25">
        <v>9.2200000000000006</v>
      </c>
      <c r="F143" s="26">
        <v>96.718004338394792</v>
      </c>
      <c r="G143" s="30">
        <f>IF(OR(D143="TARDIO",D143="PENDIENTE (TARDÍO)"),'Efectos y supuestos'!$B$8,0)</f>
        <v>0</v>
      </c>
      <c r="H143" s="14">
        <f t="shared" si="2"/>
        <v>0</v>
      </c>
    </row>
    <row r="144" spans="1:8" x14ac:dyDescent="0.35">
      <c r="A144" s="24" t="s">
        <v>288</v>
      </c>
      <c r="B144" s="29">
        <v>45812</v>
      </c>
      <c r="C144" s="24" t="s">
        <v>169</v>
      </c>
      <c r="D144" s="24" t="s">
        <v>167</v>
      </c>
      <c r="E144" s="25">
        <v>2.89</v>
      </c>
      <c r="F144" s="26">
        <v>117.4463667820069</v>
      </c>
      <c r="G144" s="30">
        <f>IF(OR(D144="TARDIO",D144="PENDIENTE (TARDÍO)"),'Efectos y supuestos'!$B$8,0)</f>
        <v>0</v>
      </c>
      <c r="H144" s="14">
        <f t="shared" si="2"/>
        <v>0</v>
      </c>
    </row>
    <row r="145" spans="1:8" x14ac:dyDescent="0.35">
      <c r="A145" s="24" t="s">
        <v>289</v>
      </c>
      <c r="B145" s="29">
        <v>45951</v>
      </c>
      <c r="C145" s="24" t="s">
        <v>169</v>
      </c>
      <c r="D145" s="24" t="s">
        <v>167</v>
      </c>
      <c r="E145" s="25">
        <v>3.09</v>
      </c>
      <c r="F145" s="26">
        <v>112.03</v>
      </c>
      <c r="G145" s="30">
        <f>IF(OR(D145="TARDIO",D145="PENDIENTE (TARDÍO)"),'Efectos y supuestos'!$B$8,0)</f>
        <v>0</v>
      </c>
      <c r="H145" s="14">
        <f t="shared" si="2"/>
        <v>0</v>
      </c>
    </row>
    <row r="146" spans="1:8" x14ac:dyDescent="0.35">
      <c r="A146" s="24" t="s">
        <v>290</v>
      </c>
      <c r="B146" s="29">
        <v>45815</v>
      </c>
      <c r="C146" s="24" t="s">
        <v>169</v>
      </c>
      <c r="D146" s="24" t="s">
        <v>167</v>
      </c>
      <c r="E146" s="25">
        <v>5.56</v>
      </c>
      <c r="F146" s="26">
        <v>108.8291366906475</v>
      </c>
      <c r="G146" s="30">
        <f>IF(OR(D146="TARDIO",D146="PENDIENTE (TARDÍO)"),'Efectos y supuestos'!$B$8,0)</f>
        <v>0</v>
      </c>
      <c r="H146" s="14">
        <f t="shared" si="2"/>
        <v>0</v>
      </c>
    </row>
    <row r="147" spans="1:8" x14ac:dyDescent="0.35">
      <c r="A147" s="24" t="s">
        <v>291</v>
      </c>
      <c r="B147" s="29">
        <v>45908</v>
      </c>
      <c r="C147" s="24" t="s">
        <v>169</v>
      </c>
      <c r="D147" s="24" t="s">
        <v>167</v>
      </c>
      <c r="E147" s="25">
        <v>11.97</v>
      </c>
      <c r="F147" s="26">
        <v>99.169590643274844</v>
      </c>
      <c r="G147" s="30">
        <f>IF(OR(D147="TARDIO",D147="PENDIENTE (TARDÍO)"),'Efectos y supuestos'!$B$8,0)</f>
        <v>0</v>
      </c>
      <c r="H147" s="14">
        <f t="shared" si="2"/>
        <v>0</v>
      </c>
    </row>
    <row r="148" spans="1:8" x14ac:dyDescent="0.35">
      <c r="A148" s="24" t="s">
        <v>292</v>
      </c>
      <c r="B148" s="29">
        <v>45908</v>
      </c>
      <c r="C148" s="24" t="s">
        <v>169</v>
      </c>
      <c r="D148" s="24" t="s">
        <v>167</v>
      </c>
      <c r="E148" s="25">
        <v>5.34</v>
      </c>
      <c r="F148" s="26">
        <v>90.312734082397</v>
      </c>
      <c r="G148" s="30">
        <f>IF(OR(D148="TARDIO",D148="PENDIENTE (TARDÍO)"),'Efectos y supuestos'!$B$8,0)</f>
        <v>0</v>
      </c>
      <c r="H148" s="14">
        <f t="shared" si="2"/>
        <v>0</v>
      </c>
    </row>
    <row r="149" spans="1:8" x14ac:dyDescent="0.35">
      <c r="A149" s="24" t="s">
        <v>293</v>
      </c>
      <c r="B149" s="29">
        <v>45826</v>
      </c>
      <c r="C149" s="24" t="s">
        <v>169</v>
      </c>
      <c r="D149" s="24" t="s">
        <v>167</v>
      </c>
      <c r="E149" s="25">
        <v>3.17</v>
      </c>
      <c r="F149" s="26">
        <v>91.419558359621462</v>
      </c>
      <c r="G149" s="30">
        <f>IF(OR(D149="TARDIO",D149="PENDIENTE (TARDÍO)"),'Efectos y supuestos'!$B$8,0)</f>
        <v>0</v>
      </c>
      <c r="H149" s="14">
        <f t="shared" si="2"/>
        <v>0</v>
      </c>
    </row>
    <row r="150" spans="1:8" x14ac:dyDescent="0.35">
      <c r="A150" s="24" t="s">
        <v>294</v>
      </c>
      <c r="B150" s="29">
        <v>45811</v>
      </c>
      <c r="C150" s="24" t="s">
        <v>169</v>
      </c>
      <c r="D150" s="24" t="s">
        <v>167</v>
      </c>
      <c r="E150" s="25">
        <v>4.46</v>
      </c>
      <c r="F150" s="26">
        <v>105.5762331838565</v>
      </c>
      <c r="G150" s="30">
        <f>IF(OR(D150="TARDIO",D150="PENDIENTE (TARDÍO)"),'Efectos y supuestos'!$B$8,0)</f>
        <v>0</v>
      </c>
      <c r="H150" s="14">
        <f t="shared" si="2"/>
        <v>0</v>
      </c>
    </row>
    <row r="151" spans="1:8" x14ac:dyDescent="0.35">
      <c r="A151" s="24" t="s">
        <v>295</v>
      </c>
      <c r="B151" s="29">
        <v>45826</v>
      </c>
      <c r="C151" s="24" t="s">
        <v>169</v>
      </c>
      <c r="D151" s="24" t="s">
        <v>167</v>
      </c>
      <c r="E151" s="25">
        <v>3.66</v>
      </c>
      <c r="F151" s="26">
        <v>148.75956284153011</v>
      </c>
      <c r="G151" s="30">
        <f>IF(OR(D151="TARDIO",D151="PENDIENTE (TARDÍO)"),'Efectos y supuestos'!$B$8,0)</f>
        <v>0</v>
      </c>
      <c r="H151" s="14">
        <f t="shared" si="2"/>
        <v>0</v>
      </c>
    </row>
    <row r="152" spans="1:8" x14ac:dyDescent="0.35">
      <c r="A152" s="24" t="s">
        <v>296</v>
      </c>
      <c r="B152" s="29">
        <v>45813</v>
      </c>
      <c r="C152" s="24" t="s">
        <v>169</v>
      </c>
      <c r="D152" s="24" t="s">
        <v>167</v>
      </c>
      <c r="E152" s="25">
        <v>2.14</v>
      </c>
      <c r="F152" s="26">
        <v>123.2429906542056</v>
      </c>
      <c r="G152" s="30">
        <f>IF(OR(D152="TARDIO",D152="PENDIENTE (TARDÍO)"),'Efectos y supuestos'!$B$8,0)</f>
        <v>0</v>
      </c>
      <c r="H152" s="14">
        <f t="shared" si="2"/>
        <v>0</v>
      </c>
    </row>
    <row r="153" spans="1:8" x14ac:dyDescent="0.35">
      <c r="A153" s="24" t="s">
        <v>297</v>
      </c>
      <c r="B153" s="29">
        <v>45838</v>
      </c>
      <c r="C153" s="24" t="s">
        <v>169</v>
      </c>
      <c r="D153" s="24" t="s">
        <v>167</v>
      </c>
      <c r="E153" s="25">
        <v>1.55</v>
      </c>
      <c r="F153" s="26">
        <v>143</v>
      </c>
      <c r="G153" s="30">
        <f>IF(OR(D153="TARDIO",D153="PENDIENTE (TARDÍO)"),'Efectos y supuestos'!$B$8,0)</f>
        <v>0</v>
      </c>
      <c r="H153" s="14">
        <f t="shared" si="2"/>
        <v>0</v>
      </c>
    </row>
    <row r="154" spans="1:8" x14ac:dyDescent="0.35">
      <c r="A154" s="24" t="s">
        <v>298</v>
      </c>
      <c r="B154" s="29">
        <v>45912</v>
      </c>
      <c r="C154" s="24" t="s">
        <v>169</v>
      </c>
      <c r="D154" s="24" t="s">
        <v>167</v>
      </c>
      <c r="E154" s="25">
        <v>6.37</v>
      </c>
      <c r="F154" s="26">
        <v>95.949764521193103</v>
      </c>
      <c r="G154" s="30">
        <f>IF(OR(D154="TARDIO",D154="PENDIENTE (TARDÍO)"),'Efectos y supuestos'!$B$8,0)</f>
        <v>0</v>
      </c>
      <c r="H154" s="14">
        <f t="shared" si="2"/>
        <v>0</v>
      </c>
    </row>
    <row r="155" spans="1:8" x14ac:dyDescent="0.35">
      <c r="A155" s="24" t="s">
        <v>299</v>
      </c>
      <c r="B155" s="29">
        <v>45707</v>
      </c>
      <c r="C155" s="24" t="s">
        <v>169</v>
      </c>
      <c r="D155" s="24" t="s">
        <v>167</v>
      </c>
      <c r="E155" s="25">
        <v>6.12</v>
      </c>
      <c r="F155" s="26">
        <v>104.92156862745099</v>
      </c>
      <c r="G155" s="30">
        <f>IF(OR(D155="TARDIO",D155="PENDIENTE (TARDÍO)"),'Efectos y supuestos'!$B$8,0)</f>
        <v>0</v>
      </c>
      <c r="H155" s="14">
        <f t="shared" si="2"/>
        <v>0</v>
      </c>
    </row>
    <row r="156" spans="1:8" x14ac:dyDescent="0.35">
      <c r="A156" s="24" t="s">
        <v>300</v>
      </c>
      <c r="B156" s="29">
        <v>45700</v>
      </c>
      <c r="C156" s="24" t="s">
        <v>169</v>
      </c>
      <c r="D156" s="24" t="s">
        <v>167</v>
      </c>
      <c r="E156" s="25">
        <v>0.23</v>
      </c>
      <c r="F156" s="26">
        <v>144.78260869565219</v>
      </c>
      <c r="G156" s="30">
        <f>IF(OR(D156="TARDIO",D156="PENDIENTE (TARDÍO)"),'Efectos y supuestos'!$B$8,0)</f>
        <v>0</v>
      </c>
      <c r="H156" s="14">
        <f t="shared" si="2"/>
        <v>0</v>
      </c>
    </row>
    <row r="157" spans="1:8" x14ac:dyDescent="0.35">
      <c r="A157" s="24" t="s">
        <v>301</v>
      </c>
      <c r="B157" s="29">
        <v>45951</v>
      </c>
      <c r="C157" s="24" t="s">
        <v>166</v>
      </c>
      <c r="D157" s="24" t="s">
        <v>167</v>
      </c>
      <c r="E157" s="25">
        <v>20.98</v>
      </c>
      <c r="F157" s="26">
        <v>93.3</v>
      </c>
      <c r="G157" s="30">
        <f>IF(OR(D157="TARDIO",D157="PENDIENTE (TARDÍO)"),'Efectos y supuestos'!$B$8,0)</f>
        <v>0</v>
      </c>
      <c r="H157" s="14">
        <f t="shared" si="2"/>
        <v>0</v>
      </c>
    </row>
    <row r="158" spans="1:8" x14ac:dyDescent="0.35">
      <c r="A158" s="24" t="s">
        <v>302</v>
      </c>
      <c r="B158" s="29">
        <v>45814</v>
      </c>
      <c r="C158" s="24" t="s">
        <v>169</v>
      </c>
      <c r="D158" s="24" t="s">
        <v>167</v>
      </c>
      <c r="E158" s="25">
        <v>4.0199999999999996</v>
      </c>
      <c r="F158" s="26">
        <v>116.4253731343284</v>
      </c>
      <c r="G158" s="30">
        <f>IF(OR(D158="TARDIO",D158="PENDIENTE (TARDÍO)"),'Efectos y supuestos'!$B$8,0)</f>
        <v>0</v>
      </c>
      <c r="H158" s="14">
        <f t="shared" si="2"/>
        <v>0</v>
      </c>
    </row>
    <row r="159" spans="1:8" x14ac:dyDescent="0.35">
      <c r="A159" s="24" t="s">
        <v>303</v>
      </c>
      <c r="B159" s="29">
        <v>45726</v>
      </c>
      <c r="C159" s="24" t="s">
        <v>169</v>
      </c>
      <c r="D159" s="24" t="s">
        <v>167</v>
      </c>
      <c r="E159" s="25">
        <v>8.85</v>
      </c>
      <c r="F159" s="26">
        <v>110.7728813559322</v>
      </c>
      <c r="G159" s="30">
        <f>IF(OR(D159="TARDIO",D159="PENDIENTE (TARDÍO)"),'Efectos y supuestos'!$B$8,0)</f>
        <v>0</v>
      </c>
      <c r="H159" s="14">
        <f t="shared" si="2"/>
        <v>0</v>
      </c>
    </row>
    <row r="160" spans="1:8" x14ac:dyDescent="0.35">
      <c r="A160" s="24" t="s">
        <v>304</v>
      </c>
      <c r="B160" s="29">
        <v>45837</v>
      </c>
      <c r="C160" s="24" t="s">
        <v>169</v>
      </c>
      <c r="D160" s="24" t="s">
        <v>167</v>
      </c>
      <c r="E160" s="25">
        <v>8.9600000000000009</v>
      </c>
      <c r="F160" s="26">
        <v>119.0859375</v>
      </c>
      <c r="G160" s="30">
        <f>IF(OR(D160="TARDIO",D160="PENDIENTE (TARDÍO)"),'Efectos y supuestos'!$B$8,0)</f>
        <v>0</v>
      </c>
      <c r="H160" s="14">
        <f t="shared" si="2"/>
        <v>0</v>
      </c>
    </row>
    <row r="161" spans="1:8" x14ac:dyDescent="0.35">
      <c r="A161" s="24" t="s">
        <v>305</v>
      </c>
      <c r="B161" s="29">
        <v>45815</v>
      </c>
      <c r="C161" s="24" t="s">
        <v>169</v>
      </c>
      <c r="D161" s="24" t="s">
        <v>167</v>
      </c>
      <c r="E161" s="25">
        <v>5.93</v>
      </c>
      <c r="F161" s="26">
        <v>132.60370994940979</v>
      </c>
      <c r="G161" s="30">
        <f>IF(OR(D161="TARDIO",D161="PENDIENTE (TARDÍO)"),'Efectos y supuestos'!$B$8,0)</f>
        <v>0</v>
      </c>
      <c r="H161" s="14">
        <f t="shared" si="2"/>
        <v>0</v>
      </c>
    </row>
    <row r="162" spans="1:8" x14ac:dyDescent="0.35">
      <c r="A162" s="24" t="s">
        <v>306</v>
      </c>
      <c r="B162" s="29">
        <v>45951</v>
      </c>
      <c r="C162" s="24" t="s">
        <v>169</v>
      </c>
      <c r="D162" s="24" t="s">
        <v>167</v>
      </c>
      <c r="E162" s="25">
        <v>18.489999999999998</v>
      </c>
      <c r="F162" s="26">
        <v>121.13</v>
      </c>
      <c r="G162" s="30">
        <f>IF(OR(D162="TARDIO",D162="PENDIENTE (TARDÍO)"),'Efectos y supuestos'!$B$8,0)</f>
        <v>0</v>
      </c>
      <c r="H162" s="14">
        <f t="shared" si="2"/>
        <v>0</v>
      </c>
    </row>
    <row r="163" spans="1:8" x14ac:dyDescent="0.35">
      <c r="A163" s="24" t="s">
        <v>307</v>
      </c>
      <c r="B163" s="29">
        <v>45897</v>
      </c>
      <c r="C163" s="24" t="s">
        <v>169</v>
      </c>
      <c r="D163" s="24" t="s">
        <v>167</v>
      </c>
      <c r="E163" s="25">
        <v>18.63</v>
      </c>
      <c r="F163" s="26">
        <v>129.1551261406334</v>
      </c>
      <c r="G163" s="30">
        <f>IF(OR(D163="TARDIO",D163="PENDIENTE (TARDÍO)"),'Efectos y supuestos'!$B$8,0)</f>
        <v>0</v>
      </c>
      <c r="H163" s="14">
        <f t="shared" si="2"/>
        <v>0</v>
      </c>
    </row>
    <row r="164" spans="1:8" x14ac:dyDescent="0.35">
      <c r="A164" s="24" t="s">
        <v>308</v>
      </c>
      <c r="B164" s="29">
        <v>45898</v>
      </c>
      <c r="C164" s="24" t="s">
        <v>166</v>
      </c>
      <c r="D164" s="24" t="s">
        <v>167</v>
      </c>
      <c r="E164" s="25">
        <v>4.58</v>
      </c>
      <c r="F164" s="26">
        <v>105</v>
      </c>
      <c r="G164" s="30">
        <f>IF(OR(D164="TARDIO",D164="PENDIENTE (TARDÍO)"),'Efectos y supuestos'!$B$8,0)</f>
        <v>0</v>
      </c>
      <c r="H164" s="14">
        <f t="shared" si="2"/>
        <v>0</v>
      </c>
    </row>
    <row r="165" spans="1:8" x14ac:dyDescent="0.35">
      <c r="A165" s="24" t="s">
        <v>309</v>
      </c>
      <c r="B165" s="29">
        <v>45838</v>
      </c>
      <c r="C165" s="24" t="s">
        <v>169</v>
      </c>
      <c r="D165" s="24" t="s">
        <v>167</v>
      </c>
      <c r="E165" s="25">
        <v>4.59</v>
      </c>
      <c r="F165" s="26">
        <v>109.77559912854031</v>
      </c>
      <c r="G165" s="30">
        <f>IF(OR(D165="TARDIO",D165="PENDIENTE (TARDÍO)"),'Efectos y supuestos'!$B$8,0)</f>
        <v>0</v>
      </c>
      <c r="H165" s="14">
        <f t="shared" si="2"/>
        <v>0</v>
      </c>
    </row>
    <row r="166" spans="1:8" x14ac:dyDescent="0.35">
      <c r="A166" s="24" t="s">
        <v>102</v>
      </c>
      <c r="B166" s="29">
        <v>45908</v>
      </c>
      <c r="C166" s="24" t="s">
        <v>169</v>
      </c>
      <c r="D166" s="24" t="s">
        <v>167</v>
      </c>
      <c r="E166" s="25">
        <v>4.75</v>
      </c>
      <c r="F166" s="26">
        <v>121.85052631578949</v>
      </c>
      <c r="G166" s="30">
        <f>IF(OR(D166="TARDIO",D166="PENDIENTE (TARDÍO)"),'Efectos y supuestos'!$B$8,0)</f>
        <v>0</v>
      </c>
      <c r="H166" s="14">
        <f t="shared" si="2"/>
        <v>0</v>
      </c>
    </row>
    <row r="167" spans="1:8" x14ac:dyDescent="0.35">
      <c r="A167" s="24" t="s">
        <v>310</v>
      </c>
      <c r="B167" s="29">
        <v>45741</v>
      </c>
      <c r="C167" s="24" t="s">
        <v>169</v>
      </c>
      <c r="D167" s="24" t="s">
        <v>167</v>
      </c>
      <c r="E167" s="25">
        <v>8.81</v>
      </c>
      <c r="F167" s="26">
        <v>84.362088535754822</v>
      </c>
      <c r="G167" s="30">
        <f>IF(OR(D167="TARDIO",D167="PENDIENTE (TARDÍO)"),'Efectos y supuestos'!$B$8,0)</f>
        <v>0</v>
      </c>
      <c r="H167" s="14">
        <f t="shared" si="2"/>
        <v>0</v>
      </c>
    </row>
    <row r="168" spans="1:8" x14ac:dyDescent="0.35">
      <c r="A168" s="24" t="s">
        <v>311</v>
      </c>
      <c r="B168" s="29">
        <v>45736</v>
      </c>
      <c r="C168" s="24" t="s">
        <v>169</v>
      </c>
      <c r="D168" s="24" t="s">
        <v>167</v>
      </c>
      <c r="E168" s="25">
        <v>11.25</v>
      </c>
      <c r="F168" s="26">
        <v>97.227555555555554</v>
      </c>
      <c r="G168" s="30">
        <f>IF(OR(D168="TARDIO",D168="PENDIENTE (TARDÍO)"),'Efectos y supuestos'!$B$8,0)</f>
        <v>0</v>
      </c>
      <c r="H168" s="14">
        <f t="shared" si="2"/>
        <v>0</v>
      </c>
    </row>
    <row r="169" spans="1:8" x14ac:dyDescent="0.35">
      <c r="A169" s="24" t="s">
        <v>312</v>
      </c>
      <c r="B169" s="29">
        <v>45854</v>
      </c>
      <c r="C169" s="24" t="s">
        <v>169</v>
      </c>
      <c r="D169" s="24" t="s">
        <v>167</v>
      </c>
      <c r="E169" s="25">
        <v>11.96</v>
      </c>
      <c r="F169" s="26">
        <v>153.88712374581939</v>
      </c>
      <c r="G169" s="30">
        <f>IF(OR(D169="TARDIO",D169="PENDIENTE (TARDÍO)"),'Efectos y supuestos'!$B$8,0)</f>
        <v>0</v>
      </c>
      <c r="H169" s="14">
        <f t="shared" si="2"/>
        <v>0</v>
      </c>
    </row>
    <row r="170" spans="1:8" x14ac:dyDescent="0.35">
      <c r="A170" s="24" t="s">
        <v>313</v>
      </c>
      <c r="B170" s="29">
        <v>45875</v>
      </c>
      <c r="C170" s="24" t="s">
        <v>166</v>
      </c>
      <c r="D170" s="24" t="s">
        <v>167</v>
      </c>
      <c r="E170" s="25">
        <v>3.84</v>
      </c>
      <c r="F170" s="26">
        <v>105</v>
      </c>
      <c r="G170" s="30">
        <f>IF(OR(D170="TARDIO",D170="PENDIENTE (TARDÍO)"),'Efectos y supuestos'!$B$8,0)</f>
        <v>0</v>
      </c>
      <c r="H170" s="14">
        <f t="shared" si="2"/>
        <v>0</v>
      </c>
    </row>
    <row r="171" spans="1:8" x14ac:dyDescent="0.35">
      <c r="A171" s="24" t="s">
        <v>314</v>
      </c>
      <c r="B171" s="29">
        <v>45898</v>
      </c>
      <c r="C171" s="24" t="s">
        <v>169</v>
      </c>
      <c r="D171" s="24" t="s">
        <v>167</v>
      </c>
      <c r="E171" s="25">
        <v>3.06</v>
      </c>
      <c r="F171" s="26">
        <v>146.19607843137251</v>
      </c>
      <c r="G171" s="30">
        <f>IF(OR(D171="TARDIO",D171="PENDIENTE (TARDÍO)"),'Efectos y supuestos'!$B$8,0)</f>
        <v>0</v>
      </c>
      <c r="H171" s="14">
        <f t="shared" si="2"/>
        <v>0</v>
      </c>
    </row>
    <row r="172" spans="1:8" x14ac:dyDescent="0.35">
      <c r="A172" s="24" t="s">
        <v>315</v>
      </c>
      <c r="B172" s="29">
        <v>45899</v>
      </c>
      <c r="C172" s="24" t="s">
        <v>169</v>
      </c>
      <c r="D172" s="24" t="s">
        <v>167</v>
      </c>
      <c r="E172" s="25">
        <v>1.41</v>
      </c>
      <c r="F172" s="26">
        <v>90.361702127659584</v>
      </c>
      <c r="G172" s="30">
        <f>IF(OR(D172="TARDIO",D172="PENDIENTE (TARDÍO)"),'Efectos y supuestos'!$B$8,0)</f>
        <v>0</v>
      </c>
      <c r="H172" s="14">
        <f t="shared" si="2"/>
        <v>0</v>
      </c>
    </row>
    <row r="173" spans="1:8" x14ac:dyDescent="0.35">
      <c r="A173" s="24" t="s">
        <v>316</v>
      </c>
      <c r="B173" s="29">
        <v>45843</v>
      </c>
      <c r="C173" s="24" t="s">
        <v>169</v>
      </c>
      <c r="D173" s="24" t="s">
        <v>167</v>
      </c>
      <c r="E173" s="25">
        <v>9.89</v>
      </c>
      <c r="F173" s="26">
        <v>108.6137512639029</v>
      </c>
      <c r="G173" s="30">
        <f>IF(OR(D173="TARDIO",D173="PENDIENTE (TARDÍO)"),'Efectos y supuestos'!$B$8,0)</f>
        <v>0</v>
      </c>
      <c r="H173" s="14">
        <f t="shared" si="2"/>
        <v>0</v>
      </c>
    </row>
    <row r="174" spans="1:8" x14ac:dyDescent="0.35">
      <c r="A174" s="24" t="s">
        <v>317</v>
      </c>
      <c r="B174" s="29">
        <v>45853</v>
      </c>
      <c r="C174" s="24" t="s">
        <v>169</v>
      </c>
      <c r="D174" s="24" t="s">
        <v>167</v>
      </c>
      <c r="E174" s="25">
        <v>5.84</v>
      </c>
      <c r="F174" s="26">
        <v>112.74486301369861</v>
      </c>
      <c r="G174" s="30">
        <f>IF(OR(D174="TARDIO",D174="PENDIENTE (TARDÍO)"),'Efectos y supuestos'!$B$8,0)</f>
        <v>0</v>
      </c>
      <c r="H174" s="14">
        <f t="shared" si="2"/>
        <v>0</v>
      </c>
    </row>
    <row r="175" spans="1:8" x14ac:dyDescent="0.35">
      <c r="A175" s="24" t="s">
        <v>318</v>
      </c>
      <c r="B175" s="29">
        <v>45853</v>
      </c>
      <c r="C175" s="24" t="s">
        <v>169</v>
      </c>
      <c r="D175" s="24" t="s">
        <v>167</v>
      </c>
      <c r="E175" s="25">
        <v>12.19</v>
      </c>
      <c r="F175" s="26">
        <v>108.9926168990976</v>
      </c>
      <c r="G175" s="30">
        <f>IF(OR(D175="TARDIO",D175="PENDIENTE (TARDÍO)"),'Efectos y supuestos'!$B$8,0)</f>
        <v>0</v>
      </c>
      <c r="H175" s="14">
        <f t="shared" si="2"/>
        <v>0</v>
      </c>
    </row>
    <row r="176" spans="1:8" x14ac:dyDescent="0.35">
      <c r="A176" s="24" t="s">
        <v>319</v>
      </c>
      <c r="B176" s="29">
        <v>45854</v>
      </c>
      <c r="C176" s="24" t="s">
        <v>169</v>
      </c>
      <c r="D176" s="24" t="s">
        <v>167</v>
      </c>
      <c r="E176" s="25">
        <v>3.71</v>
      </c>
      <c r="F176" s="26">
        <v>126.8140161725067</v>
      </c>
      <c r="G176" s="30">
        <f>IF(OR(D176="TARDIO",D176="PENDIENTE (TARDÍO)"),'Efectos y supuestos'!$B$8,0)</f>
        <v>0</v>
      </c>
      <c r="H176" s="14">
        <f t="shared" si="2"/>
        <v>0</v>
      </c>
    </row>
    <row r="177" spans="1:8" x14ac:dyDescent="0.35">
      <c r="A177" s="24" t="s">
        <v>320</v>
      </c>
      <c r="B177" s="29">
        <v>45872</v>
      </c>
      <c r="C177" s="24" t="s">
        <v>169</v>
      </c>
      <c r="D177" s="24" t="s">
        <v>167</v>
      </c>
      <c r="E177" s="25">
        <v>3.98</v>
      </c>
      <c r="F177" s="26">
        <v>87.288944723618101</v>
      </c>
      <c r="G177" s="30">
        <f>IF(OR(D177="TARDIO",D177="PENDIENTE (TARDÍO)"),'Efectos y supuestos'!$B$8,0)</f>
        <v>0</v>
      </c>
      <c r="H177" s="14">
        <f t="shared" si="2"/>
        <v>0</v>
      </c>
    </row>
    <row r="178" spans="1:8" x14ac:dyDescent="0.35">
      <c r="A178" s="24" t="s">
        <v>321</v>
      </c>
      <c r="B178" s="29">
        <v>45854</v>
      </c>
      <c r="C178" s="24" t="s">
        <v>169</v>
      </c>
      <c r="D178" s="24" t="s">
        <v>167</v>
      </c>
      <c r="E178" s="25">
        <v>2.35</v>
      </c>
      <c r="F178" s="26">
        <v>100.1276595744681</v>
      </c>
      <c r="G178" s="30">
        <f>IF(OR(D178="TARDIO",D178="PENDIENTE (TARDÍO)"),'Efectos y supuestos'!$B$8,0)</f>
        <v>0</v>
      </c>
      <c r="H178" s="14">
        <f t="shared" si="2"/>
        <v>0</v>
      </c>
    </row>
    <row r="179" spans="1:8" x14ac:dyDescent="0.35">
      <c r="A179" s="24" t="s">
        <v>322</v>
      </c>
      <c r="B179" s="29">
        <v>45873</v>
      </c>
      <c r="C179" s="24" t="s">
        <v>169</v>
      </c>
      <c r="D179" s="24" t="s">
        <v>167</v>
      </c>
      <c r="E179" s="25">
        <v>2.68</v>
      </c>
      <c r="F179" s="26">
        <v>78.242537313432834</v>
      </c>
      <c r="G179" s="30">
        <f>IF(OR(D179="TARDIO",D179="PENDIENTE (TARDÍO)"),'Efectos y supuestos'!$B$8,0)</f>
        <v>0</v>
      </c>
      <c r="H179" s="14">
        <f t="shared" si="2"/>
        <v>0</v>
      </c>
    </row>
    <row r="180" spans="1:8" x14ac:dyDescent="0.35">
      <c r="A180" s="24" t="s">
        <v>323</v>
      </c>
      <c r="B180" s="29">
        <v>45882</v>
      </c>
      <c r="C180" s="24" t="s">
        <v>169</v>
      </c>
      <c r="D180" s="24" t="s">
        <v>167</v>
      </c>
      <c r="E180" s="25">
        <v>13.47</v>
      </c>
      <c r="F180" s="26">
        <v>124.2576095025984</v>
      </c>
      <c r="G180" s="30">
        <f>IF(OR(D180="TARDIO",D180="PENDIENTE (TARDÍO)"),'Efectos y supuestos'!$B$8,0)</f>
        <v>0</v>
      </c>
      <c r="H180" s="14">
        <f t="shared" si="2"/>
        <v>0</v>
      </c>
    </row>
    <row r="181" spans="1:8" x14ac:dyDescent="0.35">
      <c r="A181" s="24" t="s">
        <v>324</v>
      </c>
      <c r="B181" s="29">
        <v>45840</v>
      </c>
      <c r="C181" s="24" t="s">
        <v>169</v>
      </c>
      <c r="D181" s="24" t="s">
        <v>167</v>
      </c>
      <c r="E181" s="25">
        <v>29.4</v>
      </c>
      <c r="F181" s="26">
        <v>117.35748299319729</v>
      </c>
      <c r="G181" s="30">
        <f>IF(OR(D181="TARDIO",D181="PENDIENTE (TARDÍO)"),'Efectos y supuestos'!$B$8,0)</f>
        <v>0</v>
      </c>
      <c r="H181" s="14">
        <f t="shared" si="2"/>
        <v>0</v>
      </c>
    </row>
    <row r="182" spans="1:8" x14ac:dyDescent="0.35">
      <c r="A182" s="24" t="s">
        <v>325</v>
      </c>
      <c r="B182" s="29">
        <v>45880</v>
      </c>
      <c r="C182" s="24" t="s">
        <v>169</v>
      </c>
      <c r="D182" s="24" t="s">
        <v>167</v>
      </c>
      <c r="E182" s="25">
        <v>15.65</v>
      </c>
      <c r="F182" s="26">
        <v>125.5424920127795</v>
      </c>
      <c r="G182" s="30">
        <f>IF(OR(D182="TARDIO",D182="PENDIENTE (TARDÍO)"),'Efectos y supuestos'!$B$8,0)</f>
        <v>0</v>
      </c>
      <c r="H182" s="14">
        <f t="shared" si="2"/>
        <v>0</v>
      </c>
    </row>
    <row r="183" spans="1:8" x14ac:dyDescent="0.35">
      <c r="A183" s="24" t="s">
        <v>326</v>
      </c>
      <c r="B183" s="29">
        <v>45891</v>
      </c>
      <c r="C183" s="24" t="s">
        <v>169</v>
      </c>
      <c r="D183" s="24" t="s">
        <v>167</v>
      </c>
      <c r="E183" s="25">
        <v>15.12</v>
      </c>
      <c r="F183" s="26">
        <v>127.3214285714286</v>
      </c>
      <c r="G183" s="30">
        <f>IF(OR(D183="TARDIO",D183="PENDIENTE (TARDÍO)"),'Efectos y supuestos'!$B$8,0)</f>
        <v>0</v>
      </c>
      <c r="H183" s="14">
        <f t="shared" si="2"/>
        <v>0</v>
      </c>
    </row>
    <row r="184" spans="1:8" x14ac:dyDescent="0.35">
      <c r="A184" s="24" t="s">
        <v>327</v>
      </c>
      <c r="B184" s="29">
        <v>45891</v>
      </c>
      <c r="C184" s="24" t="s">
        <v>169</v>
      </c>
      <c r="D184" s="24" t="s">
        <v>167</v>
      </c>
      <c r="E184" s="25">
        <v>15.99</v>
      </c>
      <c r="F184" s="26">
        <v>123.9962476547842</v>
      </c>
      <c r="G184" s="30">
        <f>IF(OR(D184="TARDIO",D184="PENDIENTE (TARDÍO)"),'Efectos y supuestos'!$B$8,0)</f>
        <v>0</v>
      </c>
      <c r="H184" s="14">
        <f t="shared" si="2"/>
        <v>0</v>
      </c>
    </row>
    <row r="185" spans="1:8" x14ac:dyDescent="0.35">
      <c r="A185" s="24" t="s">
        <v>328</v>
      </c>
      <c r="B185" s="29">
        <v>45772</v>
      </c>
      <c r="C185" s="24" t="s">
        <v>169</v>
      </c>
      <c r="D185" s="24" t="s">
        <v>167</v>
      </c>
      <c r="E185" s="25">
        <v>19.38</v>
      </c>
      <c r="F185" s="26">
        <v>122.015479876161</v>
      </c>
      <c r="G185" s="30">
        <f>IF(OR(D185="TARDIO",D185="PENDIENTE (TARDÍO)"),'Efectos y supuestos'!$B$8,0)</f>
        <v>0</v>
      </c>
      <c r="H185" s="14">
        <f t="shared" si="2"/>
        <v>0</v>
      </c>
    </row>
    <row r="186" spans="1:8" x14ac:dyDescent="0.35">
      <c r="A186" s="24" t="s">
        <v>329</v>
      </c>
      <c r="B186" s="29">
        <v>45946</v>
      </c>
      <c r="C186" s="24" t="s">
        <v>166</v>
      </c>
      <c r="D186" s="24" t="s">
        <v>167</v>
      </c>
      <c r="E186" s="25">
        <v>3.97</v>
      </c>
      <c r="F186" s="26">
        <v>88.2</v>
      </c>
      <c r="G186" s="30">
        <f>IF(OR(D186="TARDIO",D186="PENDIENTE (TARDÍO)"),'Efectos y supuestos'!$B$8,0)</f>
        <v>0</v>
      </c>
      <c r="H186" s="14">
        <f t="shared" si="2"/>
        <v>0</v>
      </c>
    </row>
    <row r="187" spans="1:8" x14ac:dyDescent="0.35">
      <c r="A187" s="24" t="s">
        <v>329</v>
      </c>
      <c r="B187" s="29">
        <v>45946</v>
      </c>
      <c r="C187" s="24" t="s">
        <v>166</v>
      </c>
      <c r="D187" s="24" t="s">
        <v>167</v>
      </c>
      <c r="E187" s="25">
        <v>3.97</v>
      </c>
      <c r="F187" s="26">
        <v>88.2</v>
      </c>
      <c r="G187" s="30">
        <f>IF(OR(D187="TARDIO",D187="PENDIENTE (TARDÍO)"),'Efectos y supuestos'!$B$8,0)</f>
        <v>0</v>
      </c>
      <c r="H187" s="14">
        <f t="shared" si="2"/>
        <v>0</v>
      </c>
    </row>
    <row r="188" spans="1:8" x14ac:dyDescent="0.35">
      <c r="A188" s="24" t="s">
        <v>330</v>
      </c>
      <c r="B188" s="29">
        <v>45840</v>
      </c>
      <c r="C188" s="24" t="s">
        <v>169</v>
      </c>
      <c r="D188" s="24" t="s">
        <v>167</v>
      </c>
      <c r="E188" s="25">
        <v>8.4499999999999993</v>
      </c>
      <c r="F188" s="26">
        <v>89.04378698224852</v>
      </c>
      <c r="G188" s="30">
        <f>IF(OR(D188="TARDIO",D188="PENDIENTE (TARDÍO)"),'Efectos y supuestos'!$B$8,0)</f>
        <v>0</v>
      </c>
      <c r="H188" s="14">
        <f t="shared" si="2"/>
        <v>0</v>
      </c>
    </row>
    <row r="189" spans="1:8" x14ac:dyDescent="0.35">
      <c r="A189" s="24" t="s">
        <v>331</v>
      </c>
      <c r="B189" s="29">
        <v>45733</v>
      </c>
      <c r="C189" s="24" t="s">
        <v>169</v>
      </c>
      <c r="D189" s="24" t="s">
        <v>167</v>
      </c>
      <c r="E189" s="25">
        <v>5.59</v>
      </c>
      <c r="F189" s="26">
        <v>110.9874776386404</v>
      </c>
      <c r="G189" s="30">
        <f>IF(OR(D189="TARDIO",D189="PENDIENTE (TARDÍO)"),'Efectos y supuestos'!$B$8,0)</f>
        <v>0</v>
      </c>
      <c r="H189" s="14">
        <f t="shared" si="2"/>
        <v>0</v>
      </c>
    </row>
    <row r="190" spans="1:8" x14ac:dyDescent="0.35">
      <c r="A190" s="24" t="s">
        <v>332</v>
      </c>
      <c r="B190" s="29">
        <v>45824</v>
      </c>
      <c r="C190" s="24" t="s">
        <v>169</v>
      </c>
      <c r="D190" s="24" t="s">
        <v>167</v>
      </c>
      <c r="E190" s="25">
        <v>3.74</v>
      </c>
      <c r="F190" s="26">
        <v>113.8155080213904</v>
      </c>
      <c r="G190" s="30">
        <f>IF(OR(D190="TARDIO",D190="PENDIENTE (TARDÍO)"),'Efectos y supuestos'!$B$8,0)</f>
        <v>0</v>
      </c>
      <c r="H190" s="14">
        <f t="shared" si="2"/>
        <v>0</v>
      </c>
    </row>
    <row r="191" spans="1:8" x14ac:dyDescent="0.35">
      <c r="A191" s="24" t="s">
        <v>105</v>
      </c>
      <c r="B191" s="29">
        <v>45840</v>
      </c>
      <c r="C191" s="24" t="s">
        <v>169</v>
      </c>
      <c r="D191" s="24" t="s">
        <v>167</v>
      </c>
      <c r="E191" s="25">
        <v>13.15</v>
      </c>
      <c r="F191" s="26">
        <v>80.054752851711029</v>
      </c>
      <c r="G191" s="30">
        <f>IF(OR(D191="TARDIO",D191="PENDIENTE (TARDÍO)"),'Efectos y supuestos'!$B$8,0)</f>
        <v>0</v>
      </c>
      <c r="H191" s="14">
        <f t="shared" si="2"/>
        <v>0</v>
      </c>
    </row>
    <row r="192" spans="1:8" x14ac:dyDescent="0.35">
      <c r="A192" s="24" t="s">
        <v>106</v>
      </c>
      <c r="B192" s="29">
        <v>45889</v>
      </c>
      <c r="C192" s="24" t="s">
        <v>169</v>
      </c>
      <c r="D192" s="24" t="s">
        <v>167</v>
      </c>
      <c r="E192" s="25">
        <v>6.44</v>
      </c>
      <c r="F192" s="26">
        <v>114.64906832298141</v>
      </c>
      <c r="G192" s="30">
        <f>IF(OR(D192="TARDIO",D192="PENDIENTE (TARDÍO)"),'Efectos y supuestos'!$B$8,0)</f>
        <v>0</v>
      </c>
      <c r="H192" s="14">
        <f t="shared" si="2"/>
        <v>0</v>
      </c>
    </row>
    <row r="193" spans="1:8" x14ac:dyDescent="0.35">
      <c r="A193" s="24" t="s">
        <v>333</v>
      </c>
      <c r="B193" s="29">
        <v>45843</v>
      </c>
      <c r="C193" s="24" t="s">
        <v>169</v>
      </c>
      <c r="D193" s="24" t="s">
        <v>167</v>
      </c>
      <c r="E193" s="25">
        <v>5.6</v>
      </c>
      <c r="F193" s="26">
        <v>124.5446428571429</v>
      </c>
      <c r="G193" s="30">
        <f>IF(OR(D193="TARDIO",D193="PENDIENTE (TARDÍO)"),'Efectos y supuestos'!$B$8,0)</f>
        <v>0</v>
      </c>
      <c r="H193" s="14">
        <f t="shared" si="2"/>
        <v>0</v>
      </c>
    </row>
    <row r="194" spans="1:8" x14ac:dyDescent="0.35">
      <c r="A194" s="24" t="s">
        <v>137</v>
      </c>
      <c r="B194" s="29">
        <v>45960</v>
      </c>
      <c r="C194" s="24" t="s">
        <v>166</v>
      </c>
      <c r="D194" s="24" t="s">
        <v>167</v>
      </c>
      <c r="E194" s="25">
        <v>9.1300000000000008</v>
      </c>
      <c r="F194" s="26">
        <v>93</v>
      </c>
      <c r="G194" s="30">
        <f>IF(OR(D194="TARDIO",D194="PENDIENTE (TARDÍO)"),'Efectos y supuestos'!$B$8,0)</f>
        <v>0</v>
      </c>
      <c r="H194" s="14">
        <f t="shared" si="2"/>
        <v>0</v>
      </c>
    </row>
    <row r="195" spans="1:8" x14ac:dyDescent="0.35">
      <c r="A195" s="24" t="s">
        <v>137</v>
      </c>
      <c r="B195" s="29">
        <v>45958</v>
      </c>
      <c r="C195" s="24" t="s">
        <v>166</v>
      </c>
      <c r="D195" s="24" t="s">
        <v>167</v>
      </c>
      <c r="E195" s="25">
        <v>9.1300000000000008</v>
      </c>
      <c r="F195" s="26">
        <v>93</v>
      </c>
      <c r="G195" s="30">
        <f>IF(OR(D195="TARDIO",D195="PENDIENTE (TARDÍO)"),'Efectos y supuestos'!$B$8,0)</f>
        <v>0</v>
      </c>
      <c r="H195" s="14">
        <f t="shared" si="2"/>
        <v>0</v>
      </c>
    </row>
    <row r="196" spans="1:8" x14ac:dyDescent="0.35">
      <c r="A196" s="24" t="s">
        <v>334</v>
      </c>
      <c r="B196" s="29">
        <v>45918</v>
      </c>
      <c r="C196" s="24" t="s">
        <v>169</v>
      </c>
      <c r="D196" s="24" t="s">
        <v>167</v>
      </c>
      <c r="E196" s="25">
        <v>16.07</v>
      </c>
      <c r="F196" s="26">
        <v>77.239999999999995</v>
      </c>
      <c r="G196" s="30">
        <f>IF(OR(D196="TARDIO",D196="PENDIENTE (TARDÍO)"),'Efectos y supuestos'!$B$8,0)</f>
        <v>0</v>
      </c>
      <c r="H196" s="14">
        <f t="shared" si="2"/>
        <v>0</v>
      </c>
    </row>
    <row r="197" spans="1:8" x14ac:dyDescent="0.35">
      <c r="A197" s="24" t="s">
        <v>335</v>
      </c>
      <c r="B197" s="29">
        <v>45872</v>
      </c>
      <c r="C197" s="24" t="s">
        <v>169</v>
      </c>
      <c r="D197" s="24" t="s">
        <v>167</v>
      </c>
      <c r="E197" s="25">
        <v>6.25</v>
      </c>
      <c r="F197" s="26">
        <v>104.1024</v>
      </c>
      <c r="G197" s="30">
        <f>IF(OR(D197="TARDIO",D197="PENDIENTE (TARDÍO)"),'Efectos y supuestos'!$B$8,0)</f>
        <v>0</v>
      </c>
      <c r="H197" s="14">
        <f t="shared" si="2"/>
        <v>0</v>
      </c>
    </row>
    <row r="198" spans="1:8" x14ac:dyDescent="0.35">
      <c r="A198" s="24" t="s">
        <v>336</v>
      </c>
      <c r="B198" s="29">
        <v>45922</v>
      </c>
      <c r="C198" s="24" t="s">
        <v>169</v>
      </c>
      <c r="D198" s="24" t="s">
        <v>167</v>
      </c>
      <c r="E198" s="25">
        <v>15.67</v>
      </c>
      <c r="F198" s="26">
        <v>96.537970644543719</v>
      </c>
      <c r="G198" s="30">
        <f>IF(OR(D198="TARDIO",D198="PENDIENTE (TARDÍO)"),'Efectos y supuestos'!$B$8,0)</f>
        <v>0</v>
      </c>
      <c r="H198" s="14">
        <f t="shared" ref="H198:H261" si="3">-G198*F198*E198</f>
        <v>0</v>
      </c>
    </row>
    <row r="199" spans="1:8" x14ac:dyDescent="0.35">
      <c r="A199" s="24" t="s">
        <v>337</v>
      </c>
      <c r="B199" s="29">
        <v>45627</v>
      </c>
      <c r="C199" s="24" t="s">
        <v>169</v>
      </c>
      <c r="D199" s="24" t="s">
        <v>167</v>
      </c>
      <c r="E199" s="25">
        <v>5.48</v>
      </c>
      <c r="F199" s="26">
        <v>96.59306569343066</v>
      </c>
      <c r="G199" s="30">
        <f>IF(OR(D199="TARDIO",D199="PENDIENTE (TARDÍO)"),'Efectos y supuestos'!$B$8,0)</f>
        <v>0</v>
      </c>
      <c r="H199" s="14">
        <f t="shared" si="3"/>
        <v>0</v>
      </c>
    </row>
    <row r="200" spans="1:8" x14ac:dyDescent="0.35">
      <c r="A200" s="24" t="s">
        <v>338</v>
      </c>
      <c r="B200" s="29">
        <v>45886</v>
      </c>
      <c r="C200" s="24" t="s">
        <v>169</v>
      </c>
      <c r="D200" s="24" t="s">
        <v>167</v>
      </c>
      <c r="E200" s="25">
        <v>10.76</v>
      </c>
      <c r="F200" s="26">
        <v>128.60687732342009</v>
      </c>
      <c r="G200" s="30">
        <f>IF(OR(D200="TARDIO",D200="PENDIENTE (TARDÍO)"),'Efectos y supuestos'!$B$8,0)</f>
        <v>0</v>
      </c>
      <c r="H200" s="14">
        <f t="shared" si="3"/>
        <v>0</v>
      </c>
    </row>
    <row r="201" spans="1:8" x14ac:dyDescent="0.35">
      <c r="A201" s="24" t="s">
        <v>107</v>
      </c>
      <c r="B201" s="29">
        <v>45726</v>
      </c>
      <c r="C201" s="24" t="s">
        <v>169</v>
      </c>
      <c r="D201" s="24" t="s">
        <v>167</v>
      </c>
      <c r="E201" s="25">
        <v>1.3</v>
      </c>
      <c r="F201" s="26">
        <v>118.5615384615384</v>
      </c>
      <c r="G201" s="30">
        <f>IF(OR(D201="TARDIO",D201="PENDIENTE (TARDÍO)"),'Efectos y supuestos'!$B$8,0)</f>
        <v>0</v>
      </c>
      <c r="H201" s="14">
        <f t="shared" si="3"/>
        <v>0</v>
      </c>
    </row>
    <row r="202" spans="1:8" x14ac:dyDescent="0.35">
      <c r="A202" s="24" t="s">
        <v>339</v>
      </c>
      <c r="B202" s="29">
        <v>45863</v>
      </c>
      <c r="C202" s="24" t="s">
        <v>169</v>
      </c>
      <c r="D202" s="24" t="s">
        <v>167</v>
      </c>
      <c r="E202" s="25">
        <v>2.27</v>
      </c>
      <c r="F202" s="26">
        <v>104.5638766519824</v>
      </c>
      <c r="G202" s="30">
        <f>IF(OR(D202="TARDIO",D202="PENDIENTE (TARDÍO)"),'Efectos y supuestos'!$B$8,0)</f>
        <v>0</v>
      </c>
      <c r="H202" s="14">
        <f t="shared" si="3"/>
        <v>0</v>
      </c>
    </row>
    <row r="203" spans="1:8" x14ac:dyDescent="0.35">
      <c r="A203" s="24" t="s">
        <v>340</v>
      </c>
      <c r="B203" s="29">
        <v>45860</v>
      </c>
      <c r="C203" s="24" t="s">
        <v>169</v>
      </c>
      <c r="D203" s="24" t="s">
        <v>167</v>
      </c>
      <c r="E203" s="25">
        <v>2.79</v>
      </c>
      <c r="F203" s="26">
        <v>101.2114695340502</v>
      </c>
      <c r="G203" s="30">
        <f>IF(OR(D203="TARDIO",D203="PENDIENTE (TARDÍO)"),'Efectos y supuestos'!$B$8,0)</f>
        <v>0</v>
      </c>
      <c r="H203" s="14">
        <f t="shared" si="3"/>
        <v>0</v>
      </c>
    </row>
    <row r="204" spans="1:8" x14ac:dyDescent="0.35">
      <c r="A204" s="24" t="s">
        <v>341</v>
      </c>
      <c r="B204" s="29">
        <v>45905</v>
      </c>
      <c r="C204" s="24" t="s">
        <v>169</v>
      </c>
      <c r="D204" s="24" t="s">
        <v>167</v>
      </c>
      <c r="E204" s="25">
        <v>3.48</v>
      </c>
      <c r="F204" s="26">
        <v>146.90229885057471</v>
      </c>
      <c r="G204" s="30">
        <f>IF(OR(D204="TARDIO",D204="PENDIENTE (TARDÍO)"),'Efectos y supuestos'!$B$8,0)</f>
        <v>0</v>
      </c>
      <c r="H204" s="14">
        <f t="shared" si="3"/>
        <v>0</v>
      </c>
    </row>
    <row r="205" spans="1:8" x14ac:dyDescent="0.35">
      <c r="A205" s="24" t="s">
        <v>108</v>
      </c>
      <c r="B205" s="29">
        <v>45938</v>
      </c>
      <c r="C205" s="24" t="s">
        <v>169</v>
      </c>
      <c r="D205" s="24" t="s">
        <v>167</v>
      </c>
      <c r="E205" s="25">
        <v>1.35</v>
      </c>
      <c r="F205" s="26">
        <v>85.98</v>
      </c>
      <c r="G205" s="30">
        <f>IF(OR(D205="TARDIO",D205="PENDIENTE (TARDÍO)"),'Efectos y supuestos'!$B$8,0)</f>
        <v>0</v>
      </c>
      <c r="H205" s="14">
        <f t="shared" si="3"/>
        <v>0</v>
      </c>
    </row>
    <row r="206" spans="1:8" x14ac:dyDescent="0.35">
      <c r="A206" s="24" t="s">
        <v>109</v>
      </c>
      <c r="B206" s="29">
        <v>45930</v>
      </c>
      <c r="C206" s="24" t="s">
        <v>169</v>
      </c>
      <c r="D206" s="24" t="s">
        <v>167</v>
      </c>
      <c r="E206" s="25">
        <v>5.89</v>
      </c>
      <c r="F206" s="26">
        <v>90.75</v>
      </c>
      <c r="G206" s="30">
        <f>IF(OR(D206="TARDIO",D206="PENDIENTE (TARDÍO)"),'Efectos y supuestos'!$B$8,0)</f>
        <v>0</v>
      </c>
      <c r="H206" s="14">
        <f t="shared" si="3"/>
        <v>0</v>
      </c>
    </row>
    <row r="207" spans="1:8" x14ac:dyDescent="0.35">
      <c r="A207" s="24" t="s">
        <v>110</v>
      </c>
      <c r="B207" s="29">
        <v>45930</v>
      </c>
      <c r="C207" s="24" t="s">
        <v>169</v>
      </c>
      <c r="D207" s="24" t="s">
        <v>167</v>
      </c>
      <c r="E207" s="25">
        <v>6.19</v>
      </c>
      <c r="F207" s="26">
        <v>90.72</v>
      </c>
      <c r="G207" s="30">
        <f>IF(OR(D207="TARDIO",D207="PENDIENTE (TARDÍO)"),'Efectos y supuestos'!$B$8,0)</f>
        <v>0</v>
      </c>
      <c r="H207" s="14">
        <f t="shared" si="3"/>
        <v>0</v>
      </c>
    </row>
    <row r="208" spans="1:8" x14ac:dyDescent="0.35">
      <c r="A208" s="24" t="s">
        <v>342</v>
      </c>
      <c r="B208" s="29">
        <v>45726</v>
      </c>
      <c r="C208" s="24" t="s">
        <v>169</v>
      </c>
      <c r="D208" s="24" t="s">
        <v>167</v>
      </c>
      <c r="E208" s="25">
        <v>10.52</v>
      </c>
      <c r="F208" s="26">
        <v>116.1739543726236</v>
      </c>
      <c r="G208" s="30">
        <f>IF(OR(D208="TARDIO",D208="PENDIENTE (TARDÍO)"),'Efectos y supuestos'!$B$8,0)</f>
        <v>0</v>
      </c>
      <c r="H208" s="14">
        <f t="shared" si="3"/>
        <v>0</v>
      </c>
    </row>
    <row r="209" spans="1:8" x14ac:dyDescent="0.35">
      <c r="A209" s="24" t="s">
        <v>112</v>
      </c>
      <c r="B209" s="29">
        <v>45908</v>
      </c>
      <c r="C209" s="24" t="s">
        <v>169</v>
      </c>
      <c r="D209" s="24" t="s">
        <v>167</v>
      </c>
      <c r="E209" s="25">
        <v>18.66</v>
      </c>
      <c r="F209" s="26">
        <v>126.5289389067524</v>
      </c>
      <c r="G209" s="30">
        <f>IF(OR(D209="TARDIO",D209="PENDIENTE (TARDÍO)"),'Efectos y supuestos'!$B$8,0)</f>
        <v>0</v>
      </c>
      <c r="H209" s="14">
        <f t="shared" si="3"/>
        <v>0</v>
      </c>
    </row>
    <row r="210" spans="1:8" x14ac:dyDescent="0.35">
      <c r="A210" s="24" t="s">
        <v>343</v>
      </c>
      <c r="B210" s="29">
        <v>45705</v>
      </c>
      <c r="C210" s="24" t="s">
        <v>169</v>
      </c>
      <c r="D210" s="24" t="s">
        <v>167</v>
      </c>
      <c r="E210" s="25">
        <v>8.1</v>
      </c>
      <c r="F210" s="26">
        <v>113.89012345679011</v>
      </c>
      <c r="G210" s="30">
        <f>IF(OR(D210="TARDIO",D210="PENDIENTE (TARDÍO)"),'Efectos y supuestos'!$B$8,0)</f>
        <v>0</v>
      </c>
      <c r="H210" s="14">
        <f t="shared" si="3"/>
        <v>0</v>
      </c>
    </row>
    <row r="211" spans="1:8" x14ac:dyDescent="0.35">
      <c r="A211" s="24" t="s">
        <v>344</v>
      </c>
      <c r="B211" s="29">
        <v>45705</v>
      </c>
      <c r="C211" s="24" t="s">
        <v>169</v>
      </c>
      <c r="D211" s="24" t="s">
        <v>167</v>
      </c>
      <c r="E211" s="25">
        <v>8.84</v>
      </c>
      <c r="F211" s="26">
        <v>157.2907239819005</v>
      </c>
      <c r="G211" s="30">
        <f>IF(OR(D211="TARDIO",D211="PENDIENTE (TARDÍO)"),'Efectos y supuestos'!$B$8,0)</f>
        <v>0</v>
      </c>
      <c r="H211" s="14">
        <f t="shared" si="3"/>
        <v>0</v>
      </c>
    </row>
    <row r="212" spans="1:8" x14ac:dyDescent="0.35">
      <c r="A212" s="24" t="s">
        <v>345</v>
      </c>
      <c r="B212" s="29">
        <v>45946</v>
      </c>
      <c r="C212" s="24" t="s">
        <v>166</v>
      </c>
      <c r="D212" s="24" t="s">
        <v>167</v>
      </c>
      <c r="E212" s="25">
        <v>11.78</v>
      </c>
      <c r="F212" s="26">
        <v>157.1</v>
      </c>
      <c r="G212" s="30">
        <f>IF(OR(D212="TARDIO",D212="PENDIENTE (TARDÍO)"),'Efectos y supuestos'!$B$8,0)</f>
        <v>0</v>
      </c>
      <c r="H212" s="14">
        <f t="shared" si="3"/>
        <v>0</v>
      </c>
    </row>
    <row r="213" spans="1:8" x14ac:dyDescent="0.35">
      <c r="A213" s="24" t="s">
        <v>346</v>
      </c>
      <c r="B213" s="29">
        <v>45818</v>
      </c>
      <c r="C213" s="24" t="s">
        <v>169</v>
      </c>
      <c r="D213" s="24" t="s">
        <v>167</v>
      </c>
      <c r="E213" s="25">
        <v>5.43</v>
      </c>
      <c r="F213" s="26">
        <v>105.27992633517491</v>
      </c>
      <c r="G213" s="30">
        <f>IF(OR(D213="TARDIO",D213="PENDIENTE (TARDÍO)"),'Efectos y supuestos'!$B$8,0)</f>
        <v>0</v>
      </c>
      <c r="H213" s="14">
        <f t="shared" si="3"/>
        <v>0</v>
      </c>
    </row>
    <row r="214" spans="1:8" x14ac:dyDescent="0.35">
      <c r="A214" s="24" t="s">
        <v>347</v>
      </c>
      <c r="B214" s="29">
        <v>45705</v>
      </c>
      <c r="C214" s="24" t="s">
        <v>169</v>
      </c>
      <c r="D214" s="24" t="s">
        <v>167</v>
      </c>
      <c r="E214" s="25">
        <v>7.26</v>
      </c>
      <c r="F214" s="26">
        <v>100.1694214876033</v>
      </c>
      <c r="G214" s="30">
        <f>IF(OR(D214="TARDIO",D214="PENDIENTE (TARDÍO)"),'Efectos y supuestos'!$B$8,0)</f>
        <v>0</v>
      </c>
      <c r="H214" s="14">
        <f t="shared" si="3"/>
        <v>0</v>
      </c>
    </row>
    <row r="215" spans="1:8" x14ac:dyDescent="0.35">
      <c r="A215" s="24" t="s">
        <v>348</v>
      </c>
      <c r="B215" s="29">
        <v>45705</v>
      </c>
      <c r="C215" s="24" t="s">
        <v>169</v>
      </c>
      <c r="D215" s="24" t="s">
        <v>167</v>
      </c>
      <c r="E215" s="25">
        <v>19.28</v>
      </c>
      <c r="F215" s="26">
        <v>115.0046680497925</v>
      </c>
      <c r="G215" s="30">
        <f>IF(OR(D215="TARDIO",D215="PENDIENTE (TARDÍO)"),'Efectos y supuestos'!$B$8,0)</f>
        <v>0</v>
      </c>
      <c r="H215" s="14">
        <f t="shared" si="3"/>
        <v>0</v>
      </c>
    </row>
    <row r="216" spans="1:8" x14ac:dyDescent="0.35">
      <c r="A216" s="24" t="s">
        <v>349</v>
      </c>
      <c r="B216" s="29">
        <v>45959</v>
      </c>
      <c r="C216" s="24" t="s">
        <v>166</v>
      </c>
      <c r="D216" s="24" t="s">
        <v>167</v>
      </c>
      <c r="E216" s="25">
        <v>5.29</v>
      </c>
      <c r="F216" s="26">
        <v>105.5</v>
      </c>
      <c r="G216" s="30">
        <f>IF(OR(D216="TARDIO",D216="PENDIENTE (TARDÍO)"),'Efectos y supuestos'!$B$8,0)</f>
        <v>0</v>
      </c>
      <c r="H216" s="14">
        <f t="shared" si="3"/>
        <v>0</v>
      </c>
    </row>
    <row r="217" spans="1:8" x14ac:dyDescent="0.35">
      <c r="A217" s="24" t="s">
        <v>350</v>
      </c>
      <c r="B217" s="29">
        <v>45879</v>
      </c>
      <c r="C217" s="24" t="s">
        <v>169</v>
      </c>
      <c r="D217" s="24" t="s">
        <v>167</v>
      </c>
      <c r="E217" s="25">
        <v>6.16</v>
      </c>
      <c r="F217" s="26">
        <v>127.7337662337662</v>
      </c>
      <c r="G217" s="30">
        <f>IF(OR(D217="TARDIO",D217="PENDIENTE (TARDÍO)"),'Efectos y supuestos'!$B$8,0)</f>
        <v>0</v>
      </c>
      <c r="H217" s="14">
        <f t="shared" si="3"/>
        <v>0</v>
      </c>
    </row>
    <row r="218" spans="1:8" x14ac:dyDescent="0.35">
      <c r="A218" s="24" t="s">
        <v>351</v>
      </c>
      <c r="B218" s="29">
        <v>45879</v>
      </c>
      <c r="C218" s="24" t="s">
        <v>169</v>
      </c>
      <c r="D218" s="24" t="s">
        <v>167</v>
      </c>
      <c r="E218" s="25">
        <v>4.3600000000000003</v>
      </c>
      <c r="F218" s="26">
        <v>113.43119266055049</v>
      </c>
      <c r="G218" s="30">
        <f>IF(OR(D218="TARDIO",D218="PENDIENTE (TARDÍO)"),'Efectos y supuestos'!$B$8,0)</f>
        <v>0</v>
      </c>
      <c r="H218" s="14">
        <f t="shared" si="3"/>
        <v>0</v>
      </c>
    </row>
    <row r="219" spans="1:8" x14ac:dyDescent="0.35">
      <c r="A219" s="24" t="s">
        <v>352</v>
      </c>
      <c r="B219" s="29">
        <v>45712</v>
      </c>
      <c r="C219" s="24" t="s">
        <v>169</v>
      </c>
      <c r="D219" s="24" t="s">
        <v>167</v>
      </c>
      <c r="E219" s="25">
        <v>13.07</v>
      </c>
      <c r="F219" s="26">
        <v>89.661820964039791</v>
      </c>
      <c r="G219" s="30">
        <f>IF(OR(D219="TARDIO",D219="PENDIENTE (TARDÍO)"),'Efectos y supuestos'!$B$8,0)</f>
        <v>0</v>
      </c>
      <c r="H219" s="14">
        <f t="shared" si="3"/>
        <v>0</v>
      </c>
    </row>
    <row r="220" spans="1:8" x14ac:dyDescent="0.35">
      <c r="A220" s="24" t="s">
        <v>353</v>
      </c>
      <c r="B220" s="29">
        <v>45855</v>
      </c>
      <c r="C220" s="24" t="s">
        <v>169</v>
      </c>
      <c r="D220" s="24" t="s">
        <v>167</v>
      </c>
      <c r="E220" s="25">
        <v>11.05</v>
      </c>
      <c r="F220" s="26">
        <v>100.8796380090498</v>
      </c>
      <c r="G220" s="30">
        <f>IF(OR(D220="TARDIO",D220="PENDIENTE (TARDÍO)"),'Efectos y supuestos'!$B$8,0)</f>
        <v>0</v>
      </c>
      <c r="H220" s="14">
        <f t="shared" si="3"/>
        <v>0</v>
      </c>
    </row>
    <row r="221" spans="1:8" x14ac:dyDescent="0.35">
      <c r="A221" s="24" t="s">
        <v>354</v>
      </c>
      <c r="B221" s="29">
        <v>45898</v>
      </c>
      <c r="C221" s="24" t="s">
        <v>169</v>
      </c>
      <c r="D221" s="24" t="s">
        <v>167</v>
      </c>
      <c r="E221" s="25">
        <v>15.35</v>
      </c>
      <c r="F221" s="26">
        <v>107.7302931596091</v>
      </c>
      <c r="G221" s="30">
        <f>IF(OR(D221="TARDIO",D221="PENDIENTE (TARDÍO)"),'Efectos y supuestos'!$B$8,0)</f>
        <v>0</v>
      </c>
      <c r="H221" s="14">
        <f t="shared" si="3"/>
        <v>0</v>
      </c>
    </row>
    <row r="222" spans="1:8" x14ac:dyDescent="0.35">
      <c r="A222" s="24" t="s">
        <v>355</v>
      </c>
      <c r="B222" s="29">
        <v>45898</v>
      </c>
      <c r="C222" s="24" t="s">
        <v>169</v>
      </c>
      <c r="D222" s="24" t="s">
        <v>167</v>
      </c>
      <c r="E222" s="25">
        <v>11.66</v>
      </c>
      <c r="F222" s="26">
        <v>96.702401372212691</v>
      </c>
      <c r="G222" s="30">
        <f>IF(OR(D222="TARDIO",D222="PENDIENTE (TARDÍO)"),'Efectos y supuestos'!$B$8,0)</f>
        <v>0</v>
      </c>
      <c r="H222" s="14">
        <f t="shared" si="3"/>
        <v>0</v>
      </c>
    </row>
    <row r="223" spans="1:8" x14ac:dyDescent="0.35">
      <c r="A223" s="24" t="s">
        <v>356</v>
      </c>
      <c r="B223" s="29">
        <v>45899</v>
      </c>
      <c r="C223" s="24" t="s">
        <v>166</v>
      </c>
      <c r="D223" s="24" t="s">
        <v>167</v>
      </c>
      <c r="E223" s="25">
        <v>3.75</v>
      </c>
      <c r="F223" s="26">
        <v>105</v>
      </c>
      <c r="G223" s="30">
        <f>IF(OR(D223="TARDIO",D223="PENDIENTE (TARDÍO)"),'Efectos y supuestos'!$B$8,0)</f>
        <v>0</v>
      </c>
      <c r="H223" s="14">
        <f t="shared" si="3"/>
        <v>0</v>
      </c>
    </row>
    <row r="224" spans="1:8" x14ac:dyDescent="0.35">
      <c r="A224" s="24" t="s">
        <v>357</v>
      </c>
      <c r="B224" s="29">
        <v>45731</v>
      </c>
      <c r="C224" s="24" t="s">
        <v>169</v>
      </c>
      <c r="D224" s="24" t="s">
        <v>167</v>
      </c>
      <c r="E224" s="25">
        <v>8.44</v>
      </c>
      <c r="F224" s="26">
        <v>88.735781990521332</v>
      </c>
      <c r="G224" s="30">
        <f>IF(OR(D224="TARDIO",D224="PENDIENTE (TARDÍO)"),'Efectos y supuestos'!$B$8,0)</f>
        <v>0</v>
      </c>
      <c r="H224" s="14">
        <f t="shared" si="3"/>
        <v>0</v>
      </c>
    </row>
    <row r="225" spans="1:8" x14ac:dyDescent="0.35">
      <c r="A225" s="24" t="s">
        <v>358</v>
      </c>
      <c r="B225" s="29">
        <v>45850</v>
      </c>
      <c r="C225" s="24" t="s">
        <v>169</v>
      </c>
      <c r="D225" s="24" t="s">
        <v>167</v>
      </c>
      <c r="E225" s="25">
        <v>8.06</v>
      </c>
      <c r="F225" s="26">
        <v>103.5198511166253</v>
      </c>
      <c r="G225" s="30">
        <f>IF(OR(D225="TARDIO",D225="PENDIENTE (TARDÍO)"),'Efectos y supuestos'!$B$8,0)</f>
        <v>0</v>
      </c>
      <c r="H225" s="14">
        <f t="shared" si="3"/>
        <v>0</v>
      </c>
    </row>
    <row r="226" spans="1:8" x14ac:dyDescent="0.35">
      <c r="A226" s="24" t="s">
        <v>359</v>
      </c>
      <c r="B226" s="29">
        <v>45859</v>
      </c>
      <c r="C226" s="24" t="s">
        <v>169</v>
      </c>
      <c r="D226" s="24" t="s">
        <v>167</v>
      </c>
      <c r="E226" s="25">
        <v>22.23</v>
      </c>
      <c r="F226" s="26">
        <v>102.4907782276203</v>
      </c>
      <c r="G226" s="30">
        <f>IF(OR(D226="TARDIO",D226="PENDIENTE (TARDÍO)"),'Efectos y supuestos'!$B$8,0)</f>
        <v>0</v>
      </c>
      <c r="H226" s="14">
        <f t="shared" si="3"/>
        <v>0</v>
      </c>
    </row>
    <row r="227" spans="1:8" x14ac:dyDescent="0.35">
      <c r="A227" s="24" t="s">
        <v>360</v>
      </c>
      <c r="B227" s="29">
        <v>45897</v>
      </c>
      <c r="C227" s="24" t="s">
        <v>169</v>
      </c>
      <c r="D227" s="24" t="s">
        <v>167</v>
      </c>
      <c r="E227" s="25">
        <v>8.67</v>
      </c>
      <c r="F227" s="26">
        <v>101.71510957324109</v>
      </c>
      <c r="G227" s="30">
        <f>IF(OR(D227="TARDIO",D227="PENDIENTE (TARDÍO)"),'Efectos y supuestos'!$B$8,0)</f>
        <v>0</v>
      </c>
      <c r="H227" s="14">
        <f t="shared" si="3"/>
        <v>0</v>
      </c>
    </row>
    <row r="228" spans="1:8" x14ac:dyDescent="0.35">
      <c r="A228" s="24" t="s">
        <v>361</v>
      </c>
      <c r="B228" s="29">
        <v>45721</v>
      </c>
      <c r="C228" s="24" t="s">
        <v>169</v>
      </c>
      <c r="D228" s="24" t="s">
        <v>167</v>
      </c>
      <c r="E228" s="25">
        <v>11.37</v>
      </c>
      <c r="F228" s="26">
        <v>97.293755496921733</v>
      </c>
      <c r="G228" s="30">
        <f>IF(OR(D228="TARDIO",D228="PENDIENTE (TARDÍO)"),'Efectos y supuestos'!$B$8,0)</f>
        <v>0</v>
      </c>
      <c r="H228" s="14">
        <f t="shared" si="3"/>
        <v>0</v>
      </c>
    </row>
    <row r="229" spans="1:8" x14ac:dyDescent="0.35">
      <c r="A229" s="24" t="s">
        <v>362</v>
      </c>
      <c r="B229" s="29">
        <v>45721</v>
      </c>
      <c r="C229" s="24" t="s">
        <v>169</v>
      </c>
      <c r="D229" s="24" t="s">
        <v>167</v>
      </c>
      <c r="E229" s="25">
        <v>16.34</v>
      </c>
      <c r="F229" s="26">
        <v>97.43880048959609</v>
      </c>
      <c r="G229" s="30">
        <f>IF(OR(D229="TARDIO",D229="PENDIENTE (TARDÍO)"),'Efectos y supuestos'!$B$8,0)</f>
        <v>0</v>
      </c>
      <c r="H229" s="14">
        <f t="shared" si="3"/>
        <v>0</v>
      </c>
    </row>
    <row r="230" spans="1:8" x14ac:dyDescent="0.35">
      <c r="A230" s="24" t="s">
        <v>363</v>
      </c>
      <c r="B230" s="29">
        <v>45731</v>
      </c>
      <c r="C230" s="24" t="s">
        <v>169</v>
      </c>
      <c r="D230" s="24" t="s">
        <v>167</v>
      </c>
      <c r="E230" s="25">
        <v>8.06</v>
      </c>
      <c r="F230" s="26">
        <v>114.2828784119107</v>
      </c>
      <c r="G230" s="30">
        <f>IF(OR(D230="TARDIO",D230="PENDIENTE (TARDÍO)"),'Efectos y supuestos'!$B$8,0)</f>
        <v>0</v>
      </c>
      <c r="H230" s="14">
        <f t="shared" si="3"/>
        <v>0</v>
      </c>
    </row>
    <row r="231" spans="1:8" x14ac:dyDescent="0.35">
      <c r="A231" s="24" t="s">
        <v>364</v>
      </c>
      <c r="B231" s="29">
        <v>45759</v>
      </c>
      <c r="C231" s="24" t="s">
        <v>169</v>
      </c>
      <c r="D231" s="24" t="s">
        <v>167</v>
      </c>
      <c r="E231" s="25">
        <v>9.77</v>
      </c>
      <c r="F231" s="26">
        <v>100.2773797338792</v>
      </c>
      <c r="G231" s="30">
        <f>IF(OR(D231="TARDIO",D231="PENDIENTE (TARDÍO)"),'Efectos y supuestos'!$B$8,0)</f>
        <v>0</v>
      </c>
      <c r="H231" s="14">
        <f t="shared" si="3"/>
        <v>0</v>
      </c>
    </row>
    <row r="232" spans="1:8" x14ac:dyDescent="0.35">
      <c r="A232" s="24" t="s">
        <v>365</v>
      </c>
      <c r="B232" s="29">
        <v>45852</v>
      </c>
      <c r="C232" s="24" t="s">
        <v>169</v>
      </c>
      <c r="D232" s="24" t="s">
        <v>167</v>
      </c>
      <c r="E232" s="25">
        <v>7.4</v>
      </c>
      <c r="F232" s="26">
        <v>117.70810810810811</v>
      </c>
      <c r="G232" s="30">
        <f>IF(OR(D232="TARDIO",D232="PENDIENTE (TARDÍO)"),'Efectos y supuestos'!$B$8,0)</f>
        <v>0</v>
      </c>
      <c r="H232" s="14">
        <f t="shared" si="3"/>
        <v>0</v>
      </c>
    </row>
    <row r="233" spans="1:8" x14ac:dyDescent="0.35">
      <c r="A233" s="24" t="s">
        <v>366</v>
      </c>
      <c r="B233" s="29">
        <v>45631</v>
      </c>
      <c r="C233" s="24" t="s">
        <v>169</v>
      </c>
      <c r="D233" s="24" t="s">
        <v>167</v>
      </c>
      <c r="E233" s="25">
        <v>12.74</v>
      </c>
      <c r="F233" s="26">
        <v>144.33987441130299</v>
      </c>
      <c r="G233" s="30">
        <f>IF(OR(D233="TARDIO",D233="PENDIENTE (TARDÍO)"),'Efectos y supuestos'!$B$8,0)</f>
        <v>0</v>
      </c>
      <c r="H233" s="14">
        <f t="shared" si="3"/>
        <v>0</v>
      </c>
    </row>
    <row r="234" spans="1:8" x14ac:dyDescent="0.35">
      <c r="A234" s="24" t="s">
        <v>367</v>
      </c>
      <c r="B234" s="29">
        <v>45631</v>
      </c>
      <c r="C234" s="24" t="s">
        <v>169</v>
      </c>
      <c r="D234" s="24" t="s">
        <v>167</v>
      </c>
      <c r="E234" s="25">
        <v>7.94</v>
      </c>
      <c r="F234" s="26">
        <v>134.78211586901759</v>
      </c>
      <c r="G234" s="30">
        <f>IF(OR(D234="TARDIO",D234="PENDIENTE (TARDÍO)"),'Efectos y supuestos'!$B$8,0)</f>
        <v>0</v>
      </c>
      <c r="H234" s="14">
        <f t="shared" si="3"/>
        <v>0</v>
      </c>
    </row>
    <row r="235" spans="1:8" x14ac:dyDescent="0.35">
      <c r="A235" s="24" t="s">
        <v>368</v>
      </c>
      <c r="B235" s="29">
        <v>45852</v>
      </c>
      <c r="C235" s="24" t="s">
        <v>169</v>
      </c>
      <c r="D235" s="24" t="s">
        <v>167</v>
      </c>
      <c r="E235" s="25">
        <v>7.99</v>
      </c>
      <c r="F235" s="26">
        <v>96.732165206508128</v>
      </c>
      <c r="G235" s="30">
        <f>IF(OR(D235="TARDIO",D235="PENDIENTE (TARDÍO)"),'Efectos y supuestos'!$B$8,0)</f>
        <v>0</v>
      </c>
      <c r="H235" s="14">
        <f t="shared" si="3"/>
        <v>0</v>
      </c>
    </row>
    <row r="236" spans="1:8" x14ac:dyDescent="0.35">
      <c r="A236" s="24" t="s">
        <v>369</v>
      </c>
      <c r="B236" s="29">
        <v>45854</v>
      </c>
      <c r="C236" s="24" t="s">
        <v>169</v>
      </c>
      <c r="D236" s="24" t="s">
        <v>167</v>
      </c>
      <c r="E236" s="25">
        <v>7.73</v>
      </c>
      <c r="F236" s="26">
        <v>87.531694695989643</v>
      </c>
      <c r="G236" s="30">
        <f>IF(OR(D236="TARDIO",D236="PENDIENTE (TARDÍO)"),'Efectos y supuestos'!$B$8,0)</f>
        <v>0</v>
      </c>
      <c r="H236" s="14">
        <f t="shared" si="3"/>
        <v>0</v>
      </c>
    </row>
    <row r="237" spans="1:8" x14ac:dyDescent="0.35">
      <c r="A237" s="24" t="s">
        <v>370</v>
      </c>
      <c r="B237" s="29">
        <v>45854</v>
      </c>
      <c r="C237" s="24" t="s">
        <v>169</v>
      </c>
      <c r="D237" s="24" t="s">
        <v>167</v>
      </c>
      <c r="E237" s="25">
        <v>8.59</v>
      </c>
      <c r="F237" s="26">
        <v>85.71944121071013</v>
      </c>
      <c r="G237" s="30">
        <f>IF(OR(D237="TARDIO",D237="PENDIENTE (TARDÍO)"),'Efectos y supuestos'!$B$8,0)</f>
        <v>0</v>
      </c>
      <c r="H237" s="14">
        <f t="shared" si="3"/>
        <v>0</v>
      </c>
    </row>
    <row r="238" spans="1:8" x14ac:dyDescent="0.35">
      <c r="A238" s="24" t="s">
        <v>371</v>
      </c>
      <c r="B238" s="29">
        <v>45854</v>
      </c>
      <c r="C238" s="24" t="s">
        <v>169</v>
      </c>
      <c r="D238" s="24" t="s">
        <v>167</v>
      </c>
      <c r="E238" s="25">
        <v>7.76</v>
      </c>
      <c r="F238" s="26">
        <v>98.412371134020617</v>
      </c>
      <c r="G238" s="30">
        <f>IF(OR(D238="TARDIO",D238="PENDIENTE (TARDÍO)"),'Efectos y supuestos'!$B$8,0)</f>
        <v>0</v>
      </c>
      <c r="H238" s="14">
        <f t="shared" si="3"/>
        <v>0</v>
      </c>
    </row>
    <row r="239" spans="1:8" x14ac:dyDescent="0.35">
      <c r="A239" s="24" t="s">
        <v>372</v>
      </c>
      <c r="B239" s="29">
        <v>45904</v>
      </c>
      <c r="C239" s="24" t="s">
        <v>169</v>
      </c>
      <c r="D239" s="24" t="s">
        <v>167</v>
      </c>
      <c r="E239" s="25">
        <v>9.58</v>
      </c>
      <c r="F239" s="26">
        <v>136.40083507306889</v>
      </c>
      <c r="G239" s="30">
        <f>IF(OR(D239="TARDIO",D239="PENDIENTE (TARDÍO)"),'Efectos y supuestos'!$B$8,0)</f>
        <v>0</v>
      </c>
      <c r="H239" s="14">
        <f t="shared" si="3"/>
        <v>0</v>
      </c>
    </row>
    <row r="240" spans="1:8" x14ac:dyDescent="0.35">
      <c r="A240" s="24" t="s">
        <v>373</v>
      </c>
      <c r="B240" s="29">
        <v>45854</v>
      </c>
      <c r="C240" s="24" t="s">
        <v>169</v>
      </c>
      <c r="D240" s="24" t="s">
        <v>167</v>
      </c>
      <c r="E240" s="25">
        <v>6.29</v>
      </c>
      <c r="F240" s="26">
        <v>103.45310015898249</v>
      </c>
      <c r="G240" s="30">
        <f>IF(OR(D240="TARDIO",D240="PENDIENTE (TARDÍO)"),'Efectos y supuestos'!$B$8,0)</f>
        <v>0</v>
      </c>
      <c r="H240" s="14">
        <f t="shared" si="3"/>
        <v>0</v>
      </c>
    </row>
    <row r="241" spans="1:8" x14ac:dyDescent="0.35">
      <c r="A241" s="24" t="s">
        <v>374</v>
      </c>
      <c r="B241" s="29">
        <v>45705</v>
      </c>
      <c r="C241" s="24" t="s">
        <v>169</v>
      </c>
      <c r="D241" s="24" t="s">
        <v>167</v>
      </c>
      <c r="E241" s="25">
        <v>7.3</v>
      </c>
      <c r="F241" s="26">
        <v>110.5986301369863</v>
      </c>
      <c r="G241" s="30">
        <f>IF(OR(D241="TARDIO",D241="PENDIENTE (TARDÍO)"),'Efectos y supuestos'!$B$8,0)</f>
        <v>0</v>
      </c>
      <c r="H241" s="14">
        <f t="shared" si="3"/>
        <v>0</v>
      </c>
    </row>
    <row r="242" spans="1:8" x14ac:dyDescent="0.35">
      <c r="A242" s="24" t="s">
        <v>375</v>
      </c>
      <c r="B242" s="29">
        <v>45713</v>
      </c>
      <c r="C242" s="24" t="s">
        <v>169</v>
      </c>
      <c r="D242" s="24" t="s">
        <v>167</v>
      </c>
      <c r="E242" s="25">
        <v>5.32</v>
      </c>
      <c r="F242" s="26">
        <v>120.6578947368421</v>
      </c>
      <c r="G242" s="30">
        <f>IF(OR(D242="TARDIO",D242="PENDIENTE (TARDÍO)"),'Efectos y supuestos'!$B$8,0)</f>
        <v>0</v>
      </c>
      <c r="H242" s="14">
        <f t="shared" si="3"/>
        <v>0</v>
      </c>
    </row>
    <row r="243" spans="1:8" x14ac:dyDescent="0.35">
      <c r="A243" s="24" t="s">
        <v>376</v>
      </c>
      <c r="B243" s="29">
        <v>45759</v>
      </c>
      <c r="C243" s="24" t="s">
        <v>169</v>
      </c>
      <c r="D243" s="24" t="s">
        <v>167</v>
      </c>
      <c r="E243" s="25">
        <v>15.99</v>
      </c>
      <c r="F243" s="26">
        <v>109.95747342088799</v>
      </c>
      <c r="G243" s="30">
        <f>IF(OR(D243="TARDIO",D243="PENDIENTE (TARDÍO)"),'Efectos y supuestos'!$B$8,0)</f>
        <v>0</v>
      </c>
      <c r="H243" s="14">
        <f t="shared" si="3"/>
        <v>0</v>
      </c>
    </row>
    <row r="244" spans="1:8" x14ac:dyDescent="0.35">
      <c r="A244" s="24" t="s">
        <v>377</v>
      </c>
      <c r="B244" s="29">
        <v>45757</v>
      </c>
      <c r="C244" s="24" t="s">
        <v>169</v>
      </c>
      <c r="D244" s="24" t="s">
        <v>167</v>
      </c>
      <c r="E244" s="25">
        <v>16.45</v>
      </c>
      <c r="F244" s="26">
        <v>135.38723404255319</v>
      </c>
      <c r="G244" s="30">
        <f>IF(OR(D244="TARDIO",D244="PENDIENTE (TARDÍO)"),'Efectos y supuestos'!$B$8,0)</f>
        <v>0</v>
      </c>
      <c r="H244" s="14">
        <f t="shared" si="3"/>
        <v>0</v>
      </c>
    </row>
    <row r="245" spans="1:8" x14ac:dyDescent="0.35">
      <c r="A245" s="24" t="s">
        <v>378</v>
      </c>
      <c r="B245" s="29">
        <v>45757</v>
      </c>
      <c r="C245" s="24" t="s">
        <v>169</v>
      </c>
      <c r="D245" s="24" t="s">
        <v>167</v>
      </c>
      <c r="E245" s="25">
        <v>5.03</v>
      </c>
      <c r="F245" s="26">
        <v>90.834990059642138</v>
      </c>
      <c r="G245" s="30">
        <f>IF(OR(D245="TARDIO",D245="PENDIENTE (TARDÍO)"),'Efectos y supuestos'!$B$8,0)</f>
        <v>0</v>
      </c>
      <c r="H245" s="14">
        <f t="shared" si="3"/>
        <v>0</v>
      </c>
    </row>
    <row r="246" spans="1:8" x14ac:dyDescent="0.35">
      <c r="A246" s="24" t="s">
        <v>379</v>
      </c>
      <c r="B246" s="29">
        <v>45950</v>
      </c>
      <c r="C246" s="24" t="s">
        <v>169</v>
      </c>
      <c r="D246" s="24" t="s">
        <v>380</v>
      </c>
      <c r="E246" s="25">
        <v>1.9</v>
      </c>
      <c r="F246" s="26">
        <v>88.968421052631584</v>
      </c>
      <c r="G246" s="30">
        <f>IF(OR(D246="TARDIO",D246="PENDIENTE (TARDÍO)"),'Efectos y supuestos'!$B$8,0)</f>
        <v>0</v>
      </c>
      <c r="H246" s="14">
        <f t="shared" si="3"/>
        <v>0</v>
      </c>
    </row>
    <row r="247" spans="1:8" x14ac:dyDescent="0.35">
      <c r="A247" s="24" t="s">
        <v>381</v>
      </c>
      <c r="B247" s="29">
        <v>45951</v>
      </c>
      <c r="C247" s="24" t="s">
        <v>169</v>
      </c>
      <c r="D247" s="24" t="s">
        <v>380</v>
      </c>
      <c r="E247" s="25">
        <v>3.77</v>
      </c>
      <c r="F247" s="26">
        <v>90</v>
      </c>
      <c r="G247" s="30">
        <f>IF(OR(D247="TARDIO",D247="PENDIENTE (TARDÍO)"),'Efectos y supuestos'!$B$8,0)</f>
        <v>0</v>
      </c>
      <c r="H247" s="14">
        <f t="shared" si="3"/>
        <v>0</v>
      </c>
    </row>
    <row r="248" spans="1:8" x14ac:dyDescent="0.35">
      <c r="A248" s="24" t="s">
        <v>382</v>
      </c>
      <c r="B248" s="29">
        <v>45908</v>
      </c>
      <c r="C248" s="24" t="s">
        <v>169</v>
      </c>
      <c r="D248" s="24" t="s">
        <v>380</v>
      </c>
      <c r="E248" s="25">
        <v>2.88</v>
      </c>
      <c r="F248" s="26">
        <v>84.982638888888886</v>
      </c>
      <c r="G248" s="30">
        <f>IF(OR(D248="TARDIO",D248="PENDIENTE (TARDÍO)"),'Efectos y supuestos'!$B$8,0)</f>
        <v>0</v>
      </c>
      <c r="H248" s="14">
        <f t="shared" si="3"/>
        <v>0</v>
      </c>
    </row>
    <row r="249" spans="1:8" x14ac:dyDescent="0.35">
      <c r="A249" s="24" t="s">
        <v>383</v>
      </c>
      <c r="B249" s="29">
        <v>45908</v>
      </c>
      <c r="C249" s="24" t="s">
        <v>169</v>
      </c>
      <c r="D249" s="24" t="s">
        <v>380</v>
      </c>
      <c r="E249" s="25">
        <v>10.72</v>
      </c>
      <c r="F249" s="26">
        <v>126.9738805970149</v>
      </c>
      <c r="G249" s="30">
        <f>IF(OR(D249="TARDIO",D249="PENDIENTE (TARDÍO)"),'Efectos y supuestos'!$B$8,0)</f>
        <v>0</v>
      </c>
      <c r="H249" s="14">
        <f t="shared" si="3"/>
        <v>0</v>
      </c>
    </row>
    <row r="250" spans="1:8" x14ac:dyDescent="0.35">
      <c r="A250" s="24" t="s">
        <v>384</v>
      </c>
      <c r="B250" s="29">
        <v>45908</v>
      </c>
      <c r="C250" s="24" t="s">
        <v>169</v>
      </c>
      <c r="D250" s="24" t="s">
        <v>380</v>
      </c>
      <c r="E250" s="25">
        <v>23.54</v>
      </c>
      <c r="F250" s="26">
        <v>101.4770603228547</v>
      </c>
      <c r="G250" s="30">
        <f>IF(OR(D250="TARDIO",D250="PENDIENTE (TARDÍO)"),'Efectos y supuestos'!$B$8,0)</f>
        <v>0</v>
      </c>
      <c r="H250" s="14">
        <f t="shared" si="3"/>
        <v>0</v>
      </c>
    </row>
    <row r="251" spans="1:8" x14ac:dyDescent="0.35">
      <c r="A251" s="24" t="s">
        <v>385</v>
      </c>
      <c r="B251" s="29">
        <v>45904</v>
      </c>
      <c r="C251" s="24" t="s">
        <v>169</v>
      </c>
      <c r="D251" s="24" t="s">
        <v>380</v>
      </c>
      <c r="E251" s="25">
        <v>23.48</v>
      </c>
      <c r="F251" s="26">
        <v>145.16482112436111</v>
      </c>
      <c r="G251" s="30">
        <f>IF(OR(D251="TARDIO",D251="PENDIENTE (TARDÍO)"),'Efectos y supuestos'!$B$8,0)</f>
        <v>0</v>
      </c>
      <c r="H251" s="14">
        <f t="shared" si="3"/>
        <v>0</v>
      </c>
    </row>
    <row r="252" spans="1:8" x14ac:dyDescent="0.35">
      <c r="A252" s="24" t="s">
        <v>386</v>
      </c>
      <c r="B252" s="29">
        <v>45908</v>
      </c>
      <c r="C252" s="24" t="s">
        <v>166</v>
      </c>
      <c r="D252" s="24" t="s">
        <v>380</v>
      </c>
      <c r="E252" s="25">
        <v>12.7</v>
      </c>
      <c r="F252" s="26">
        <v>105</v>
      </c>
      <c r="G252" s="30">
        <f>IF(OR(D252="TARDIO",D252="PENDIENTE (TARDÍO)"),'Efectos y supuestos'!$B$8,0)</f>
        <v>0</v>
      </c>
      <c r="H252" s="14">
        <f t="shared" si="3"/>
        <v>0</v>
      </c>
    </row>
    <row r="253" spans="1:8" x14ac:dyDescent="0.35">
      <c r="A253" s="24" t="s">
        <v>80</v>
      </c>
      <c r="B253" s="29">
        <v>45923</v>
      </c>
      <c r="C253" s="24" t="s">
        <v>169</v>
      </c>
      <c r="D253" s="24" t="s">
        <v>380</v>
      </c>
      <c r="E253" s="25">
        <v>5.26</v>
      </c>
      <c r="F253" s="26">
        <v>130.66</v>
      </c>
      <c r="G253" s="30">
        <f>IF(OR(D253="TARDIO",D253="PENDIENTE (TARDÍO)"),'Efectos y supuestos'!$B$8,0)</f>
        <v>0</v>
      </c>
      <c r="H253" s="14">
        <f t="shared" si="3"/>
        <v>0</v>
      </c>
    </row>
    <row r="254" spans="1:8" x14ac:dyDescent="0.35">
      <c r="A254" s="24" t="s">
        <v>387</v>
      </c>
      <c r="B254" s="29">
        <v>45937</v>
      </c>
      <c r="C254" s="24" t="s">
        <v>169</v>
      </c>
      <c r="D254" s="24" t="s">
        <v>380</v>
      </c>
      <c r="E254" s="25">
        <v>14.45</v>
      </c>
      <c r="F254" s="26">
        <v>108.16</v>
      </c>
      <c r="G254" s="30">
        <f>IF(OR(D254="TARDIO",D254="PENDIENTE (TARDÍO)"),'Efectos y supuestos'!$B$8,0)</f>
        <v>0</v>
      </c>
      <c r="H254" s="14">
        <f t="shared" si="3"/>
        <v>0</v>
      </c>
    </row>
    <row r="255" spans="1:8" x14ac:dyDescent="0.35">
      <c r="A255" s="24" t="s">
        <v>388</v>
      </c>
      <c r="B255" s="29">
        <v>45910</v>
      </c>
      <c r="C255" s="24" t="s">
        <v>169</v>
      </c>
      <c r="D255" s="24" t="s">
        <v>380</v>
      </c>
      <c r="E255" s="25">
        <v>14.8</v>
      </c>
      <c r="F255" s="26">
        <v>110.6175675675676</v>
      </c>
      <c r="G255" s="30">
        <f>IF(OR(D255="TARDIO",D255="PENDIENTE (TARDÍO)"),'Efectos y supuestos'!$B$8,0)</f>
        <v>0</v>
      </c>
      <c r="H255" s="14">
        <f t="shared" si="3"/>
        <v>0</v>
      </c>
    </row>
    <row r="256" spans="1:8" x14ac:dyDescent="0.35">
      <c r="A256" s="24" t="s">
        <v>389</v>
      </c>
      <c r="B256" s="29">
        <v>45902</v>
      </c>
      <c r="C256" s="24" t="s">
        <v>169</v>
      </c>
      <c r="D256" s="24" t="s">
        <v>380</v>
      </c>
      <c r="E256" s="25">
        <v>3.58</v>
      </c>
      <c r="F256" s="26">
        <v>102.25698324022351</v>
      </c>
      <c r="G256" s="30">
        <f>IF(OR(D256="TARDIO",D256="PENDIENTE (TARDÍO)"),'Efectos y supuestos'!$B$8,0)</f>
        <v>0</v>
      </c>
      <c r="H256" s="14">
        <f t="shared" si="3"/>
        <v>0</v>
      </c>
    </row>
    <row r="257" spans="1:8" x14ac:dyDescent="0.35">
      <c r="A257" s="24" t="s">
        <v>390</v>
      </c>
      <c r="B257" s="29">
        <v>45936</v>
      </c>
      <c r="C257" s="24" t="s">
        <v>169</v>
      </c>
      <c r="D257" s="24" t="s">
        <v>380</v>
      </c>
      <c r="E257" s="25">
        <v>13.37</v>
      </c>
      <c r="F257" s="26">
        <v>128.02000000000001</v>
      </c>
      <c r="G257" s="30">
        <f>IF(OR(D257="TARDIO",D257="PENDIENTE (TARDÍO)"),'Efectos y supuestos'!$B$8,0)</f>
        <v>0</v>
      </c>
      <c r="H257" s="14">
        <f t="shared" si="3"/>
        <v>0</v>
      </c>
    </row>
    <row r="258" spans="1:8" x14ac:dyDescent="0.35">
      <c r="A258" s="24" t="s">
        <v>90</v>
      </c>
      <c r="B258" s="29">
        <v>45902</v>
      </c>
      <c r="C258" s="24" t="s">
        <v>169</v>
      </c>
      <c r="D258" s="24" t="s">
        <v>380</v>
      </c>
      <c r="E258" s="25">
        <v>7.28</v>
      </c>
      <c r="F258" s="26">
        <v>115.0398351648352</v>
      </c>
      <c r="G258" s="30">
        <f>IF(OR(D258="TARDIO",D258="PENDIENTE (TARDÍO)"),'Efectos y supuestos'!$B$8,0)</f>
        <v>0</v>
      </c>
      <c r="H258" s="14">
        <f t="shared" si="3"/>
        <v>0</v>
      </c>
    </row>
    <row r="259" spans="1:8" x14ac:dyDescent="0.35">
      <c r="A259" s="24" t="s">
        <v>391</v>
      </c>
      <c r="B259" s="29">
        <v>45915</v>
      </c>
      <c r="C259" s="24" t="s">
        <v>169</v>
      </c>
      <c r="D259" s="24" t="s">
        <v>380</v>
      </c>
      <c r="E259" s="25">
        <v>6.39</v>
      </c>
      <c r="F259" s="26">
        <v>107.0892018779343</v>
      </c>
      <c r="G259" s="30">
        <f>IF(OR(D259="TARDIO",D259="PENDIENTE (TARDÍO)"),'Efectos y supuestos'!$B$8,0)</f>
        <v>0</v>
      </c>
      <c r="H259" s="14">
        <f t="shared" si="3"/>
        <v>0</v>
      </c>
    </row>
    <row r="260" spans="1:8" x14ac:dyDescent="0.35">
      <c r="A260" s="24" t="s">
        <v>392</v>
      </c>
      <c r="B260" s="29">
        <v>45872</v>
      </c>
      <c r="C260" s="24" t="s">
        <v>169</v>
      </c>
      <c r="D260" s="24" t="s">
        <v>380</v>
      </c>
      <c r="E260" s="25">
        <v>16.88</v>
      </c>
      <c r="F260" s="26">
        <v>88.460900473933663</v>
      </c>
      <c r="G260" s="30">
        <f>IF(OR(D260="TARDIO",D260="PENDIENTE (TARDÍO)"),'Efectos y supuestos'!$B$8,0)</f>
        <v>0</v>
      </c>
      <c r="H260" s="14">
        <f t="shared" si="3"/>
        <v>0</v>
      </c>
    </row>
    <row r="261" spans="1:8" x14ac:dyDescent="0.35">
      <c r="A261" s="24" t="s">
        <v>393</v>
      </c>
      <c r="B261" s="29">
        <v>45906</v>
      </c>
      <c r="C261" s="24" t="s">
        <v>169</v>
      </c>
      <c r="D261" s="24" t="s">
        <v>380</v>
      </c>
      <c r="E261" s="25">
        <v>5.53</v>
      </c>
      <c r="F261" s="26">
        <v>111.53345388788431</v>
      </c>
      <c r="G261" s="30">
        <f>IF(OR(D261="TARDIO",D261="PENDIENTE (TARDÍO)"),'Efectos y supuestos'!$B$8,0)</f>
        <v>0</v>
      </c>
      <c r="H261" s="14">
        <f t="shared" si="3"/>
        <v>0</v>
      </c>
    </row>
    <row r="262" spans="1:8" x14ac:dyDescent="0.35">
      <c r="A262" s="24" t="s">
        <v>394</v>
      </c>
      <c r="B262" s="29">
        <v>45926</v>
      </c>
      <c r="C262" s="24" t="s">
        <v>169</v>
      </c>
      <c r="D262" s="24" t="s">
        <v>380</v>
      </c>
      <c r="E262" s="25">
        <v>11.93</v>
      </c>
      <c r="F262" s="26">
        <v>116.6303436714166</v>
      </c>
      <c r="G262" s="30">
        <f>IF(OR(D262="TARDIO",D262="PENDIENTE (TARDÍO)"),'Efectos y supuestos'!$B$8,0)</f>
        <v>0</v>
      </c>
      <c r="H262" s="14">
        <f t="shared" ref="H262:H325" si="4">-G262*F262*E262</f>
        <v>0</v>
      </c>
    </row>
    <row r="263" spans="1:8" x14ac:dyDescent="0.35">
      <c r="A263" s="24" t="s">
        <v>98</v>
      </c>
      <c r="B263" s="29">
        <v>45936</v>
      </c>
      <c r="C263" s="24" t="s">
        <v>169</v>
      </c>
      <c r="D263" s="24" t="s">
        <v>380</v>
      </c>
      <c r="E263" s="25">
        <v>11.71</v>
      </c>
      <c r="F263" s="26">
        <v>122.08</v>
      </c>
      <c r="G263" s="30">
        <f>IF(OR(D263="TARDIO",D263="PENDIENTE (TARDÍO)"),'Efectos y supuestos'!$B$8,0)</f>
        <v>0</v>
      </c>
      <c r="H263" s="14">
        <f t="shared" si="4"/>
        <v>0</v>
      </c>
    </row>
    <row r="264" spans="1:8" x14ac:dyDescent="0.35">
      <c r="A264" s="24" t="s">
        <v>395</v>
      </c>
      <c r="B264" s="29">
        <v>45915</v>
      </c>
      <c r="C264" s="24" t="s">
        <v>169</v>
      </c>
      <c r="D264" s="24" t="s">
        <v>380</v>
      </c>
      <c r="E264" s="25">
        <v>22.26</v>
      </c>
      <c r="F264" s="26">
        <v>87.144204851752008</v>
      </c>
      <c r="G264" s="30">
        <f>IF(OR(D264="TARDIO",D264="PENDIENTE (TARDÍO)"),'Efectos y supuestos'!$B$8,0)</f>
        <v>0</v>
      </c>
      <c r="H264" s="14">
        <f t="shared" si="4"/>
        <v>0</v>
      </c>
    </row>
    <row r="265" spans="1:8" x14ac:dyDescent="0.35">
      <c r="A265" s="24" t="s">
        <v>99</v>
      </c>
      <c r="B265" s="29">
        <v>45946</v>
      </c>
      <c r="C265" s="24" t="s">
        <v>169</v>
      </c>
      <c r="D265" s="24" t="s">
        <v>380</v>
      </c>
      <c r="E265" s="25">
        <v>10.210000000000001</v>
      </c>
      <c r="F265" s="26">
        <v>90.26</v>
      </c>
      <c r="G265" s="30">
        <f>IF(OR(D265="TARDIO",D265="PENDIENTE (TARDÍO)"),'Efectos y supuestos'!$B$8,0)</f>
        <v>0</v>
      </c>
      <c r="H265" s="14">
        <f t="shared" si="4"/>
        <v>0</v>
      </c>
    </row>
    <row r="266" spans="1:8" x14ac:dyDescent="0.35">
      <c r="A266" s="24" t="s">
        <v>396</v>
      </c>
      <c r="B266" s="29">
        <v>45917</v>
      </c>
      <c r="C266" s="24" t="s">
        <v>169</v>
      </c>
      <c r="D266" s="24" t="s">
        <v>380</v>
      </c>
      <c r="E266" s="25">
        <v>16.75</v>
      </c>
      <c r="F266" s="26">
        <v>99.604776119402985</v>
      </c>
      <c r="G266" s="30">
        <f>IF(OR(D266="TARDIO",D266="PENDIENTE (TARDÍO)"),'Efectos y supuestos'!$B$8,0)</f>
        <v>0</v>
      </c>
      <c r="H266" s="14">
        <f t="shared" si="4"/>
        <v>0</v>
      </c>
    </row>
    <row r="267" spans="1:8" x14ac:dyDescent="0.35">
      <c r="A267" s="24" t="s">
        <v>397</v>
      </c>
      <c r="B267" s="29">
        <v>45950</v>
      </c>
      <c r="C267" s="24" t="s">
        <v>169</v>
      </c>
      <c r="D267" s="24" t="s">
        <v>380</v>
      </c>
      <c r="E267" s="25">
        <v>3.93</v>
      </c>
      <c r="F267" s="26">
        <v>103.39</v>
      </c>
      <c r="G267" s="30">
        <f>IF(OR(D267="TARDIO",D267="PENDIENTE (TARDÍO)"),'Efectos y supuestos'!$B$8,0)</f>
        <v>0</v>
      </c>
      <c r="H267" s="14">
        <f t="shared" si="4"/>
        <v>0</v>
      </c>
    </row>
    <row r="268" spans="1:8" x14ac:dyDescent="0.35">
      <c r="A268" s="24" t="s">
        <v>398</v>
      </c>
      <c r="B268" s="29">
        <v>45903</v>
      </c>
      <c r="C268" s="24" t="s">
        <v>169</v>
      </c>
      <c r="D268" s="24" t="s">
        <v>380</v>
      </c>
      <c r="E268" s="25">
        <v>5.92</v>
      </c>
      <c r="F268" s="26">
        <v>115.0422297297297</v>
      </c>
      <c r="G268" s="30">
        <f>IF(OR(D268="TARDIO",D268="PENDIENTE (TARDÍO)"),'Efectos y supuestos'!$B$8,0)</f>
        <v>0</v>
      </c>
      <c r="H268" s="14">
        <f t="shared" si="4"/>
        <v>0</v>
      </c>
    </row>
    <row r="269" spans="1:8" x14ac:dyDescent="0.35">
      <c r="A269" s="24" t="s">
        <v>399</v>
      </c>
      <c r="B269" s="29">
        <v>45953</v>
      </c>
      <c r="C269" s="24" t="s">
        <v>169</v>
      </c>
      <c r="D269" s="24" t="s">
        <v>380</v>
      </c>
      <c r="E269" s="25">
        <v>2.35</v>
      </c>
      <c r="F269" s="26">
        <v>134.43</v>
      </c>
      <c r="G269" s="30">
        <f>IF(OR(D269="TARDIO",D269="PENDIENTE (TARDÍO)"),'Efectos y supuestos'!$B$8,0)</f>
        <v>0</v>
      </c>
      <c r="H269" s="14">
        <f t="shared" si="4"/>
        <v>0</v>
      </c>
    </row>
    <row r="270" spans="1:8" x14ac:dyDescent="0.35">
      <c r="A270" s="24" t="s">
        <v>400</v>
      </c>
      <c r="B270" s="29">
        <v>45932</v>
      </c>
      <c r="C270" s="24" t="s">
        <v>166</v>
      </c>
      <c r="D270" s="24" t="s">
        <v>380</v>
      </c>
      <c r="E270" s="25">
        <v>3.35</v>
      </c>
      <c r="F270" s="26">
        <v>105</v>
      </c>
      <c r="G270" s="30">
        <f>IF(OR(D270="TARDIO",D270="PENDIENTE (TARDÍO)"),'Efectos y supuestos'!$B$8,0)</f>
        <v>0</v>
      </c>
      <c r="H270" s="14">
        <f t="shared" si="4"/>
        <v>0</v>
      </c>
    </row>
    <row r="271" spans="1:8" x14ac:dyDescent="0.35">
      <c r="A271" s="24" t="s">
        <v>401</v>
      </c>
      <c r="B271" s="29">
        <v>45926</v>
      </c>
      <c r="C271" s="24" t="s">
        <v>166</v>
      </c>
      <c r="D271" s="24" t="s">
        <v>380</v>
      </c>
      <c r="E271" s="25">
        <v>6.5</v>
      </c>
      <c r="F271" s="26">
        <v>105</v>
      </c>
      <c r="G271" s="30">
        <f>IF(OR(D271="TARDIO",D271="PENDIENTE (TARDÍO)"),'Efectos y supuestos'!$B$8,0)</f>
        <v>0</v>
      </c>
      <c r="H271" s="14">
        <f t="shared" si="4"/>
        <v>0</v>
      </c>
    </row>
    <row r="272" spans="1:8" x14ac:dyDescent="0.35">
      <c r="A272" s="24" t="s">
        <v>301</v>
      </c>
      <c r="B272" s="29">
        <v>45960</v>
      </c>
      <c r="C272" s="24" t="s">
        <v>166</v>
      </c>
      <c r="D272" s="24" t="s">
        <v>380</v>
      </c>
      <c r="E272" s="25">
        <v>20.98</v>
      </c>
      <c r="F272" s="26">
        <v>93.3</v>
      </c>
      <c r="G272" s="30">
        <f>IF(OR(D272="TARDIO",D272="PENDIENTE (TARDÍO)"),'Efectos y supuestos'!$B$8,0)</f>
        <v>0</v>
      </c>
      <c r="H272" s="14">
        <f t="shared" si="4"/>
        <v>0</v>
      </c>
    </row>
    <row r="273" spans="1:8" x14ac:dyDescent="0.35">
      <c r="A273" s="24" t="s">
        <v>306</v>
      </c>
      <c r="B273" s="29">
        <v>45953</v>
      </c>
      <c r="C273" s="24" t="s">
        <v>169</v>
      </c>
      <c r="D273" s="24" t="s">
        <v>380</v>
      </c>
      <c r="E273" s="25">
        <v>18.489999999999998</v>
      </c>
      <c r="F273" s="26">
        <v>121.13</v>
      </c>
      <c r="G273" s="30">
        <f>IF(OR(D273="TARDIO",D273="PENDIENTE (TARDÍO)"),'Efectos y supuestos'!$B$8,0)</f>
        <v>0</v>
      </c>
      <c r="H273" s="14">
        <f t="shared" si="4"/>
        <v>0</v>
      </c>
    </row>
    <row r="274" spans="1:8" x14ac:dyDescent="0.35">
      <c r="A274" s="24" t="s">
        <v>402</v>
      </c>
      <c r="B274" s="29">
        <v>45912</v>
      </c>
      <c r="C274" s="24" t="s">
        <v>169</v>
      </c>
      <c r="D274" s="24" t="s">
        <v>380</v>
      </c>
      <c r="E274" s="25">
        <v>17.62</v>
      </c>
      <c r="F274" s="26">
        <v>109.13110102156639</v>
      </c>
      <c r="G274" s="30">
        <f>IF(OR(D274="TARDIO",D274="PENDIENTE (TARDÍO)"),'Efectos y supuestos'!$B$8,0)</f>
        <v>0</v>
      </c>
      <c r="H274" s="14">
        <f t="shared" si="4"/>
        <v>0</v>
      </c>
    </row>
    <row r="275" spans="1:8" x14ac:dyDescent="0.35">
      <c r="A275" s="24" t="s">
        <v>403</v>
      </c>
      <c r="B275" s="29">
        <v>45915</v>
      </c>
      <c r="C275" s="24" t="s">
        <v>169</v>
      </c>
      <c r="D275" s="24" t="s">
        <v>380</v>
      </c>
      <c r="E275" s="25">
        <v>10.37</v>
      </c>
      <c r="F275" s="26">
        <v>106.2796528447444</v>
      </c>
      <c r="G275" s="30">
        <f>IF(OR(D275="TARDIO",D275="PENDIENTE (TARDÍO)"),'Efectos y supuestos'!$B$8,0)</f>
        <v>0</v>
      </c>
      <c r="H275" s="14">
        <f t="shared" si="4"/>
        <v>0</v>
      </c>
    </row>
    <row r="276" spans="1:8" x14ac:dyDescent="0.35">
      <c r="A276" s="24" t="s">
        <v>404</v>
      </c>
      <c r="B276" s="29">
        <v>45908</v>
      </c>
      <c r="C276" s="24" t="s">
        <v>169</v>
      </c>
      <c r="D276" s="24" t="s">
        <v>380</v>
      </c>
      <c r="E276" s="25">
        <v>10.55</v>
      </c>
      <c r="F276" s="26">
        <v>117.33933649289099</v>
      </c>
      <c r="G276" s="30">
        <f>IF(OR(D276="TARDIO",D276="PENDIENTE (TARDÍO)"),'Efectos y supuestos'!$B$8,0)</f>
        <v>0</v>
      </c>
      <c r="H276" s="14">
        <f t="shared" si="4"/>
        <v>0</v>
      </c>
    </row>
    <row r="277" spans="1:8" x14ac:dyDescent="0.35">
      <c r="A277" s="24" t="s">
        <v>405</v>
      </c>
      <c r="B277" s="29">
        <v>45915</v>
      </c>
      <c r="C277" s="24" t="s">
        <v>169</v>
      </c>
      <c r="D277" s="24" t="s">
        <v>380</v>
      </c>
      <c r="E277" s="25">
        <v>5.17</v>
      </c>
      <c r="F277" s="26">
        <v>123.69</v>
      </c>
      <c r="G277" s="30">
        <f>IF(OR(D277="TARDIO",D277="PENDIENTE (TARDÍO)"),'Efectos y supuestos'!$B$8,0)</f>
        <v>0</v>
      </c>
      <c r="H277" s="14">
        <f t="shared" si="4"/>
        <v>0</v>
      </c>
    </row>
    <row r="278" spans="1:8" x14ac:dyDescent="0.35">
      <c r="A278" s="24" t="s">
        <v>148</v>
      </c>
      <c r="B278" s="29">
        <v>45915</v>
      </c>
      <c r="C278" s="24" t="s">
        <v>166</v>
      </c>
      <c r="D278" s="24" t="s">
        <v>380</v>
      </c>
      <c r="E278" s="25">
        <v>10.45</v>
      </c>
      <c r="F278" s="26">
        <v>131</v>
      </c>
      <c r="G278" s="30">
        <f>IF(OR(D278="TARDIO",D278="PENDIENTE (TARDÍO)"),'Efectos y supuestos'!$B$8,0)</f>
        <v>0</v>
      </c>
      <c r="H278" s="14">
        <f t="shared" si="4"/>
        <v>0</v>
      </c>
    </row>
    <row r="279" spans="1:8" x14ac:dyDescent="0.35">
      <c r="A279" s="24" t="s">
        <v>406</v>
      </c>
      <c r="B279" s="29">
        <v>45915</v>
      </c>
      <c r="C279" s="24" t="s">
        <v>169</v>
      </c>
      <c r="D279" s="24" t="s">
        <v>380</v>
      </c>
      <c r="E279" s="25">
        <v>7.82</v>
      </c>
      <c r="F279" s="26">
        <v>125.64578005115089</v>
      </c>
      <c r="G279" s="30">
        <f>IF(OR(D279="TARDIO",D279="PENDIENTE (TARDÍO)"),'Efectos y supuestos'!$B$8,0)</f>
        <v>0</v>
      </c>
      <c r="H279" s="14">
        <f t="shared" si="4"/>
        <v>0</v>
      </c>
    </row>
    <row r="280" spans="1:8" x14ac:dyDescent="0.35">
      <c r="A280" s="24" t="s">
        <v>407</v>
      </c>
      <c r="B280" s="29">
        <v>45915</v>
      </c>
      <c r="C280" s="24" t="s">
        <v>169</v>
      </c>
      <c r="D280" s="24" t="s">
        <v>380</v>
      </c>
      <c r="E280" s="25">
        <v>3.81</v>
      </c>
      <c r="F280" s="26">
        <v>121.97900262467191</v>
      </c>
      <c r="G280" s="30">
        <f>IF(OR(D280="TARDIO",D280="PENDIENTE (TARDÍO)"),'Efectos y supuestos'!$B$8,0)</f>
        <v>0</v>
      </c>
      <c r="H280" s="14">
        <f t="shared" si="4"/>
        <v>0</v>
      </c>
    </row>
    <row r="281" spans="1:8" x14ac:dyDescent="0.35">
      <c r="A281" s="24" t="s">
        <v>408</v>
      </c>
      <c r="B281" s="29">
        <v>45820</v>
      </c>
      <c r="C281" s="24" t="s">
        <v>169</v>
      </c>
      <c r="D281" s="24" t="s">
        <v>409</v>
      </c>
      <c r="E281" s="25">
        <v>14.02</v>
      </c>
      <c r="F281" s="26">
        <v>96.619115549215408</v>
      </c>
      <c r="G281" s="30">
        <f>IF(OR(D281="TARDIO",D281="PENDIENTE (TARDÍO)"),'Efectos y supuestos'!$B$8,0)</f>
        <v>0</v>
      </c>
      <c r="H281" s="14">
        <f t="shared" si="4"/>
        <v>0</v>
      </c>
    </row>
    <row r="282" spans="1:8" x14ac:dyDescent="0.35">
      <c r="A282" s="24" t="s">
        <v>410</v>
      </c>
      <c r="B282" s="29">
        <v>45881</v>
      </c>
      <c r="C282" s="24" t="s">
        <v>169</v>
      </c>
      <c r="D282" s="24" t="s">
        <v>409</v>
      </c>
      <c r="E282" s="25">
        <v>12.74</v>
      </c>
      <c r="F282" s="26">
        <v>118.89481946624799</v>
      </c>
      <c r="G282" s="30">
        <f>IF(OR(D282="TARDIO",D282="PENDIENTE (TARDÍO)"),'Efectos y supuestos'!$B$8,0)</f>
        <v>0</v>
      </c>
      <c r="H282" s="14">
        <f t="shared" si="4"/>
        <v>0</v>
      </c>
    </row>
    <row r="283" spans="1:8" x14ac:dyDescent="0.35">
      <c r="A283" s="24" t="s">
        <v>411</v>
      </c>
      <c r="B283" s="29">
        <v>45653</v>
      </c>
      <c r="C283" s="24" t="s">
        <v>169</v>
      </c>
      <c r="D283" s="24" t="s">
        <v>409</v>
      </c>
      <c r="E283" s="25">
        <v>10.36</v>
      </c>
      <c r="F283" s="26">
        <v>113.4855212355212</v>
      </c>
      <c r="G283" s="30">
        <f>IF(OR(D283="TARDIO",D283="PENDIENTE (TARDÍO)"),'Efectos y supuestos'!$B$8,0)</f>
        <v>0</v>
      </c>
      <c r="H283" s="14">
        <f t="shared" si="4"/>
        <v>0</v>
      </c>
    </row>
    <row r="284" spans="1:8" x14ac:dyDescent="0.35">
      <c r="A284" s="24" t="s">
        <v>412</v>
      </c>
      <c r="B284" s="29">
        <v>45828</v>
      </c>
      <c r="C284" s="24" t="s">
        <v>169</v>
      </c>
      <c r="D284" s="24" t="s">
        <v>409</v>
      </c>
      <c r="E284" s="25">
        <v>11.68</v>
      </c>
      <c r="F284" s="26">
        <v>120.93065068493151</v>
      </c>
      <c r="G284" s="30">
        <f>IF(OR(D284="TARDIO",D284="PENDIENTE (TARDÍO)"),'Efectos y supuestos'!$B$8,0)</f>
        <v>0</v>
      </c>
      <c r="H284" s="14">
        <f t="shared" si="4"/>
        <v>0</v>
      </c>
    </row>
    <row r="285" spans="1:8" x14ac:dyDescent="0.35">
      <c r="A285" s="24" t="s">
        <v>413</v>
      </c>
      <c r="B285" s="29">
        <v>45840</v>
      </c>
      <c r="C285" s="24" t="s">
        <v>169</v>
      </c>
      <c r="D285" s="24" t="s">
        <v>409</v>
      </c>
      <c r="E285" s="25">
        <v>20.22</v>
      </c>
      <c r="F285" s="26">
        <v>94.486152324431259</v>
      </c>
      <c r="G285" s="30">
        <f>IF(OR(D285="TARDIO",D285="PENDIENTE (TARDÍO)"),'Efectos y supuestos'!$B$8,0)</f>
        <v>0</v>
      </c>
      <c r="H285" s="14">
        <f t="shared" si="4"/>
        <v>0</v>
      </c>
    </row>
    <row r="286" spans="1:8" x14ac:dyDescent="0.35">
      <c r="A286" s="24" t="s">
        <v>414</v>
      </c>
      <c r="B286" s="29">
        <v>45959</v>
      </c>
      <c r="C286" s="24" t="s">
        <v>166</v>
      </c>
      <c r="D286" s="24" t="s">
        <v>409</v>
      </c>
      <c r="E286" s="25">
        <v>13.05</v>
      </c>
      <c r="F286" s="26">
        <v>103</v>
      </c>
      <c r="G286" s="30">
        <f>IF(OR(D286="TARDIO",D286="PENDIENTE (TARDÍO)"),'Efectos y supuestos'!$B$8,0)</f>
        <v>0</v>
      </c>
      <c r="H286" s="14">
        <f t="shared" si="4"/>
        <v>0</v>
      </c>
    </row>
    <row r="287" spans="1:8" x14ac:dyDescent="0.35">
      <c r="A287" s="24" t="s">
        <v>122</v>
      </c>
      <c r="B287" s="29">
        <v>45958</v>
      </c>
      <c r="C287" s="24" t="s">
        <v>166</v>
      </c>
      <c r="D287" s="24" t="s">
        <v>409</v>
      </c>
      <c r="E287" s="25">
        <v>6.25</v>
      </c>
      <c r="F287" s="26">
        <v>86.9</v>
      </c>
      <c r="G287" s="30">
        <f>IF(OR(D287="TARDIO",D287="PENDIENTE (TARDÍO)"),'Efectos y supuestos'!$B$8,0)</f>
        <v>0</v>
      </c>
      <c r="H287" s="14">
        <f t="shared" si="4"/>
        <v>0</v>
      </c>
    </row>
    <row r="288" spans="1:8" x14ac:dyDescent="0.35">
      <c r="A288" s="24" t="s">
        <v>415</v>
      </c>
      <c r="B288" s="29">
        <v>45722</v>
      </c>
      <c r="C288" s="24" t="s">
        <v>169</v>
      </c>
      <c r="D288" s="24" t="s">
        <v>409</v>
      </c>
      <c r="E288" s="25">
        <v>3.98</v>
      </c>
      <c r="F288" s="26">
        <v>88.69095477386935</v>
      </c>
      <c r="G288" s="30">
        <f>IF(OR(D288="TARDIO",D288="PENDIENTE (TARDÍO)"),'Efectos y supuestos'!$B$8,0)</f>
        <v>0</v>
      </c>
      <c r="H288" s="14">
        <f t="shared" si="4"/>
        <v>0</v>
      </c>
    </row>
    <row r="289" spans="1:8" x14ac:dyDescent="0.35">
      <c r="A289" s="24" t="s">
        <v>416</v>
      </c>
      <c r="B289" s="29">
        <v>45712</v>
      </c>
      <c r="C289" s="24" t="s">
        <v>169</v>
      </c>
      <c r="D289" s="24" t="s">
        <v>409</v>
      </c>
      <c r="E289" s="25">
        <v>8.52</v>
      </c>
      <c r="F289" s="26">
        <v>111.9600938967136</v>
      </c>
      <c r="G289" s="30">
        <f>IF(OR(D289="TARDIO",D289="PENDIENTE (TARDÍO)"),'Efectos y supuestos'!$B$8,0)</f>
        <v>0</v>
      </c>
      <c r="H289" s="14">
        <f t="shared" si="4"/>
        <v>0</v>
      </c>
    </row>
    <row r="290" spans="1:8" x14ac:dyDescent="0.35">
      <c r="A290" s="24" t="s">
        <v>417</v>
      </c>
      <c r="B290" s="29">
        <v>45742</v>
      </c>
      <c r="C290" s="24" t="s">
        <v>169</v>
      </c>
      <c r="D290" s="24" t="s">
        <v>409</v>
      </c>
      <c r="E290" s="25">
        <v>1.84</v>
      </c>
      <c r="F290" s="26">
        <v>140.53260869565219</v>
      </c>
      <c r="G290" s="30">
        <f>IF(OR(D290="TARDIO",D290="PENDIENTE (TARDÍO)"),'Efectos y supuestos'!$B$8,0)</f>
        <v>0</v>
      </c>
      <c r="H290" s="14">
        <f t="shared" si="4"/>
        <v>0</v>
      </c>
    </row>
    <row r="291" spans="1:8" x14ac:dyDescent="0.35">
      <c r="A291" s="24" t="s">
        <v>232</v>
      </c>
      <c r="B291" s="29">
        <v>45876</v>
      </c>
      <c r="C291" s="24" t="s">
        <v>166</v>
      </c>
      <c r="D291" s="24" t="s">
        <v>409</v>
      </c>
      <c r="E291" s="25">
        <v>11.08</v>
      </c>
      <c r="F291" s="26">
        <v>105</v>
      </c>
      <c r="G291" s="30">
        <f>IF(OR(D291="TARDIO",D291="PENDIENTE (TARDÍO)"),'Efectos y supuestos'!$B$8,0)</f>
        <v>0</v>
      </c>
      <c r="H291" s="14">
        <f t="shared" si="4"/>
        <v>0</v>
      </c>
    </row>
    <row r="292" spans="1:8" x14ac:dyDescent="0.35">
      <c r="A292" s="24" t="s">
        <v>418</v>
      </c>
      <c r="B292" s="29">
        <v>45734</v>
      </c>
      <c r="C292" s="24" t="s">
        <v>169</v>
      </c>
      <c r="D292" s="24" t="s">
        <v>409</v>
      </c>
      <c r="E292" s="25">
        <v>4.13</v>
      </c>
      <c r="F292" s="26">
        <v>72.728813559322035</v>
      </c>
      <c r="G292" s="30">
        <f>IF(OR(D292="TARDIO",D292="PENDIENTE (TARDÍO)"),'Efectos y supuestos'!$B$8,0)</f>
        <v>0</v>
      </c>
      <c r="H292" s="14">
        <f t="shared" si="4"/>
        <v>0</v>
      </c>
    </row>
    <row r="293" spans="1:8" x14ac:dyDescent="0.35">
      <c r="A293" s="24" t="s">
        <v>419</v>
      </c>
      <c r="B293" s="29">
        <v>45647</v>
      </c>
      <c r="C293" s="24" t="s">
        <v>169</v>
      </c>
      <c r="D293" s="24" t="s">
        <v>409</v>
      </c>
      <c r="E293" s="25">
        <v>17.13</v>
      </c>
      <c r="F293" s="26">
        <v>108.83129013426741</v>
      </c>
      <c r="G293" s="30">
        <f>IF(OR(D293="TARDIO",D293="PENDIENTE (TARDÍO)"),'Efectos y supuestos'!$B$8,0)</f>
        <v>0</v>
      </c>
      <c r="H293" s="14">
        <f t="shared" si="4"/>
        <v>0</v>
      </c>
    </row>
    <row r="294" spans="1:8" x14ac:dyDescent="0.35">
      <c r="A294" s="24" t="s">
        <v>420</v>
      </c>
      <c r="B294" s="29">
        <v>45817</v>
      </c>
      <c r="C294" s="24" t="s">
        <v>169</v>
      </c>
      <c r="D294" s="24" t="s">
        <v>409</v>
      </c>
      <c r="E294" s="25">
        <v>4</v>
      </c>
      <c r="F294" s="26">
        <v>87.27</v>
      </c>
      <c r="G294" s="30">
        <f>IF(OR(D294="TARDIO",D294="PENDIENTE (TARDÍO)"),'Efectos y supuestos'!$B$8,0)</f>
        <v>0</v>
      </c>
      <c r="H294" s="14">
        <f t="shared" si="4"/>
        <v>0</v>
      </c>
    </row>
    <row r="295" spans="1:8" x14ac:dyDescent="0.35">
      <c r="A295" s="24" t="s">
        <v>244</v>
      </c>
      <c r="B295" s="29">
        <v>45909</v>
      </c>
      <c r="C295" s="24" t="s">
        <v>166</v>
      </c>
      <c r="D295" s="24" t="s">
        <v>409</v>
      </c>
      <c r="E295" s="25">
        <v>10.3</v>
      </c>
      <c r="F295" s="26">
        <v>99.1</v>
      </c>
      <c r="G295" s="30">
        <f>IF(OR(D295="TARDIO",D295="PENDIENTE (TARDÍO)"),'Efectos y supuestos'!$B$8,0)</f>
        <v>0</v>
      </c>
      <c r="H295" s="14">
        <f t="shared" si="4"/>
        <v>0</v>
      </c>
    </row>
    <row r="296" spans="1:8" x14ac:dyDescent="0.35">
      <c r="A296" s="24" t="s">
        <v>421</v>
      </c>
      <c r="B296" s="29">
        <v>45649</v>
      </c>
      <c r="C296" s="24" t="s">
        <v>169</v>
      </c>
      <c r="D296" s="24" t="s">
        <v>409</v>
      </c>
      <c r="E296" s="25">
        <v>4.7</v>
      </c>
      <c r="F296" s="26">
        <v>138.91276595744679</v>
      </c>
      <c r="G296" s="30">
        <f>IF(OR(D296="TARDIO",D296="PENDIENTE (TARDÍO)"),'Efectos y supuestos'!$B$8,0)</f>
        <v>0</v>
      </c>
      <c r="H296" s="14">
        <f t="shared" si="4"/>
        <v>0</v>
      </c>
    </row>
    <row r="297" spans="1:8" x14ac:dyDescent="0.35">
      <c r="A297" s="24" t="s">
        <v>128</v>
      </c>
      <c r="B297" s="29">
        <v>45913</v>
      </c>
      <c r="C297" s="24" t="s">
        <v>166</v>
      </c>
      <c r="D297" s="24" t="s">
        <v>409</v>
      </c>
      <c r="E297" s="25">
        <v>14.64</v>
      </c>
      <c r="F297" s="26">
        <v>107.2</v>
      </c>
      <c r="G297" s="30">
        <f>IF(OR(D297="TARDIO",D297="PENDIENTE (TARDÍO)"),'Efectos y supuestos'!$B$8,0)</f>
        <v>0</v>
      </c>
      <c r="H297" s="14">
        <f t="shared" si="4"/>
        <v>0</v>
      </c>
    </row>
    <row r="298" spans="1:8" x14ac:dyDescent="0.35">
      <c r="A298" s="24" t="s">
        <v>422</v>
      </c>
      <c r="B298" s="29">
        <v>45953</v>
      </c>
      <c r="C298" s="24" t="s">
        <v>166</v>
      </c>
      <c r="D298" s="24" t="s">
        <v>409</v>
      </c>
      <c r="E298" s="25">
        <v>8.07</v>
      </c>
      <c r="F298" s="26">
        <v>74.3</v>
      </c>
      <c r="G298" s="30">
        <f>IF(OR(D298="TARDIO",D298="PENDIENTE (TARDÍO)"),'Efectos y supuestos'!$B$8,0)</f>
        <v>0</v>
      </c>
      <c r="H298" s="14">
        <f t="shared" si="4"/>
        <v>0</v>
      </c>
    </row>
    <row r="299" spans="1:8" x14ac:dyDescent="0.35">
      <c r="A299" s="24" t="s">
        <v>423</v>
      </c>
      <c r="B299" s="29">
        <v>45741</v>
      </c>
      <c r="C299" s="24" t="s">
        <v>169</v>
      </c>
      <c r="D299" s="24" t="s">
        <v>409</v>
      </c>
      <c r="E299" s="25">
        <v>0.37</v>
      </c>
      <c r="F299" s="26">
        <v>78.729729729729726</v>
      </c>
      <c r="G299" s="30">
        <f>IF(OR(D299="TARDIO",D299="PENDIENTE (TARDÍO)"),'Efectos y supuestos'!$B$8,0)</f>
        <v>0</v>
      </c>
      <c r="H299" s="14">
        <f t="shared" si="4"/>
        <v>0</v>
      </c>
    </row>
    <row r="300" spans="1:8" x14ac:dyDescent="0.35">
      <c r="A300" s="24" t="s">
        <v>424</v>
      </c>
      <c r="B300" s="29">
        <v>45950</v>
      </c>
      <c r="C300" s="24" t="s">
        <v>166</v>
      </c>
      <c r="D300" s="24" t="s">
        <v>409</v>
      </c>
      <c r="E300" s="25">
        <v>16.18</v>
      </c>
      <c r="F300" s="26">
        <v>107.4</v>
      </c>
      <c r="G300" s="30">
        <f>IF(OR(D300="TARDIO",D300="PENDIENTE (TARDÍO)"),'Efectos y supuestos'!$B$8,0)</f>
        <v>0</v>
      </c>
      <c r="H300" s="14">
        <f t="shared" si="4"/>
        <v>0</v>
      </c>
    </row>
    <row r="301" spans="1:8" x14ac:dyDescent="0.35">
      <c r="A301" s="24" t="s">
        <v>425</v>
      </c>
      <c r="B301" s="29">
        <v>45699</v>
      </c>
      <c r="C301" s="24" t="s">
        <v>169</v>
      </c>
      <c r="D301" s="24" t="s">
        <v>409</v>
      </c>
      <c r="E301" s="25">
        <v>7.15</v>
      </c>
      <c r="F301" s="26">
        <v>90.195804195804186</v>
      </c>
      <c r="G301" s="30">
        <f>IF(OR(D301="TARDIO",D301="PENDIENTE (TARDÍO)"),'Efectos y supuestos'!$B$8,0)</f>
        <v>0</v>
      </c>
      <c r="H301" s="14">
        <f t="shared" si="4"/>
        <v>0</v>
      </c>
    </row>
    <row r="302" spans="1:8" x14ac:dyDescent="0.35">
      <c r="A302" s="24" t="s">
        <v>426</v>
      </c>
      <c r="B302" s="29">
        <v>45815</v>
      </c>
      <c r="C302" s="24" t="s">
        <v>169</v>
      </c>
      <c r="D302" s="24" t="s">
        <v>409</v>
      </c>
      <c r="E302" s="25">
        <v>5.33</v>
      </c>
      <c r="F302" s="26">
        <v>119.14071294559101</v>
      </c>
      <c r="G302" s="30">
        <f>IF(OR(D302="TARDIO",D302="PENDIENTE (TARDÍO)"),'Efectos y supuestos'!$B$8,0)</f>
        <v>0</v>
      </c>
      <c r="H302" s="14">
        <f t="shared" si="4"/>
        <v>0</v>
      </c>
    </row>
    <row r="303" spans="1:8" x14ac:dyDescent="0.35">
      <c r="A303" s="24" t="s">
        <v>427</v>
      </c>
      <c r="B303" s="29">
        <v>45957</v>
      </c>
      <c r="C303" s="24" t="s">
        <v>166</v>
      </c>
      <c r="D303" s="24" t="s">
        <v>409</v>
      </c>
      <c r="E303" s="25">
        <v>1.82</v>
      </c>
      <c r="F303" s="26">
        <v>85.5</v>
      </c>
      <c r="G303" s="30">
        <f>IF(OR(D303="TARDIO",D303="PENDIENTE (TARDÍO)"),'Efectos y supuestos'!$B$8,0)</f>
        <v>0</v>
      </c>
      <c r="H303" s="14">
        <f t="shared" si="4"/>
        <v>0</v>
      </c>
    </row>
    <row r="304" spans="1:8" x14ac:dyDescent="0.35">
      <c r="A304" s="24" t="s">
        <v>428</v>
      </c>
      <c r="B304" s="29">
        <v>45880</v>
      </c>
      <c r="C304" s="24" t="s">
        <v>169</v>
      </c>
      <c r="D304" s="24" t="s">
        <v>409</v>
      </c>
      <c r="E304" s="25">
        <v>1.32</v>
      </c>
      <c r="F304" s="26">
        <v>144.3787878787879</v>
      </c>
      <c r="G304" s="30">
        <f>IF(OR(D304="TARDIO",D304="PENDIENTE (TARDÍO)"),'Efectos y supuestos'!$B$8,0)</f>
        <v>0</v>
      </c>
      <c r="H304" s="14">
        <f t="shared" si="4"/>
        <v>0</v>
      </c>
    </row>
    <row r="305" spans="1:8" x14ac:dyDescent="0.35">
      <c r="A305" s="24" t="s">
        <v>429</v>
      </c>
      <c r="B305" s="29">
        <v>45881</v>
      </c>
      <c r="C305" s="24" t="s">
        <v>169</v>
      </c>
      <c r="D305" s="24" t="s">
        <v>409</v>
      </c>
      <c r="E305" s="25">
        <v>1.19</v>
      </c>
      <c r="F305" s="26">
        <v>85.361344537815128</v>
      </c>
      <c r="G305" s="30">
        <f>IF(OR(D305="TARDIO",D305="PENDIENTE (TARDÍO)"),'Efectos y supuestos'!$B$8,0)</f>
        <v>0</v>
      </c>
      <c r="H305" s="14">
        <f t="shared" si="4"/>
        <v>0</v>
      </c>
    </row>
    <row r="306" spans="1:8" x14ac:dyDescent="0.35">
      <c r="A306" s="24" t="s">
        <v>430</v>
      </c>
      <c r="B306" s="29">
        <v>45828</v>
      </c>
      <c r="C306" s="24" t="s">
        <v>169</v>
      </c>
      <c r="D306" s="24" t="s">
        <v>409</v>
      </c>
      <c r="E306" s="25">
        <v>15.59</v>
      </c>
      <c r="F306" s="26">
        <v>114.3014753046825</v>
      </c>
      <c r="G306" s="30">
        <f>IF(OR(D306="TARDIO",D306="PENDIENTE (TARDÍO)"),'Efectos y supuestos'!$B$8,0)</f>
        <v>0</v>
      </c>
      <c r="H306" s="14">
        <f t="shared" si="4"/>
        <v>0</v>
      </c>
    </row>
    <row r="307" spans="1:8" x14ac:dyDescent="0.35">
      <c r="A307" s="24" t="s">
        <v>431</v>
      </c>
      <c r="B307" s="29">
        <v>45824</v>
      </c>
      <c r="C307" s="24" t="s">
        <v>169</v>
      </c>
      <c r="D307" s="24" t="s">
        <v>409</v>
      </c>
      <c r="E307" s="25">
        <v>6.03</v>
      </c>
      <c r="F307" s="26">
        <v>113.5157545605307</v>
      </c>
      <c r="G307" s="30">
        <f>IF(OR(D307="TARDIO",D307="PENDIENTE (TARDÍO)"),'Efectos y supuestos'!$B$8,0)</f>
        <v>0</v>
      </c>
      <c r="H307" s="14">
        <f t="shared" si="4"/>
        <v>0</v>
      </c>
    </row>
    <row r="308" spans="1:8" x14ac:dyDescent="0.35">
      <c r="A308" s="24" t="s">
        <v>103</v>
      </c>
      <c r="B308" s="29">
        <v>45923</v>
      </c>
      <c r="C308" s="24" t="s">
        <v>169</v>
      </c>
      <c r="D308" s="24" t="s">
        <v>409</v>
      </c>
      <c r="E308" s="25">
        <v>4</v>
      </c>
      <c r="F308" s="26">
        <v>128.35</v>
      </c>
      <c r="G308" s="30">
        <f>IF(OR(D308="TARDIO",D308="PENDIENTE (TARDÍO)"),'Efectos y supuestos'!$B$8,0)</f>
        <v>0</v>
      </c>
      <c r="H308" s="14">
        <f t="shared" si="4"/>
        <v>0</v>
      </c>
    </row>
    <row r="309" spans="1:8" x14ac:dyDescent="0.35">
      <c r="A309" s="24" t="s">
        <v>432</v>
      </c>
      <c r="B309" s="29">
        <v>45916</v>
      </c>
      <c r="C309" s="24" t="s">
        <v>166</v>
      </c>
      <c r="D309" s="24" t="s">
        <v>409</v>
      </c>
      <c r="E309" s="25">
        <v>5.99</v>
      </c>
      <c r="F309" s="26">
        <v>90.4</v>
      </c>
      <c r="G309" s="30">
        <f>IF(OR(D309="TARDIO",D309="PENDIENTE (TARDÍO)"),'Efectos y supuestos'!$B$8,0)</f>
        <v>0</v>
      </c>
      <c r="H309" s="14">
        <f t="shared" si="4"/>
        <v>0</v>
      </c>
    </row>
    <row r="310" spans="1:8" x14ac:dyDescent="0.35">
      <c r="A310" s="24" t="s">
        <v>433</v>
      </c>
      <c r="B310" s="29">
        <v>45719</v>
      </c>
      <c r="C310" s="24" t="s">
        <v>169</v>
      </c>
      <c r="D310" s="24" t="s">
        <v>409</v>
      </c>
      <c r="E310" s="25">
        <v>5.07</v>
      </c>
      <c r="F310" s="26">
        <v>103.72189349112421</v>
      </c>
      <c r="G310" s="30">
        <f>IF(OR(D310="TARDIO",D310="PENDIENTE (TARDÍO)"),'Efectos y supuestos'!$B$8,0)</f>
        <v>0</v>
      </c>
      <c r="H310" s="14">
        <f t="shared" si="4"/>
        <v>0</v>
      </c>
    </row>
    <row r="311" spans="1:8" x14ac:dyDescent="0.35">
      <c r="A311" s="24" t="s">
        <v>434</v>
      </c>
      <c r="B311" s="29">
        <v>45925</v>
      </c>
      <c r="C311" s="24" t="s">
        <v>169</v>
      </c>
      <c r="D311" s="24" t="s">
        <v>409</v>
      </c>
      <c r="E311" s="25">
        <v>22.27</v>
      </c>
      <c r="F311" s="26">
        <v>173.78</v>
      </c>
      <c r="G311" s="30">
        <f>IF(OR(D311="TARDIO",D311="PENDIENTE (TARDÍO)"),'Efectos y supuestos'!$B$8,0)</f>
        <v>0</v>
      </c>
      <c r="H311" s="14">
        <f t="shared" si="4"/>
        <v>0</v>
      </c>
    </row>
    <row r="312" spans="1:8" x14ac:dyDescent="0.35">
      <c r="A312" s="24" t="s">
        <v>434</v>
      </c>
      <c r="B312" s="29">
        <v>45925</v>
      </c>
      <c r="C312" s="24" t="s">
        <v>169</v>
      </c>
      <c r="D312" s="24" t="s">
        <v>409</v>
      </c>
      <c r="E312" s="25">
        <v>22.27</v>
      </c>
      <c r="F312" s="26">
        <v>173.78</v>
      </c>
      <c r="G312" s="30">
        <f>IF(OR(D312="TARDIO",D312="PENDIENTE (TARDÍO)"),'Efectos y supuestos'!$B$8,0)</f>
        <v>0</v>
      </c>
      <c r="H312" s="14">
        <f t="shared" si="4"/>
        <v>0</v>
      </c>
    </row>
    <row r="313" spans="1:8" x14ac:dyDescent="0.35">
      <c r="A313" s="24" t="s">
        <v>435</v>
      </c>
      <c r="B313" s="29">
        <v>45930</v>
      </c>
      <c r="C313" s="24" t="s">
        <v>169</v>
      </c>
      <c r="D313" s="24" t="s">
        <v>409</v>
      </c>
      <c r="E313" s="25">
        <v>12.1</v>
      </c>
      <c r="F313" s="26">
        <v>131.47999999999999</v>
      </c>
      <c r="G313" s="30">
        <f>IF(OR(D313="TARDIO",D313="PENDIENTE (TARDÍO)"),'Efectos y supuestos'!$B$8,0)</f>
        <v>0</v>
      </c>
      <c r="H313" s="14">
        <f t="shared" si="4"/>
        <v>0</v>
      </c>
    </row>
    <row r="314" spans="1:8" x14ac:dyDescent="0.35">
      <c r="A314" s="24" t="s">
        <v>436</v>
      </c>
      <c r="B314" s="29">
        <v>45825</v>
      </c>
      <c r="C314" s="24" t="s">
        <v>169</v>
      </c>
      <c r="D314" s="24" t="s">
        <v>409</v>
      </c>
      <c r="E314" s="25">
        <v>2.46</v>
      </c>
      <c r="F314" s="26">
        <v>107.1422764227642</v>
      </c>
      <c r="G314" s="30">
        <f>IF(OR(D314="TARDIO",D314="PENDIENTE (TARDÍO)"),'Efectos y supuestos'!$B$8,0)</f>
        <v>0</v>
      </c>
      <c r="H314" s="14">
        <f t="shared" si="4"/>
        <v>0</v>
      </c>
    </row>
    <row r="315" spans="1:8" x14ac:dyDescent="0.35">
      <c r="A315" s="24" t="s">
        <v>437</v>
      </c>
      <c r="B315" s="29">
        <v>45822</v>
      </c>
      <c r="C315" s="24" t="s">
        <v>169</v>
      </c>
      <c r="D315" s="24" t="s">
        <v>409</v>
      </c>
      <c r="E315" s="25">
        <v>8.6300000000000008</v>
      </c>
      <c r="F315" s="26">
        <v>91.414831981460011</v>
      </c>
      <c r="G315" s="30">
        <f>IF(OR(D315="TARDIO",D315="PENDIENTE (TARDÍO)"),'Efectos y supuestos'!$B$8,0)</f>
        <v>0</v>
      </c>
      <c r="H315" s="14">
        <f t="shared" si="4"/>
        <v>0</v>
      </c>
    </row>
    <row r="316" spans="1:8" x14ac:dyDescent="0.35">
      <c r="A316" s="24" t="s">
        <v>438</v>
      </c>
      <c r="B316" s="29">
        <v>45742</v>
      </c>
      <c r="C316" s="24" t="s">
        <v>169</v>
      </c>
      <c r="D316" s="24" t="s">
        <v>409</v>
      </c>
      <c r="E316" s="25">
        <v>8.4</v>
      </c>
      <c r="F316" s="26">
        <v>98.108333333333334</v>
      </c>
      <c r="G316" s="30">
        <f>IF(OR(D316="TARDIO",D316="PENDIENTE (TARDÍO)"),'Efectos y supuestos'!$B$8,0)</f>
        <v>0</v>
      </c>
      <c r="H316" s="14">
        <f t="shared" si="4"/>
        <v>0</v>
      </c>
    </row>
    <row r="317" spans="1:8" x14ac:dyDescent="0.35">
      <c r="A317" s="24" t="s">
        <v>439</v>
      </c>
      <c r="B317" s="29">
        <v>45938</v>
      </c>
      <c r="C317" s="24" t="s">
        <v>169</v>
      </c>
      <c r="D317" s="24" t="s">
        <v>409</v>
      </c>
      <c r="E317" s="25">
        <v>7.49</v>
      </c>
      <c r="F317" s="26">
        <v>83.54</v>
      </c>
      <c r="G317" s="30">
        <f>IF(OR(D317="TARDIO",D317="PENDIENTE (TARDÍO)"),'Efectos y supuestos'!$B$8,0)</f>
        <v>0</v>
      </c>
      <c r="H317" s="14">
        <f t="shared" si="4"/>
        <v>0</v>
      </c>
    </row>
    <row r="318" spans="1:8" x14ac:dyDescent="0.35">
      <c r="A318" s="24" t="s">
        <v>440</v>
      </c>
      <c r="B318" s="29">
        <v>45930</v>
      </c>
      <c r="C318" s="24" t="s">
        <v>169</v>
      </c>
      <c r="D318" s="24" t="s">
        <v>409</v>
      </c>
      <c r="E318" s="25">
        <v>9.36</v>
      </c>
      <c r="F318" s="26">
        <v>87.07</v>
      </c>
      <c r="G318" s="30">
        <f>IF(OR(D318="TARDIO",D318="PENDIENTE (TARDÍO)"),'Efectos y supuestos'!$B$8,0)</f>
        <v>0</v>
      </c>
      <c r="H318" s="14">
        <f t="shared" si="4"/>
        <v>0</v>
      </c>
    </row>
    <row r="319" spans="1:8" x14ac:dyDescent="0.35">
      <c r="A319" s="24" t="s">
        <v>441</v>
      </c>
      <c r="B319" s="29">
        <v>45826</v>
      </c>
      <c r="C319" s="24" t="s">
        <v>169</v>
      </c>
      <c r="D319" s="24" t="s">
        <v>409</v>
      </c>
      <c r="E319" s="25">
        <v>14.07</v>
      </c>
      <c r="F319" s="26">
        <v>126.7761194029851</v>
      </c>
      <c r="G319" s="30">
        <f>IF(OR(D319="TARDIO",D319="PENDIENTE (TARDÍO)"),'Efectos y supuestos'!$B$8,0)</f>
        <v>0</v>
      </c>
      <c r="H319" s="14">
        <f t="shared" si="4"/>
        <v>0</v>
      </c>
    </row>
    <row r="320" spans="1:8" x14ac:dyDescent="0.35">
      <c r="A320" s="24" t="s">
        <v>442</v>
      </c>
      <c r="B320" s="29">
        <v>45930</v>
      </c>
      <c r="C320" s="24" t="s">
        <v>169</v>
      </c>
      <c r="D320" s="24" t="s">
        <v>409</v>
      </c>
      <c r="E320" s="25">
        <v>4.41</v>
      </c>
      <c r="F320" s="26">
        <v>100.83</v>
      </c>
      <c r="G320" s="30">
        <f>IF(OR(D320="TARDIO",D320="PENDIENTE (TARDÍO)"),'Efectos y supuestos'!$B$8,0)</f>
        <v>0</v>
      </c>
      <c r="H320" s="14">
        <f t="shared" si="4"/>
        <v>0</v>
      </c>
    </row>
    <row r="321" spans="1:8" x14ac:dyDescent="0.35">
      <c r="A321" s="24" t="s">
        <v>443</v>
      </c>
      <c r="B321" s="29">
        <v>45938</v>
      </c>
      <c r="C321" s="24" t="s">
        <v>169</v>
      </c>
      <c r="D321" s="24" t="s">
        <v>409</v>
      </c>
      <c r="E321" s="25">
        <v>1.82</v>
      </c>
      <c r="F321" s="26">
        <v>59.65</v>
      </c>
      <c r="G321" s="30">
        <f>IF(OR(D321="TARDIO",D321="PENDIENTE (TARDÍO)"),'Efectos y supuestos'!$B$8,0)</f>
        <v>0</v>
      </c>
      <c r="H321" s="14">
        <f t="shared" si="4"/>
        <v>0</v>
      </c>
    </row>
    <row r="322" spans="1:8" x14ac:dyDescent="0.35">
      <c r="A322" s="24" t="s">
        <v>111</v>
      </c>
      <c r="B322" s="29">
        <v>45932</v>
      </c>
      <c r="C322" s="24" t="s">
        <v>169</v>
      </c>
      <c r="D322" s="24" t="s">
        <v>409</v>
      </c>
      <c r="E322" s="25">
        <v>20.83</v>
      </c>
      <c r="F322" s="26">
        <v>101.33</v>
      </c>
      <c r="G322" s="30">
        <f>IF(OR(D322="TARDIO",D322="PENDIENTE (TARDÍO)"),'Efectos y supuestos'!$B$8,0)</f>
        <v>0</v>
      </c>
      <c r="H322" s="14">
        <f t="shared" si="4"/>
        <v>0</v>
      </c>
    </row>
    <row r="323" spans="1:8" x14ac:dyDescent="0.35">
      <c r="A323" s="24" t="s">
        <v>111</v>
      </c>
      <c r="B323" s="29">
        <v>45925</v>
      </c>
      <c r="C323" s="24" t="s">
        <v>169</v>
      </c>
      <c r="D323" s="24" t="s">
        <v>409</v>
      </c>
      <c r="E323" s="25">
        <v>20.83</v>
      </c>
      <c r="F323" s="26">
        <v>101.33</v>
      </c>
      <c r="G323" s="30">
        <f>IF(OR(D323="TARDIO",D323="PENDIENTE (TARDÍO)"),'Efectos y supuestos'!$B$8,0)</f>
        <v>0</v>
      </c>
      <c r="H323" s="14">
        <f t="shared" si="4"/>
        <v>0</v>
      </c>
    </row>
    <row r="324" spans="1:8" x14ac:dyDescent="0.35">
      <c r="A324" s="24" t="s">
        <v>111</v>
      </c>
      <c r="B324" s="29">
        <v>45925</v>
      </c>
      <c r="C324" s="24" t="s">
        <v>169</v>
      </c>
      <c r="D324" s="24" t="s">
        <v>409</v>
      </c>
      <c r="E324" s="25">
        <v>20.83</v>
      </c>
      <c r="F324" s="26">
        <v>101.33</v>
      </c>
      <c r="G324" s="30">
        <f>IF(OR(D324="TARDIO",D324="PENDIENTE (TARDÍO)"),'Efectos y supuestos'!$B$8,0)</f>
        <v>0</v>
      </c>
      <c r="H324" s="14">
        <f t="shared" si="4"/>
        <v>0</v>
      </c>
    </row>
    <row r="325" spans="1:8" x14ac:dyDescent="0.35">
      <c r="A325" s="24" t="s">
        <v>444</v>
      </c>
      <c r="B325" s="29">
        <v>45825</v>
      </c>
      <c r="C325" s="24" t="s">
        <v>169</v>
      </c>
      <c r="D325" s="24" t="s">
        <v>409</v>
      </c>
      <c r="E325" s="25">
        <v>7.45</v>
      </c>
      <c r="F325" s="26">
        <v>132.57046979865771</v>
      </c>
      <c r="G325" s="30">
        <f>IF(OR(D325="TARDIO",D325="PENDIENTE (TARDÍO)"),'Efectos y supuestos'!$B$8,0)</f>
        <v>0</v>
      </c>
      <c r="H325" s="14">
        <f t="shared" si="4"/>
        <v>0</v>
      </c>
    </row>
    <row r="326" spans="1:8" x14ac:dyDescent="0.35">
      <c r="A326" s="24" t="s">
        <v>142</v>
      </c>
      <c r="B326" s="29">
        <v>45932</v>
      </c>
      <c r="C326" s="24" t="s">
        <v>166</v>
      </c>
      <c r="D326" s="24" t="s">
        <v>409</v>
      </c>
      <c r="E326" s="25">
        <v>5.24</v>
      </c>
      <c r="F326" s="26">
        <v>85</v>
      </c>
      <c r="G326" s="30">
        <f>IF(OR(D326="TARDIO",D326="PENDIENTE (TARDÍO)"),'Efectos y supuestos'!$B$8,0)</f>
        <v>0</v>
      </c>
      <c r="H326" s="14">
        <f t="shared" ref="H326:H389" si="5">-G326*F326*E326</f>
        <v>0</v>
      </c>
    </row>
    <row r="327" spans="1:8" x14ac:dyDescent="0.35">
      <c r="A327" s="24" t="s">
        <v>445</v>
      </c>
      <c r="B327" s="29">
        <v>45930</v>
      </c>
      <c r="C327" s="24" t="s">
        <v>169</v>
      </c>
      <c r="D327" s="24" t="s">
        <v>409</v>
      </c>
      <c r="E327" s="25">
        <v>4.1500000000000004</v>
      </c>
      <c r="F327" s="26">
        <v>127.88</v>
      </c>
      <c r="G327" s="30">
        <f>IF(OR(D327="TARDIO",D327="PENDIENTE (TARDÍO)"),'Efectos y supuestos'!$B$8,0)</f>
        <v>0</v>
      </c>
      <c r="H327" s="14">
        <f t="shared" si="5"/>
        <v>0</v>
      </c>
    </row>
    <row r="328" spans="1:8" x14ac:dyDescent="0.35">
      <c r="A328" s="24" t="s">
        <v>446</v>
      </c>
      <c r="B328" s="29">
        <v>45726</v>
      </c>
      <c r="C328" s="24" t="s">
        <v>169</v>
      </c>
      <c r="D328" s="24" t="s">
        <v>409</v>
      </c>
      <c r="E328" s="25">
        <v>13.53</v>
      </c>
      <c r="F328" s="26">
        <v>73.442719881744267</v>
      </c>
      <c r="G328" s="30">
        <f>IF(OR(D328="TARDIO",D328="PENDIENTE (TARDÍO)"),'Efectos y supuestos'!$B$8,0)</f>
        <v>0</v>
      </c>
      <c r="H328" s="14">
        <f t="shared" si="5"/>
        <v>0</v>
      </c>
    </row>
    <row r="329" spans="1:8" x14ac:dyDescent="0.35">
      <c r="A329" s="24" t="s">
        <v>447</v>
      </c>
      <c r="B329" s="29">
        <v>45838</v>
      </c>
      <c r="C329" s="24" t="s">
        <v>169</v>
      </c>
      <c r="D329" s="24" t="s">
        <v>409</v>
      </c>
      <c r="E329" s="25">
        <v>10.61</v>
      </c>
      <c r="F329" s="26">
        <v>86.979264844486337</v>
      </c>
      <c r="G329" s="30">
        <f>IF(OR(D329="TARDIO",D329="PENDIENTE (TARDÍO)"),'Efectos y supuestos'!$B$8,0)</f>
        <v>0</v>
      </c>
      <c r="H329" s="14">
        <f t="shared" si="5"/>
        <v>0</v>
      </c>
    </row>
    <row r="330" spans="1:8" x14ac:dyDescent="0.35">
      <c r="A330" s="24" t="s">
        <v>448</v>
      </c>
      <c r="B330" s="29">
        <v>45897</v>
      </c>
      <c r="C330" s="24" t="s">
        <v>169</v>
      </c>
      <c r="D330" s="24" t="s">
        <v>409</v>
      </c>
      <c r="E330" s="25">
        <v>7.42</v>
      </c>
      <c r="F330" s="26">
        <v>132.5256064690027</v>
      </c>
      <c r="G330" s="30">
        <f>IF(OR(D330="TARDIO",D330="PENDIENTE (TARDÍO)"),'Efectos y supuestos'!$B$8,0)</f>
        <v>0</v>
      </c>
      <c r="H330" s="14">
        <f t="shared" si="5"/>
        <v>0</v>
      </c>
    </row>
    <row r="331" spans="1:8" x14ac:dyDescent="0.35">
      <c r="A331" s="24" t="s">
        <v>449</v>
      </c>
      <c r="B331" s="29">
        <v>45838</v>
      </c>
      <c r="C331" s="24" t="s">
        <v>169</v>
      </c>
      <c r="D331" s="24" t="s">
        <v>409</v>
      </c>
      <c r="E331" s="25">
        <v>9.4700000000000006</v>
      </c>
      <c r="F331" s="26">
        <v>112.31678986272441</v>
      </c>
      <c r="G331" s="30">
        <f>IF(OR(D331="TARDIO",D331="PENDIENTE (TARDÍO)"),'Efectos y supuestos'!$B$8,0)</f>
        <v>0</v>
      </c>
      <c r="H331" s="14">
        <f t="shared" si="5"/>
        <v>0</v>
      </c>
    </row>
    <row r="332" spans="1:8" x14ac:dyDescent="0.35">
      <c r="A332" s="24" t="s">
        <v>450</v>
      </c>
      <c r="B332" s="29">
        <v>45838</v>
      </c>
      <c r="C332" s="24" t="s">
        <v>169</v>
      </c>
      <c r="D332" s="24" t="s">
        <v>409</v>
      </c>
      <c r="E332" s="25">
        <v>4.6100000000000003</v>
      </c>
      <c r="F332" s="26">
        <v>103.68546637744031</v>
      </c>
      <c r="G332" s="30">
        <f>IF(OR(D332="TARDIO",D332="PENDIENTE (TARDÍO)"),'Efectos y supuestos'!$B$8,0)</f>
        <v>0</v>
      </c>
      <c r="H332" s="14">
        <f t="shared" si="5"/>
        <v>0</v>
      </c>
    </row>
    <row r="333" spans="1:8" x14ac:dyDescent="0.35">
      <c r="A333" s="24" t="s">
        <v>451</v>
      </c>
      <c r="B333" s="29">
        <v>45958</v>
      </c>
      <c r="C333" s="24" t="s">
        <v>169</v>
      </c>
      <c r="D333" s="24" t="s">
        <v>409</v>
      </c>
      <c r="E333" s="25">
        <v>17.28</v>
      </c>
      <c r="F333" s="26">
        <v>118.99</v>
      </c>
      <c r="G333" s="30">
        <f>IF(OR(D333="TARDIO",D333="PENDIENTE (TARDÍO)"),'Efectos y supuestos'!$B$8,0)</f>
        <v>0</v>
      </c>
      <c r="H333" s="14">
        <f t="shared" si="5"/>
        <v>0</v>
      </c>
    </row>
    <row r="334" spans="1:8" x14ac:dyDescent="0.35">
      <c r="A334" s="24" t="s">
        <v>451</v>
      </c>
      <c r="B334" s="29">
        <v>45958</v>
      </c>
      <c r="C334" s="24" t="s">
        <v>169</v>
      </c>
      <c r="D334" s="24" t="s">
        <v>409</v>
      </c>
      <c r="E334" s="25">
        <v>17.28</v>
      </c>
      <c r="F334" s="26">
        <v>118.99</v>
      </c>
      <c r="G334" s="30">
        <f>IF(OR(D334="TARDIO",D334="PENDIENTE (TARDÍO)"),'Efectos y supuestos'!$B$8,0)</f>
        <v>0</v>
      </c>
      <c r="H334" s="14">
        <f t="shared" si="5"/>
        <v>0</v>
      </c>
    </row>
    <row r="335" spans="1:8" x14ac:dyDescent="0.35">
      <c r="A335" s="24" t="s">
        <v>451</v>
      </c>
      <c r="B335" s="29">
        <v>45958</v>
      </c>
      <c r="C335" s="24" t="s">
        <v>169</v>
      </c>
      <c r="D335" s="24" t="s">
        <v>409</v>
      </c>
      <c r="E335" s="25">
        <v>17.28</v>
      </c>
      <c r="F335" s="26">
        <v>118.99</v>
      </c>
      <c r="G335" s="30">
        <f>IF(OR(D335="TARDIO",D335="PENDIENTE (TARDÍO)"),'Efectos y supuestos'!$B$8,0)</f>
        <v>0</v>
      </c>
      <c r="H335" s="14">
        <f t="shared" si="5"/>
        <v>0</v>
      </c>
    </row>
    <row r="336" spans="1:8" x14ac:dyDescent="0.35">
      <c r="A336" s="24" t="s">
        <v>452</v>
      </c>
      <c r="B336" s="29">
        <v>45953</v>
      </c>
      <c r="C336" s="24" t="s">
        <v>169</v>
      </c>
      <c r="D336" s="24" t="s">
        <v>409</v>
      </c>
      <c r="E336" s="25">
        <v>21.72</v>
      </c>
      <c r="F336" s="26">
        <v>144.06</v>
      </c>
      <c r="G336" s="30">
        <f>IF(OR(D336="TARDIO",D336="PENDIENTE (TARDÍO)"),'Efectos y supuestos'!$B$8,0)</f>
        <v>0</v>
      </c>
      <c r="H336" s="14">
        <f t="shared" si="5"/>
        <v>0</v>
      </c>
    </row>
    <row r="337" spans="1:8" x14ac:dyDescent="0.35">
      <c r="A337" s="24" t="s">
        <v>453</v>
      </c>
      <c r="B337" s="29">
        <v>45953</v>
      </c>
      <c r="C337" s="24" t="s">
        <v>166</v>
      </c>
      <c r="D337" s="24" t="s">
        <v>409</v>
      </c>
      <c r="E337" s="25">
        <v>7.32</v>
      </c>
      <c r="F337" s="26">
        <v>111.9</v>
      </c>
      <c r="G337" s="30">
        <f>IF(OR(D337="TARDIO",D337="PENDIENTE (TARDÍO)"),'Efectos y supuestos'!$B$8,0)</f>
        <v>0</v>
      </c>
      <c r="H337" s="14">
        <f t="shared" si="5"/>
        <v>0</v>
      </c>
    </row>
    <row r="338" spans="1:8" x14ac:dyDescent="0.35">
      <c r="A338" s="24" t="s">
        <v>453</v>
      </c>
      <c r="B338" s="29">
        <v>45953</v>
      </c>
      <c r="C338" s="24" t="s">
        <v>166</v>
      </c>
      <c r="D338" s="24" t="s">
        <v>409</v>
      </c>
      <c r="E338" s="25">
        <v>7.32</v>
      </c>
      <c r="F338" s="26">
        <v>111.9</v>
      </c>
      <c r="G338" s="30">
        <f>IF(OR(D338="TARDIO",D338="PENDIENTE (TARDÍO)"),'Efectos y supuestos'!$B$8,0)</f>
        <v>0</v>
      </c>
      <c r="H338" s="14">
        <f t="shared" si="5"/>
        <v>0</v>
      </c>
    </row>
    <row r="339" spans="1:8" x14ac:dyDescent="0.35">
      <c r="A339" s="24" t="s">
        <v>453</v>
      </c>
      <c r="B339" s="29">
        <v>45953</v>
      </c>
      <c r="C339" s="24" t="s">
        <v>166</v>
      </c>
      <c r="D339" s="24" t="s">
        <v>409</v>
      </c>
      <c r="E339" s="25">
        <v>7.32</v>
      </c>
      <c r="F339" s="26">
        <v>111.9</v>
      </c>
      <c r="G339" s="30">
        <f>IF(OR(D339="TARDIO",D339="PENDIENTE (TARDÍO)"),'Efectos y supuestos'!$B$8,0)</f>
        <v>0</v>
      </c>
      <c r="H339" s="14">
        <f t="shared" si="5"/>
        <v>0</v>
      </c>
    </row>
    <row r="340" spans="1:8" x14ac:dyDescent="0.35">
      <c r="A340" s="24" t="s">
        <v>276</v>
      </c>
      <c r="B340" s="29">
        <v>45916</v>
      </c>
      <c r="C340" s="24" t="s">
        <v>169</v>
      </c>
      <c r="D340" s="24" t="s">
        <v>454</v>
      </c>
      <c r="E340" s="25">
        <v>6.62</v>
      </c>
      <c r="F340" s="26">
        <v>97.353474320241688</v>
      </c>
      <c r="G340" s="30">
        <f>IF(OR(D340="TARDIO",D340="PENDIENTE (TARDÍO)"),'Efectos y supuestos'!$B$8,0)</f>
        <v>-6.3E-2</v>
      </c>
      <c r="H340" s="14">
        <f t="shared" si="5"/>
        <v>40.602240000000002</v>
      </c>
    </row>
    <row r="341" spans="1:8" x14ac:dyDescent="0.35">
      <c r="A341" s="24" t="s">
        <v>455</v>
      </c>
      <c r="B341" s="29">
        <v>45649</v>
      </c>
      <c r="C341" s="24" t="s">
        <v>169</v>
      </c>
      <c r="D341" s="24" t="s">
        <v>456</v>
      </c>
      <c r="E341" s="25">
        <v>9.32</v>
      </c>
      <c r="F341" s="26">
        <v>104.6416309012876</v>
      </c>
      <c r="G341" s="30">
        <f>IF(OR(D341="TARDIO",D341="PENDIENTE (TARDÍO)"),'Efectos y supuestos'!$B$8,0)</f>
        <v>-6.3E-2</v>
      </c>
      <c r="H341" s="14">
        <f t="shared" si="5"/>
        <v>61.441380000000031</v>
      </c>
    </row>
    <row r="342" spans="1:8" x14ac:dyDescent="0.35">
      <c r="A342" s="24" t="s">
        <v>457</v>
      </c>
      <c r="B342" s="29">
        <v>45705</v>
      </c>
      <c r="C342" s="24" t="s">
        <v>169</v>
      </c>
      <c r="D342" s="24" t="s">
        <v>456</v>
      </c>
      <c r="E342" s="25">
        <v>5.52</v>
      </c>
      <c r="F342" s="26">
        <v>123.0634057971015</v>
      </c>
      <c r="G342" s="30">
        <f>IF(OR(D342="TARDIO",D342="PENDIENTE (TARDÍO)"),'Efectos y supuestos'!$B$8,0)</f>
        <v>-6.3E-2</v>
      </c>
      <c r="H342" s="14">
        <f t="shared" si="5"/>
        <v>42.796530000000011</v>
      </c>
    </row>
    <row r="343" spans="1:8" x14ac:dyDescent="0.35">
      <c r="A343" s="24" t="s">
        <v>92</v>
      </c>
      <c r="B343" s="29">
        <v>45929</v>
      </c>
      <c r="C343" s="24" t="s">
        <v>169</v>
      </c>
      <c r="D343" s="24" t="s">
        <v>456</v>
      </c>
      <c r="E343" s="25">
        <v>17.11</v>
      </c>
      <c r="F343" s="26">
        <v>59.74</v>
      </c>
      <c r="G343" s="30">
        <f>IF(OR(D343="TARDIO",D343="PENDIENTE (TARDÍO)"),'Efectos y supuestos'!$B$8,0)</f>
        <v>-6.3E-2</v>
      </c>
      <c r="H343" s="14">
        <f t="shared" si="5"/>
        <v>64.395538200000004</v>
      </c>
    </row>
    <row r="344" spans="1:8" x14ac:dyDescent="0.35">
      <c r="A344" s="24" t="s">
        <v>92</v>
      </c>
      <c r="B344" s="29">
        <v>45929</v>
      </c>
      <c r="C344" s="24" t="s">
        <v>169</v>
      </c>
      <c r="D344" s="24" t="s">
        <v>456</v>
      </c>
      <c r="E344" s="25">
        <v>17.11</v>
      </c>
      <c r="F344" s="26">
        <v>59.74</v>
      </c>
      <c r="G344" s="30">
        <f>IF(OR(D344="TARDIO",D344="PENDIENTE (TARDÍO)"),'Efectos y supuestos'!$B$8,0)</f>
        <v>-6.3E-2</v>
      </c>
      <c r="H344" s="14">
        <f t="shared" si="5"/>
        <v>64.395538200000004</v>
      </c>
    </row>
    <row r="345" spans="1:8" x14ac:dyDescent="0.35">
      <c r="A345" s="24" t="s">
        <v>93</v>
      </c>
      <c r="B345" s="29">
        <v>45928</v>
      </c>
      <c r="C345" s="24" t="s">
        <v>169</v>
      </c>
      <c r="D345" s="24" t="s">
        <v>456</v>
      </c>
      <c r="E345" s="25">
        <v>17.14</v>
      </c>
      <c r="F345" s="26">
        <v>108.18</v>
      </c>
      <c r="G345" s="30">
        <f>IF(OR(D345="TARDIO",D345="PENDIENTE (TARDÍO)"),'Efectos y supuestos'!$B$8,0)</f>
        <v>-6.3E-2</v>
      </c>
      <c r="H345" s="14">
        <f t="shared" si="5"/>
        <v>116.81492760000002</v>
      </c>
    </row>
    <row r="346" spans="1:8" x14ac:dyDescent="0.35">
      <c r="A346" s="24" t="s">
        <v>458</v>
      </c>
      <c r="B346" s="29">
        <v>45929</v>
      </c>
      <c r="C346" s="24" t="s">
        <v>169</v>
      </c>
      <c r="D346" s="24" t="s">
        <v>456</v>
      </c>
      <c r="E346" s="25">
        <v>5.23</v>
      </c>
      <c r="F346" s="26">
        <v>89.46</v>
      </c>
      <c r="G346" s="30">
        <f>IF(OR(D346="TARDIO",D346="PENDIENTE (TARDÍO)"),'Efectos y supuestos'!$B$8,0)</f>
        <v>-6.3E-2</v>
      </c>
      <c r="H346" s="14">
        <f t="shared" si="5"/>
        <v>29.476175400000002</v>
      </c>
    </row>
    <row r="347" spans="1:8" x14ac:dyDescent="0.35">
      <c r="A347" s="24" t="s">
        <v>459</v>
      </c>
      <c r="B347" s="29">
        <v>45932</v>
      </c>
      <c r="C347" s="24" t="s">
        <v>169</v>
      </c>
      <c r="D347" s="24" t="s">
        <v>456</v>
      </c>
      <c r="E347" s="25">
        <v>8.7799999999999994</v>
      </c>
      <c r="F347" s="26">
        <v>93.08</v>
      </c>
      <c r="G347" s="30">
        <f>IF(OR(D347="TARDIO",D347="PENDIENTE (TARDÍO)"),'Efectos y supuestos'!$B$8,0)</f>
        <v>-6.3E-2</v>
      </c>
      <c r="H347" s="14">
        <f t="shared" si="5"/>
        <v>51.486271199999997</v>
      </c>
    </row>
    <row r="348" spans="1:8" x14ac:dyDescent="0.35">
      <c r="A348" s="24" t="s">
        <v>460</v>
      </c>
      <c r="B348" s="29">
        <v>45921</v>
      </c>
      <c r="C348" s="24" t="s">
        <v>169</v>
      </c>
      <c r="D348" s="24" t="s">
        <v>456</v>
      </c>
      <c r="E348" s="25">
        <v>8.82</v>
      </c>
      <c r="F348" s="26">
        <v>98.37</v>
      </c>
      <c r="G348" s="30">
        <f>IF(OR(D348="TARDIO",D348="PENDIENTE (TARDÍO)"),'Efectos y supuestos'!$B$8,0)</f>
        <v>-6.3E-2</v>
      </c>
      <c r="H348" s="14">
        <f t="shared" si="5"/>
        <v>54.660274200000011</v>
      </c>
    </row>
    <row r="349" spans="1:8" x14ac:dyDescent="0.35">
      <c r="A349" s="24" t="s">
        <v>461</v>
      </c>
      <c r="B349" s="29">
        <v>45699</v>
      </c>
      <c r="C349" s="24" t="s">
        <v>169</v>
      </c>
      <c r="D349" s="24" t="s">
        <v>456</v>
      </c>
      <c r="E349" s="25">
        <v>5.53</v>
      </c>
      <c r="F349" s="26">
        <v>103.4900542495479</v>
      </c>
      <c r="G349" s="30">
        <f>IF(OR(D349="TARDIO",D349="PENDIENTE (TARDÍO)"),'Efectos y supuestos'!$B$8,0)</f>
        <v>-6.3E-2</v>
      </c>
      <c r="H349" s="14">
        <f t="shared" si="5"/>
        <v>36.054899999999996</v>
      </c>
    </row>
    <row r="350" spans="1:8" x14ac:dyDescent="0.35">
      <c r="A350" s="24" t="s">
        <v>462</v>
      </c>
      <c r="B350" s="29">
        <v>45698</v>
      </c>
      <c r="C350" s="24" t="s">
        <v>169</v>
      </c>
      <c r="D350" s="24" t="s">
        <v>456</v>
      </c>
      <c r="E350" s="25">
        <v>5.94</v>
      </c>
      <c r="F350" s="26">
        <v>125.0740740740741</v>
      </c>
      <c r="G350" s="30">
        <f>IF(OR(D350="TARDIO",D350="PENDIENTE (TARDÍO)"),'Efectos y supuestos'!$B$8,0)</f>
        <v>-6.3E-2</v>
      </c>
      <c r="H350" s="14">
        <f t="shared" si="5"/>
        <v>46.805220000000013</v>
      </c>
    </row>
    <row r="351" spans="1:8" x14ac:dyDescent="0.35">
      <c r="A351" s="24" t="s">
        <v>463</v>
      </c>
      <c r="B351" s="29">
        <v>45924</v>
      </c>
      <c r="C351" s="24" t="s">
        <v>169</v>
      </c>
      <c r="D351" s="24" t="s">
        <v>456</v>
      </c>
      <c r="E351" s="25">
        <v>6.09</v>
      </c>
      <c r="F351" s="26">
        <v>95.027914614121514</v>
      </c>
      <c r="G351" s="30">
        <f>IF(OR(D351="TARDIO",D351="PENDIENTE (TARDÍO)"),'Efectos y supuestos'!$B$8,0)</f>
        <v>-6.3E-2</v>
      </c>
      <c r="H351" s="14">
        <f t="shared" si="5"/>
        <v>36.459359999999997</v>
      </c>
    </row>
    <row r="352" spans="1:8" x14ac:dyDescent="0.35">
      <c r="A352" s="24" t="s">
        <v>464</v>
      </c>
      <c r="B352" s="29">
        <v>45925</v>
      </c>
      <c r="C352" s="24" t="s">
        <v>169</v>
      </c>
      <c r="D352" s="24" t="s">
        <v>456</v>
      </c>
      <c r="E352" s="25">
        <v>4.6100000000000003</v>
      </c>
      <c r="F352" s="26">
        <v>93.338394793926241</v>
      </c>
      <c r="G352" s="30">
        <f>IF(OR(D352="TARDIO",D352="PENDIENTE (TARDÍO)"),'Efectos y supuestos'!$B$8,0)</f>
        <v>-6.3E-2</v>
      </c>
      <c r="H352" s="14">
        <f t="shared" si="5"/>
        <v>27.108270000000001</v>
      </c>
    </row>
    <row r="353" spans="1:8" x14ac:dyDescent="0.35">
      <c r="A353" s="24" t="s">
        <v>465</v>
      </c>
      <c r="B353" s="29">
        <v>45940</v>
      </c>
      <c r="C353" s="24" t="s">
        <v>169</v>
      </c>
      <c r="D353" s="24" t="s">
        <v>456</v>
      </c>
      <c r="E353" s="25">
        <v>3.3</v>
      </c>
      <c r="F353" s="26">
        <v>92.9</v>
      </c>
      <c r="G353" s="30">
        <f>IF(OR(D353="TARDIO",D353="PENDIENTE (TARDÍO)"),'Efectos y supuestos'!$B$8,0)</f>
        <v>-6.3E-2</v>
      </c>
      <c r="H353" s="14">
        <f t="shared" si="5"/>
        <v>19.31391</v>
      </c>
    </row>
    <row r="354" spans="1:8" x14ac:dyDescent="0.35">
      <c r="A354" s="24" t="s">
        <v>466</v>
      </c>
      <c r="B354" s="29">
        <v>45933</v>
      </c>
      <c r="C354" s="24" t="s">
        <v>166</v>
      </c>
      <c r="D354" s="24" t="s">
        <v>456</v>
      </c>
      <c r="E354" s="25">
        <v>7.5</v>
      </c>
      <c r="F354" s="26">
        <v>105</v>
      </c>
      <c r="G354" s="30">
        <f>IF(OR(D354="TARDIO",D354="PENDIENTE (TARDÍO)"),'Efectos y supuestos'!$B$8,0)</f>
        <v>-6.3E-2</v>
      </c>
      <c r="H354" s="14">
        <f t="shared" si="5"/>
        <v>49.612500000000004</v>
      </c>
    </row>
    <row r="355" spans="1:8" x14ac:dyDescent="0.35">
      <c r="A355" s="24" t="s">
        <v>467</v>
      </c>
      <c r="B355" s="29">
        <v>45940</v>
      </c>
      <c r="C355" s="24" t="s">
        <v>166</v>
      </c>
      <c r="D355" s="24" t="s">
        <v>456</v>
      </c>
      <c r="E355" s="25">
        <v>10.64</v>
      </c>
      <c r="F355" s="26">
        <v>105</v>
      </c>
      <c r="G355" s="30">
        <f>IF(OR(D355="TARDIO",D355="PENDIENTE (TARDÍO)"),'Efectos y supuestos'!$B$8,0)</f>
        <v>-6.3E-2</v>
      </c>
      <c r="H355" s="14">
        <f t="shared" si="5"/>
        <v>70.383600000000001</v>
      </c>
    </row>
    <row r="356" spans="1:8" x14ac:dyDescent="0.35">
      <c r="A356" s="24" t="s">
        <v>467</v>
      </c>
      <c r="B356" s="29">
        <v>45940</v>
      </c>
      <c r="C356" s="24" t="s">
        <v>166</v>
      </c>
      <c r="D356" s="24" t="s">
        <v>456</v>
      </c>
      <c r="E356" s="25">
        <v>10.64</v>
      </c>
      <c r="F356" s="26">
        <v>105</v>
      </c>
      <c r="G356" s="30">
        <f>IF(OR(D356="TARDIO",D356="PENDIENTE (TARDÍO)"),'Efectos y supuestos'!$B$8,0)</f>
        <v>-6.3E-2</v>
      </c>
      <c r="H356" s="14">
        <f t="shared" si="5"/>
        <v>70.383600000000001</v>
      </c>
    </row>
    <row r="357" spans="1:8" x14ac:dyDescent="0.35">
      <c r="A357" s="24" t="s">
        <v>468</v>
      </c>
      <c r="B357" s="29">
        <v>45939</v>
      </c>
      <c r="C357" s="24" t="s">
        <v>166</v>
      </c>
      <c r="D357" s="24" t="s">
        <v>456</v>
      </c>
      <c r="E357" s="25">
        <v>12.42</v>
      </c>
      <c r="F357" s="26">
        <v>105</v>
      </c>
      <c r="G357" s="30">
        <f>IF(OR(D357="TARDIO",D357="PENDIENTE (TARDÍO)"),'Efectos y supuestos'!$B$8,0)</f>
        <v>-6.3E-2</v>
      </c>
      <c r="H357" s="14">
        <f t="shared" si="5"/>
        <v>82.158299999999997</v>
      </c>
    </row>
    <row r="358" spans="1:8" x14ac:dyDescent="0.35">
      <c r="A358" s="24" t="s">
        <v>418</v>
      </c>
      <c r="B358" s="29">
        <v>45734</v>
      </c>
      <c r="C358" s="24" t="s">
        <v>169</v>
      </c>
      <c r="D358" s="24" t="s">
        <v>456</v>
      </c>
      <c r="E358" s="25">
        <v>4.13</v>
      </c>
      <c r="F358" s="26">
        <v>72.728813559322035</v>
      </c>
      <c r="G358" s="30">
        <f>IF(OR(D358="TARDIO",D358="PENDIENTE (TARDÍO)"),'Efectos y supuestos'!$B$8,0)</f>
        <v>-6.3E-2</v>
      </c>
      <c r="H358" s="14">
        <f t="shared" si="5"/>
        <v>18.923310000000001</v>
      </c>
    </row>
    <row r="359" spans="1:8" x14ac:dyDescent="0.35">
      <c r="A359" s="24" t="s">
        <v>128</v>
      </c>
      <c r="B359" s="29">
        <v>45958</v>
      </c>
      <c r="C359" s="24" t="s">
        <v>166</v>
      </c>
      <c r="D359" s="24" t="s">
        <v>456</v>
      </c>
      <c r="E359" s="25">
        <v>14.64</v>
      </c>
      <c r="F359" s="26">
        <v>107.2</v>
      </c>
      <c r="G359" s="30">
        <f>IF(OR(D359="TARDIO",D359="PENDIENTE (TARDÍO)"),'Efectos y supuestos'!$B$8,0)</f>
        <v>-6.3E-2</v>
      </c>
      <c r="H359" s="14">
        <f t="shared" si="5"/>
        <v>98.872704000000013</v>
      </c>
    </row>
    <row r="360" spans="1:8" x14ac:dyDescent="0.35">
      <c r="A360" s="24" t="s">
        <v>279</v>
      </c>
      <c r="B360" s="29">
        <v>45595</v>
      </c>
      <c r="C360" s="24" t="s">
        <v>169</v>
      </c>
      <c r="D360" s="24" t="s">
        <v>456</v>
      </c>
      <c r="E360" s="25">
        <v>3.98</v>
      </c>
      <c r="F360" s="26">
        <v>135.8492462311558</v>
      </c>
      <c r="G360" s="30">
        <f>IF(OR(D360="TARDIO",D360="PENDIENTE (TARDÍO)"),'Efectos y supuestos'!$B$8,0)</f>
        <v>-6.3E-2</v>
      </c>
      <c r="H360" s="14">
        <f t="shared" si="5"/>
        <v>34.062840000000008</v>
      </c>
    </row>
    <row r="361" spans="1:8" x14ac:dyDescent="0.35">
      <c r="A361" s="24" t="s">
        <v>283</v>
      </c>
      <c r="B361" s="29">
        <v>45766</v>
      </c>
      <c r="C361" s="24" t="s">
        <v>169</v>
      </c>
      <c r="D361" s="24" t="s">
        <v>456</v>
      </c>
      <c r="E361" s="25">
        <v>11.87</v>
      </c>
      <c r="F361" s="26">
        <v>125.54675652906489</v>
      </c>
      <c r="G361" s="30">
        <f>IF(OR(D361="TARDIO",D361="PENDIENTE (TARDÍO)"),'Efectos y supuestos'!$B$8,0)</f>
        <v>-6.3E-2</v>
      </c>
      <c r="H361" s="14">
        <f t="shared" si="5"/>
        <v>93.885120000000015</v>
      </c>
    </row>
    <row r="362" spans="1:8" x14ac:dyDescent="0.35">
      <c r="A362" s="24" t="s">
        <v>104</v>
      </c>
      <c r="B362" s="29">
        <v>45930</v>
      </c>
      <c r="C362" s="24" t="s">
        <v>169</v>
      </c>
      <c r="D362" s="24" t="s">
        <v>456</v>
      </c>
      <c r="E362" s="25">
        <v>1.8</v>
      </c>
      <c r="F362" s="26">
        <v>134.07</v>
      </c>
      <c r="G362" s="30">
        <f>IF(OR(D362="TARDIO",D362="PENDIENTE (TARDÍO)"),'Efectos y supuestos'!$B$8,0)</f>
        <v>-6.3E-2</v>
      </c>
      <c r="H362" s="14">
        <f t="shared" si="5"/>
        <v>15.203538</v>
      </c>
    </row>
    <row r="363" spans="1:8" x14ac:dyDescent="0.35">
      <c r="A363" s="24" t="s">
        <v>469</v>
      </c>
      <c r="B363" s="29">
        <v>45961</v>
      </c>
      <c r="C363" s="24" t="s">
        <v>166</v>
      </c>
      <c r="D363" s="24" t="s">
        <v>456</v>
      </c>
      <c r="E363" s="25">
        <v>0.77</v>
      </c>
      <c r="F363" s="26">
        <v>55.2</v>
      </c>
      <c r="G363" s="30">
        <f>IF(OR(D363="TARDIO",D363="PENDIENTE (TARDÍO)"),'Efectos y supuestos'!$B$8,0)</f>
        <v>-6.3E-2</v>
      </c>
      <c r="H363" s="14">
        <f t="shared" si="5"/>
        <v>2.6777520000000004</v>
      </c>
    </row>
    <row r="364" spans="1:8" x14ac:dyDescent="0.35">
      <c r="A364" s="24" t="s">
        <v>469</v>
      </c>
      <c r="B364" s="29">
        <v>45961</v>
      </c>
      <c r="C364" s="24" t="s">
        <v>166</v>
      </c>
      <c r="D364" s="24" t="s">
        <v>456</v>
      </c>
      <c r="E364" s="25">
        <v>0.77</v>
      </c>
      <c r="F364" s="26">
        <v>55.2</v>
      </c>
      <c r="G364" s="30">
        <f>IF(OR(D364="TARDIO",D364="PENDIENTE (TARDÍO)"),'Efectos y supuestos'!$B$8,0)</f>
        <v>-6.3E-2</v>
      </c>
      <c r="H364" s="14">
        <f t="shared" si="5"/>
        <v>2.6777520000000004</v>
      </c>
    </row>
    <row r="365" spans="1:8" x14ac:dyDescent="0.35">
      <c r="A365" s="24" t="s">
        <v>470</v>
      </c>
      <c r="B365" s="29">
        <v>45940</v>
      </c>
      <c r="C365" s="24" t="s">
        <v>169</v>
      </c>
      <c r="D365" s="24" t="s">
        <v>456</v>
      </c>
      <c r="E365" s="25">
        <v>17.95</v>
      </c>
      <c r="F365" s="26">
        <v>96.81</v>
      </c>
      <c r="G365" s="30">
        <f>IF(OR(D365="TARDIO",D365="PENDIENTE (TARDÍO)"),'Efectos y supuestos'!$B$8,0)</f>
        <v>-6.3E-2</v>
      </c>
      <c r="H365" s="14">
        <f t="shared" si="5"/>
        <v>109.4775885</v>
      </c>
    </row>
    <row r="366" spans="1:8" x14ac:dyDescent="0.35">
      <c r="A366" s="24" t="s">
        <v>471</v>
      </c>
      <c r="B366" s="29">
        <v>45939</v>
      </c>
      <c r="C366" s="24" t="s">
        <v>169</v>
      </c>
      <c r="D366" s="24" t="s">
        <v>456</v>
      </c>
      <c r="E366" s="25">
        <v>6.32</v>
      </c>
      <c r="F366" s="26">
        <v>145.13999999999999</v>
      </c>
      <c r="G366" s="30">
        <f>IF(OR(D366="TARDIO",D366="PENDIENTE (TARDÍO)"),'Efectos y supuestos'!$B$8,0)</f>
        <v>-6.3E-2</v>
      </c>
      <c r="H366" s="14">
        <f t="shared" si="5"/>
        <v>57.788942400000003</v>
      </c>
    </row>
    <row r="367" spans="1:8" x14ac:dyDescent="0.35">
      <c r="A367" s="24" t="s">
        <v>472</v>
      </c>
      <c r="B367" s="29">
        <v>45820</v>
      </c>
      <c r="C367" s="24" t="s">
        <v>169</v>
      </c>
      <c r="D367" s="24" t="s">
        <v>456</v>
      </c>
      <c r="E367" s="25">
        <v>5.49</v>
      </c>
      <c r="F367" s="26">
        <v>101.528233151184</v>
      </c>
      <c r="G367" s="30">
        <f>IF(OR(D367="TARDIO",D367="PENDIENTE (TARDÍO)"),'Efectos y supuestos'!$B$8,0)</f>
        <v>-6.3E-2</v>
      </c>
      <c r="H367" s="14">
        <f t="shared" si="5"/>
        <v>35.115570000000012</v>
      </c>
    </row>
    <row r="368" spans="1:8" x14ac:dyDescent="0.35">
      <c r="A368" s="24" t="s">
        <v>145</v>
      </c>
      <c r="B368" s="29">
        <v>45959</v>
      </c>
      <c r="C368" s="24" t="s">
        <v>166</v>
      </c>
      <c r="D368" s="24" t="s">
        <v>456</v>
      </c>
      <c r="E368" s="25">
        <v>2.11</v>
      </c>
      <c r="F368" s="26">
        <v>106.7</v>
      </c>
      <c r="G368" s="30">
        <f>IF(OR(D368="TARDIO",D368="PENDIENTE (TARDÍO)"),'Efectos y supuestos'!$B$8,0)</f>
        <v>-6.3E-2</v>
      </c>
      <c r="H368" s="14">
        <f t="shared" si="5"/>
        <v>14.183631</v>
      </c>
    </row>
    <row r="369" spans="1:8" x14ac:dyDescent="0.35">
      <c r="A369" s="24" t="s">
        <v>473</v>
      </c>
      <c r="B369" s="29">
        <v>45961</v>
      </c>
      <c r="C369" s="24" t="s">
        <v>166</v>
      </c>
      <c r="D369" s="24" t="s">
        <v>456</v>
      </c>
      <c r="E369" s="25">
        <v>8.4600000000000009</v>
      </c>
      <c r="F369" s="26">
        <v>97</v>
      </c>
      <c r="G369" s="30">
        <f>IF(OR(D369="TARDIO",D369="PENDIENTE (TARDÍO)"),'Efectos y supuestos'!$B$8,0)</f>
        <v>-6.3E-2</v>
      </c>
      <c r="H369" s="14">
        <f t="shared" si="5"/>
        <v>51.699060000000003</v>
      </c>
    </row>
    <row r="370" spans="1:8" x14ac:dyDescent="0.35">
      <c r="A370" s="24" t="s">
        <v>473</v>
      </c>
      <c r="B370" s="29">
        <v>45961</v>
      </c>
      <c r="C370" s="24" t="s">
        <v>166</v>
      </c>
      <c r="D370" s="24" t="s">
        <v>456</v>
      </c>
      <c r="E370" s="25">
        <v>8.4600000000000009</v>
      </c>
      <c r="F370" s="26">
        <v>97</v>
      </c>
      <c r="G370" s="30">
        <f>IF(OR(D370="TARDIO",D370="PENDIENTE (TARDÍO)"),'Efectos y supuestos'!$B$8,0)</f>
        <v>-6.3E-2</v>
      </c>
      <c r="H370" s="14">
        <f t="shared" si="5"/>
        <v>51.699060000000003</v>
      </c>
    </row>
    <row r="371" spans="1:8" x14ac:dyDescent="0.35">
      <c r="A371" s="24" t="s">
        <v>473</v>
      </c>
      <c r="B371" s="29">
        <v>45961</v>
      </c>
      <c r="C371" s="24" t="s">
        <v>166</v>
      </c>
      <c r="D371" s="24" t="s">
        <v>456</v>
      </c>
      <c r="E371" s="25">
        <v>8.4600000000000009</v>
      </c>
      <c r="F371" s="26">
        <v>97</v>
      </c>
      <c r="G371" s="30">
        <f>IF(OR(D371="TARDIO",D371="PENDIENTE (TARDÍO)"),'Efectos y supuestos'!$B$8,0)</f>
        <v>-6.3E-2</v>
      </c>
      <c r="H371" s="14">
        <f t="shared" si="5"/>
        <v>51.699060000000003</v>
      </c>
    </row>
    <row r="372" spans="1:8" x14ac:dyDescent="0.35">
      <c r="A372" s="24" t="s">
        <v>149</v>
      </c>
      <c r="B372" s="29">
        <v>45958</v>
      </c>
      <c r="C372" s="24" t="s">
        <v>166</v>
      </c>
      <c r="D372" s="24" t="s">
        <v>456</v>
      </c>
      <c r="E372" s="25">
        <v>15.08</v>
      </c>
      <c r="F372" s="26">
        <v>112.6</v>
      </c>
      <c r="G372" s="30">
        <f>IF(OR(D372="TARDIO",D372="PENDIENTE (TARDÍO)"),'Efectos y supuestos'!$B$8,0)</f>
        <v>-6.3E-2</v>
      </c>
      <c r="H372" s="14">
        <f t="shared" si="5"/>
        <v>106.974504</v>
      </c>
    </row>
    <row r="373" spans="1:8" x14ac:dyDescent="0.35">
      <c r="A373" s="24" t="s">
        <v>474</v>
      </c>
      <c r="B373" s="29">
        <v>45958</v>
      </c>
      <c r="C373" s="24" t="s">
        <v>166</v>
      </c>
      <c r="D373" s="24" t="s">
        <v>456</v>
      </c>
      <c r="E373" s="25">
        <v>4.5</v>
      </c>
      <c r="F373" s="26">
        <v>87.9</v>
      </c>
      <c r="G373" s="30">
        <f>IF(OR(D373="TARDIO",D373="PENDIENTE (TARDÍO)"),'Efectos y supuestos'!$B$8,0)</f>
        <v>-6.3E-2</v>
      </c>
      <c r="H373" s="14">
        <f t="shared" si="5"/>
        <v>24.919650000000001</v>
      </c>
    </row>
    <row r="374" spans="1:8" x14ac:dyDescent="0.35">
      <c r="A374" s="24" t="s">
        <v>475</v>
      </c>
      <c r="B374" s="29">
        <v>45824</v>
      </c>
      <c r="C374" s="24" t="s">
        <v>169</v>
      </c>
      <c r="D374" s="24" t="s">
        <v>456</v>
      </c>
      <c r="E374" s="25">
        <v>7.55</v>
      </c>
      <c r="F374" s="26">
        <v>105.2503311258278</v>
      </c>
      <c r="G374" s="30">
        <f>IF(OR(D374="TARDIO",D374="PENDIENTE (TARDÍO)"),'Efectos y supuestos'!$B$8,0)</f>
        <v>-6.3E-2</v>
      </c>
      <c r="H374" s="14">
        <f t="shared" si="5"/>
        <v>50.062319999999985</v>
      </c>
    </row>
    <row r="375" spans="1:8" x14ac:dyDescent="0.35">
      <c r="A375" s="8" t="s">
        <v>476</v>
      </c>
      <c r="B375" s="9"/>
      <c r="C375" s="9"/>
      <c r="D375" s="9"/>
      <c r="E375" s="10">
        <f>SUMIFS(E6:E374,G6:G374,"&lt;0")</f>
        <v>284.66000000000003</v>
      </c>
      <c r="F375" s="9"/>
      <c r="G375" s="9"/>
      <c r="H375" s="10">
        <f>SUM(H6:H374)</f>
        <v>1784.2709366999998</v>
      </c>
    </row>
    <row r="377" spans="1:8" x14ac:dyDescent="0.35">
      <c r="A377" s="20" t="s">
        <v>477</v>
      </c>
    </row>
    <row r="378" spans="1:8" x14ac:dyDescent="0.35">
      <c r="A378" s="24" t="s">
        <v>408</v>
      </c>
      <c r="B378" s="29">
        <v>46218</v>
      </c>
      <c r="C378" s="24" t="s">
        <v>478</v>
      </c>
      <c r="D378" s="24" t="s">
        <v>167</v>
      </c>
      <c r="E378" s="25">
        <v>14.02</v>
      </c>
      <c r="F378" s="26">
        <v>105</v>
      </c>
      <c r="G378" s="30">
        <f>IF(OR(D378="TARDIO",D378="PENDIENTE (TARDÍO)"),'Efectos y supuestos'!$B$8,0)</f>
        <v>0</v>
      </c>
      <c r="H378" s="14">
        <f t="shared" ref="H378:H441" si="6">-G378*F378*E378</f>
        <v>0</v>
      </c>
    </row>
    <row r="379" spans="1:8" x14ac:dyDescent="0.35">
      <c r="A379" s="24" t="s">
        <v>479</v>
      </c>
      <c r="B379" s="29">
        <v>45976</v>
      </c>
      <c r="C379" s="24" t="s">
        <v>480</v>
      </c>
      <c r="D379" s="24" t="s">
        <v>167</v>
      </c>
      <c r="E379" s="25">
        <v>21.98</v>
      </c>
      <c r="F379" s="26">
        <v>108.2</v>
      </c>
      <c r="G379" s="30">
        <f>IF(OR(D379="TARDIO",D379="PENDIENTE (TARDÍO)"),'Efectos y supuestos'!$B$8,0)</f>
        <v>0</v>
      </c>
      <c r="H379" s="14">
        <f t="shared" si="6"/>
        <v>0</v>
      </c>
    </row>
    <row r="380" spans="1:8" x14ac:dyDescent="0.35">
      <c r="A380" s="24" t="s">
        <v>383</v>
      </c>
      <c r="B380" s="29">
        <v>46280</v>
      </c>
      <c r="C380" s="24" t="s">
        <v>478</v>
      </c>
      <c r="D380" s="24" t="s">
        <v>167</v>
      </c>
      <c r="E380" s="25">
        <v>10.72</v>
      </c>
      <c r="F380" s="26">
        <v>105</v>
      </c>
      <c r="G380" s="30">
        <f>IF(OR(D380="TARDIO",D380="PENDIENTE (TARDÍO)"),'Efectos y supuestos'!$B$8,0)</f>
        <v>0</v>
      </c>
      <c r="H380" s="14">
        <f t="shared" si="6"/>
        <v>0</v>
      </c>
    </row>
    <row r="381" spans="1:8" x14ac:dyDescent="0.35">
      <c r="A381" s="24" t="s">
        <v>481</v>
      </c>
      <c r="B381" s="29">
        <v>46006</v>
      </c>
      <c r="C381" s="24" t="s">
        <v>480</v>
      </c>
      <c r="D381" s="24" t="s">
        <v>167</v>
      </c>
      <c r="E381" s="25">
        <v>3.79</v>
      </c>
      <c r="F381" s="26">
        <v>120.3</v>
      </c>
      <c r="G381" s="30">
        <f>IF(OR(D381="TARDIO",D381="PENDIENTE (TARDÍO)"),'Efectos y supuestos'!$B$8,0)</f>
        <v>0</v>
      </c>
      <c r="H381" s="14">
        <f t="shared" si="6"/>
        <v>0</v>
      </c>
    </row>
    <row r="382" spans="1:8" x14ac:dyDescent="0.35">
      <c r="A382" s="24" t="s">
        <v>482</v>
      </c>
      <c r="B382" s="29">
        <v>45976</v>
      </c>
      <c r="C382" s="24" t="s">
        <v>480</v>
      </c>
      <c r="D382" s="24" t="s">
        <v>167</v>
      </c>
      <c r="E382" s="25">
        <v>7.03</v>
      </c>
      <c r="F382" s="26">
        <v>103.4</v>
      </c>
      <c r="G382" s="30">
        <f>IF(OR(D382="TARDIO",D382="PENDIENTE (TARDÍO)"),'Efectos y supuestos'!$B$8,0)</f>
        <v>0</v>
      </c>
      <c r="H382" s="14">
        <f t="shared" si="6"/>
        <v>0</v>
      </c>
    </row>
    <row r="383" spans="1:8" x14ac:dyDescent="0.35">
      <c r="A383" s="24" t="s">
        <v>483</v>
      </c>
      <c r="B383" s="29">
        <v>46006</v>
      </c>
      <c r="C383" s="24" t="s">
        <v>480</v>
      </c>
      <c r="D383" s="24" t="s">
        <v>167</v>
      </c>
      <c r="E383" s="25">
        <v>3.04</v>
      </c>
      <c r="F383" s="26">
        <v>83.3</v>
      </c>
      <c r="G383" s="30">
        <f>IF(OR(D383="TARDIO",D383="PENDIENTE (TARDÍO)"),'Efectos y supuestos'!$B$8,0)</f>
        <v>0</v>
      </c>
      <c r="H383" s="14">
        <f t="shared" si="6"/>
        <v>0</v>
      </c>
    </row>
    <row r="384" spans="1:8" x14ac:dyDescent="0.35">
      <c r="A384" s="24" t="s">
        <v>113</v>
      </c>
      <c r="B384" s="29">
        <v>45976</v>
      </c>
      <c r="C384" s="24" t="s">
        <v>480</v>
      </c>
      <c r="D384" s="24" t="s">
        <v>167</v>
      </c>
      <c r="E384" s="25">
        <v>12.51</v>
      </c>
      <c r="F384" s="26">
        <v>107.8</v>
      </c>
      <c r="G384" s="30">
        <f>IF(OR(D384="TARDIO",D384="PENDIENTE (TARDÍO)"),'Efectos y supuestos'!$B$8,0)</f>
        <v>0</v>
      </c>
      <c r="H384" s="14">
        <f t="shared" si="6"/>
        <v>0</v>
      </c>
    </row>
    <row r="385" spans="1:8" x14ac:dyDescent="0.35">
      <c r="A385" s="24" t="s">
        <v>115</v>
      </c>
      <c r="B385" s="29">
        <v>46006</v>
      </c>
      <c r="C385" s="24" t="s">
        <v>478</v>
      </c>
      <c r="D385" s="24" t="s">
        <v>167</v>
      </c>
      <c r="E385" s="25">
        <v>1.42</v>
      </c>
      <c r="F385" s="26">
        <v>101.7</v>
      </c>
      <c r="G385" s="30">
        <f>IF(OR(D385="TARDIO",D385="PENDIENTE (TARDÍO)"),'Efectos y supuestos'!$B$8,0)</f>
        <v>0</v>
      </c>
      <c r="H385" s="14">
        <f t="shared" si="6"/>
        <v>0</v>
      </c>
    </row>
    <row r="386" spans="1:8" x14ac:dyDescent="0.35">
      <c r="A386" s="24" t="s">
        <v>116</v>
      </c>
      <c r="B386" s="29">
        <v>45976</v>
      </c>
      <c r="C386" s="24" t="s">
        <v>480</v>
      </c>
      <c r="D386" s="24" t="s">
        <v>167</v>
      </c>
      <c r="E386" s="25">
        <v>21.86</v>
      </c>
      <c r="F386" s="26">
        <v>102.8</v>
      </c>
      <c r="G386" s="30">
        <f>IF(OR(D386="TARDIO",D386="PENDIENTE (TARDÍO)"),'Efectos y supuestos'!$B$8,0)</f>
        <v>0</v>
      </c>
      <c r="H386" s="14">
        <f t="shared" si="6"/>
        <v>0</v>
      </c>
    </row>
    <row r="387" spans="1:8" x14ac:dyDescent="0.35">
      <c r="A387" s="24" t="s">
        <v>484</v>
      </c>
      <c r="B387" s="29">
        <v>46006</v>
      </c>
      <c r="C387" s="24" t="s">
        <v>480</v>
      </c>
      <c r="D387" s="24" t="s">
        <v>167</v>
      </c>
      <c r="E387" s="25">
        <v>10.06</v>
      </c>
      <c r="F387" s="26">
        <v>117.8</v>
      </c>
      <c r="G387" s="30">
        <f>IF(OR(D387="TARDIO",D387="PENDIENTE (TARDÍO)"),'Efectos y supuestos'!$B$8,0)</f>
        <v>0</v>
      </c>
      <c r="H387" s="14">
        <f t="shared" si="6"/>
        <v>0</v>
      </c>
    </row>
    <row r="388" spans="1:8" x14ac:dyDescent="0.35">
      <c r="A388" s="24" t="s">
        <v>485</v>
      </c>
      <c r="B388" s="29">
        <v>46006</v>
      </c>
      <c r="C388" s="24" t="s">
        <v>480</v>
      </c>
      <c r="D388" s="24" t="s">
        <v>167</v>
      </c>
      <c r="E388" s="25">
        <v>11.96</v>
      </c>
      <c r="F388" s="26">
        <v>108.1</v>
      </c>
      <c r="G388" s="30">
        <f>IF(OR(D388="TARDIO",D388="PENDIENTE (TARDÍO)"),'Efectos y supuestos'!$B$8,0)</f>
        <v>0</v>
      </c>
      <c r="H388" s="14">
        <f t="shared" si="6"/>
        <v>0</v>
      </c>
    </row>
    <row r="389" spans="1:8" x14ac:dyDescent="0.35">
      <c r="A389" s="24" t="s">
        <v>173</v>
      </c>
      <c r="B389" s="29">
        <v>46096</v>
      </c>
      <c r="C389" s="24" t="s">
        <v>478</v>
      </c>
      <c r="D389" s="24" t="s">
        <v>167</v>
      </c>
      <c r="E389" s="25">
        <v>10.97</v>
      </c>
      <c r="F389" s="26">
        <v>115</v>
      </c>
      <c r="G389" s="30">
        <f>IF(OR(D389="TARDIO",D389="PENDIENTE (TARDÍO)"),'Efectos y supuestos'!$B$8,0)</f>
        <v>0</v>
      </c>
      <c r="H389" s="14">
        <f t="shared" si="6"/>
        <v>0</v>
      </c>
    </row>
    <row r="390" spans="1:8" x14ac:dyDescent="0.35">
      <c r="A390" s="24" t="s">
        <v>385</v>
      </c>
      <c r="B390" s="29">
        <v>46280</v>
      </c>
      <c r="C390" s="24" t="s">
        <v>478</v>
      </c>
      <c r="D390" s="24" t="s">
        <v>167</v>
      </c>
      <c r="E390" s="25">
        <v>23.48</v>
      </c>
      <c r="F390" s="26">
        <v>105</v>
      </c>
      <c r="G390" s="30">
        <f>IF(OR(D390="TARDIO",D390="PENDIENTE (TARDÍO)"),'Efectos y supuestos'!$B$8,0)</f>
        <v>0</v>
      </c>
      <c r="H390" s="14">
        <f t="shared" si="6"/>
        <v>0</v>
      </c>
    </row>
    <row r="391" spans="1:8" x14ac:dyDescent="0.35">
      <c r="A391" s="24" t="s">
        <v>486</v>
      </c>
      <c r="B391" s="29">
        <v>45976</v>
      </c>
      <c r="C391" s="24" t="s">
        <v>480</v>
      </c>
      <c r="D391" s="24" t="s">
        <v>167</v>
      </c>
      <c r="E391" s="25">
        <v>12.88</v>
      </c>
      <c r="F391" s="26">
        <v>80.7</v>
      </c>
      <c r="G391" s="30">
        <f>IF(OR(D391="TARDIO",D391="PENDIENTE (TARDÍO)"),'Efectos y supuestos'!$B$8,0)</f>
        <v>0</v>
      </c>
      <c r="H391" s="14">
        <f t="shared" si="6"/>
        <v>0</v>
      </c>
    </row>
    <row r="392" spans="1:8" x14ac:dyDescent="0.35">
      <c r="A392" s="24" t="s">
        <v>174</v>
      </c>
      <c r="B392" s="29">
        <v>46218</v>
      </c>
      <c r="C392" s="24" t="s">
        <v>478</v>
      </c>
      <c r="D392" s="24" t="s">
        <v>167</v>
      </c>
      <c r="E392" s="25">
        <v>10.57</v>
      </c>
      <c r="F392" s="26">
        <v>105</v>
      </c>
      <c r="G392" s="30">
        <f>IF(OR(D392="TARDIO",D392="PENDIENTE (TARDÍO)"),'Efectos y supuestos'!$B$8,0)</f>
        <v>0</v>
      </c>
      <c r="H392" s="14">
        <f t="shared" si="6"/>
        <v>0</v>
      </c>
    </row>
    <row r="393" spans="1:8" x14ac:dyDescent="0.35">
      <c r="A393" s="24" t="s">
        <v>176</v>
      </c>
      <c r="B393" s="29">
        <v>46218</v>
      </c>
      <c r="C393" s="24" t="s">
        <v>478</v>
      </c>
      <c r="D393" s="24" t="s">
        <v>167</v>
      </c>
      <c r="E393" s="25">
        <v>7.97</v>
      </c>
      <c r="F393" s="26">
        <v>105</v>
      </c>
      <c r="G393" s="30">
        <f>IF(OR(D393="TARDIO",D393="PENDIENTE (TARDÍO)"),'Efectos y supuestos'!$B$8,0)</f>
        <v>0</v>
      </c>
      <c r="H393" s="14">
        <f t="shared" si="6"/>
        <v>0</v>
      </c>
    </row>
    <row r="394" spans="1:8" x14ac:dyDescent="0.35">
      <c r="A394" s="24" t="s">
        <v>177</v>
      </c>
      <c r="B394" s="29">
        <v>46127</v>
      </c>
      <c r="C394" s="24" t="s">
        <v>478</v>
      </c>
      <c r="D394" s="24" t="s">
        <v>167</v>
      </c>
      <c r="E394" s="25">
        <v>10.85</v>
      </c>
      <c r="F394" s="26">
        <v>112.9</v>
      </c>
      <c r="G394" s="30">
        <f>IF(OR(D394="TARDIO",D394="PENDIENTE (TARDÍO)"),'Efectos y supuestos'!$B$8,0)</f>
        <v>0</v>
      </c>
      <c r="H394" s="14">
        <f t="shared" si="6"/>
        <v>0</v>
      </c>
    </row>
    <row r="395" spans="1:8" x14ac:dyDescent="0.35">
      <c r="A395" s="24" t="s">
        <v>411</v>
      </c>
      <c r="B395" s="29">
        <v>46096</v>
      </c>
      <c r="C395" s="24" t="s">
        <v>478</v>
      </c>
      <c r="D395" s="24" t="s">
        <v>167</v>
      </c>
      <c r="E395" s="25">
        <v>10.36</v>
      </c>
      <c r="F395" s="26">
        <v>94.1</v>
      </c>
      <c r="G395" s="30">
        <f>IF(OR(D395="TARDIO",D395="PENDIENTE (TARDÍO)"),'Efectos y supuestos'!$B$8,0)</f>
        <v>0</v>
      </c>
      <c r="H395" s="14">
        <f t="shared" si="6"/>
        <v>0</v>
      </c>
    </row>
    <row r="396" spans="1:8" x14ac:dyDescent="0.35">
      <c r="A396" s="24" t="s">
        <v>181</v>
      </c>
      <c r="B396" s="29">
        <v>46249</v>
      </c>
      <c r="C396" s="24" t="s">
        <v>478</v>
      </c>
      <c r="D396" s="24" t="s">
        <v>167</v>
      </c>
      <c r="E396" s="25">
        <v>4.6500000000000004</v>
      </c>
      <c r="F396" s="26">
        <v>105</v>
      </c>
      <c r="G396" s="30">
        <f>IF(OR(D396="TARDIO",D396="PENDIENTE (TARDÍO)"),'Efectos y supuestos'!$B$8,0)</f>
        <v>0</v>
      </c>
      <c r="H396" s="14">
        <f t="shared" si="6"/>
        <v>0</v>
      </c>
    </row>
    <row r="397" spans="1:8" x14ac:dyDescent="0.35">
      <c r="A397" s="24" t="s">
        <v>182</v>
      </c>
      <c r="B397" s="29">
        <v>46096</v>
      </c>
      <c r="C397" s="24" t="s">
        <v>478</v>
      </c>
      <c r="D397" s="24" t="s">
        <v>167</v>
      </c>
      <c r="E397" s="25">
        <v>14.11</v>
      </c>
      <c r="F397" s="26">
        <v>75.3</v>
      </c>
      <c r="G397" s="30">
        <f>IF(OR(D397="TARDIO",D397="PENDIENTE (TARDÍO)"),'Efectos y supuestos'!$B$8,0)</f>
        <v>0</v>
      </c>
      <c r="H397" s="14">
        <f t="shared" si="6"/>
        <v>0</v>
      </c>
    </row>
    <row r="398" spans="1:8" x14ac:dyDescent="0.35">
      <c r="A398" s="24" t="s">
        <v>183</v>
      </c>
      <c r="B398" s="29">
        <v>46096</v>
      </c>
      <c r="C398" s="24" t="s">
        <v>478</v>
      </c>
      <c r="D398" s="24" t="s">
        <v>167</v>
      </c>
      <c r="E398" s="25">
        <v>5.72</v>
      </c>
      <c r="F398" s="26">
        <v>74.3</v>
      </c>
      <c r="G398" s="30">
        <f>IF(OR(D398="TARDIO",D398="PENDIENTE (TARDÍO)"),'Efectos y supuestos'!$B$8,0)</f>
        <v>0</v>
      </c>
      <c r="H398" s="14">
        <f t="shared" si="6"/>
        <v>0</v>
      </c>
    </row>
    <row r="399" spans="1:8" x14ac:dyDescent="0.35">
      <c r="A399" s="24" t="s">
        <v>184</v>
      </c>
      <c r="B399" s="29">
        <v>46096</v>
      </c>
      <c r="C399" s="24" t="s">
        <v>478</v>
      </c>
      <c r="D399" s="24" t="s">
        <v>167</v>
      </c>
      <c r="E399" s="25">
        <v>5.51</v>
      </c>
      <c r="F399" s="26">
        <v>75.5</v>
      </c>
      <c r="G399" s="30">
        <f>IF(OR(D399="TARDIO",D399="PENDIENTE (TARDÍO)"),'Efectos y supuestos'!$B$8,0)</f>
        <v>0</v>
      </c>
      <c r="H399" s="14">
        <f t="shared" si="6"/>
        <v>0</v>
      </c>
    </row>
    <row r="400" spans="1:8" x14ac:dyDescent="0.35">
      <c r="A400" s="24" t="s">
        <v>185</v>
      </c>
      <c r="B400" s="29">
        <v>46096</v>
      </c>
      <c r="C400" s="24" t="s">
        <v>478</v>
      </c>
      <c r="D400" s="24" t="s">
        <v>167</v>
      </c>
      <c r="E400" s="25">
        <v>5.81</v>
      </c>
      <c r="F400" s="26">
        <v>75.3</v>
      </c>
      <c r="G400" s="30">
        <f>IF(OR(D400="TARDIO",D400="PENDIENTE (TARDÍO)"),'Efectos y supuestos'!$B$8,0)</f>
        <v>0</v>
      </c>
      <c r="H400" s="14">
        <f t="shared" si="6"/>
        <v>0</v>
      </c>
    </row>
    <row r="401" spans="1:8" x14ac:dyDescent="0.35">
      <c r="A401" s="24" t="s">
        <v>186</v>
      </c>
      <c r="B401" s="29">
        <v>46218</v>
      </c>
      <c r="C401" s="24" t="s">
        <v>478</v>
      </c>
      <c r="D401" s="24" t="s">
        <v>167</v>
      </c>
      <c r="E401" s="25">
        <v>20.170000000000002</v>
      </c>
      <c r="F401" s="26">
        <v>105</v>
      </c>
      <c r="G401" s="30">
        <f>IF(OR(D401="TARDIO",D401="PENDIENTE (TARDÍO)"),'Efectos y supuestos'!$B$8,0)</f>
        <v>0</v>
      </c>
      <c r="H401" s="14">
        <f t="shared" si="6"/>
        <v>0</v>
      </c>
    </row>
    <row r="402" spans="1:8" x14ac:dyDescent="0.35">
      <c r="A402" s="24" t="s">
        <v>187</v>
      </c>
      <c r="B402" s="29">
        <v>46218</v>
      </c>
      <c r="C402" s="24" t="s">
        <v>478</v>
      </c>
      <c r="D402" s="24" t="s">
        <v>167</v>
      </c>
      <c r="E402" s="25">
        <v>8.9700000000000006</v>
      </c>
      <c r="F402" s="26">
        <v>105</v>
      </c>
      <c r="G402" s="30">
        <f>IF(OR(D402="TARDIO",D402="PENDIENTE (TARDÍO)"),'Efectos y supuestos'!$B$8,0)</f>
        <v>0</v>
      </c>
      <c r="H402" s="14">
        <f t="shared" si="6"/>
        <v>0</v>
      </c>
    </row>
    <row r="403" spans="1:8" x14ac:dyDescent="0.35">
      <c r="A403" s="24" t="s">
        <v>85</v>
      </c>
      <c r="B403" s="29">
        <v>46218</v>
      </c>
      <c r="C403" s="24" t="s">
        <v>478</v>
      </c>
      <c r="D403" s="24" t="s">
        <v>167</v>
      </c>
      <c r="E403" s="25">
        <v>8.94</v>
      </c>
      <c r="F403" s="26">
        <v>105</v>
      </c>
      <c r="G403" s="30">
        <f>IF(OR(D403="TARDIO",D403="PENDIENTE (TARDÍO)"),'Efectos y supuestos'!$B$8,0)</f>
        <v>0</v>
      </c>
      <c r="H403" s="14">
        <f t="shared" si="6"/>
        <v>0</v>
      </c>
    </row>
    <row r="404" spans="1:8" x14ac:dyDescent="0.35">
      <c r="A404" s="24" t="s">
        <v>189</v>
      </c>
      <c r="B404" s="29">
        <v>46218</v>
      </c>
      <c r="C404" s="24" t="s">
        <v>478</v>
      </c>
      <c r="D404" s="24" t="s">
        <v>167</v>
      </c>
      <c r="E404" s="25">
        <v>8.9700000000000006</v>
      </c>
      <c r="F404" s="26">
        <v>105</v>
      </c>
      <c r="G404" s="30">
        <f>IF(OR(D404="TARDIO",D404="PENDIENTE (TARDÍO)"),'Efectos y supuestos'!$B$8,0)</f>
        <v>0</v>
      </c>
      <c r="H404" s="14">
        <f t="shared" si="6"/>
        <v>0</v>
      </c>
    </row>
    <row r="405" spans="1:8" x14ac:dyDescent="0.35">
      <c r="A405" s="24" t="s">
        <v>191</v>
      </c>
      <c r="B405" s="29">
        <v>46218</v>
      </c>
      <c r="C405" s="24" t="s">
        <v>478</v>
      </c>
      <c r="D405" s="24" t="s">
        <v>167</v>
      </c>
      <c r="E405" s="25">
        <v>6.74</v>
      </c>
      <c r="F405" s="26">
        <v>105</v>
      </c>
      <c r="G405" s="30">
        <f>IF(OR(D405="TARDIO",D405="PENDIENTE (TARDÍO)"),'Efectos y supuestos'!$B$8,0)</f>
        <v>0</v>
      </c>
      <c r="H405" s="14">
        <f t="shared" si="6"/>
        <v>0</v>
      </c>
    </row>
    <row r="406" spans="1:8" x14ac:dyDescent="0.35">
      <c r="A406" s="24" t="s">
        <v>194</v>
      </c>
      <c r="B406" s="29">
        <v>46218</v>
      </c>
      <c r="C406" s="24" t="s">
        <v>478</v>
      </c>
      <c r="D406" s="24" t="s">
        <v>167</v>
      </c>
      <c r="E406" s="25">
        <v>7.92</v>
      </c>
      <c r="F406" s="26">
        <v>105</v>
      </c>
      <c r="G406" s="30">
        <f>IF(OR(D406="TARDIO",D406="PENDIENTE (TARDÍO)"),'Efectos y supuestos'!$B$8,0)</f>
        <v>0</v>
      </c>
      <c r="H406" s="14">
        <f t="shared" si="6"/>
        <v>0</v>
      </c>
    </row>
    <row r="407" spans="1:8" x14ac:dyDescent="0.35">
      <c r="A407" s="24" t="s">
        <v>487</v>
      </c>
      <c r="B407" s="29">
        <v>45976</v>
      </c>
      <c r="C407" s="24" t="s">
        <v>480</v>
      </c>
      <c r="D407" s="24" t="s">
        <v>167</v>
      </c>
      <c r="E407" s="25">
        <v>8.32</v>
      </c>
      <c r="F407" s="26">
        <v>112.4</v>
      </c>
      <c r="G407" s="30">
        <f>IF(OR(D407="TARDIO",D407="PENDIENTE (TARDÍO)"),'Efectos y supuestos'!$B$8,0)</f>
        <v>0</v>
      </c>
      <c r="H407" s="14">
        <f t="shared" si="6"/>
        <v>0</v>
      </c>
    </row>
    <row r="408" spans="1:8" x14ac:dyDescent="0.35">
      <c r="A408" s="24" t="s">
        <v>195</v>
      </c>
      <c r="B408" s="29">
        <v>46218</v>
      </c>
      <c r="C408" s="24" t="s">
        <v>478</v>
      </c>
      <c r="D408" s="24" t="s">
        <v>167</v>
      </c>
      <c r="E408" s="25">
        <v>7.72</v>
      </c>
      <c r="F408" s="26">
        <v>105</v>
      </c>
      <c r="G408" s="30">
        <f>IF(OR(D408="TARDIO",D408="PENDIENTE (TARDÍO)"),'Efectos y supuestos'!$B$8,0)</f>
        <v>0</v>
      </c>
      <c r="H408" s="14">
        <f t="shared" si="6"/>
        <v>0</v>
      </c>
    </row>
    <row r="409" spans="1:8" x14ac:dyDescent="0.35">
      <c r="A409" s="24" t="s">
        <v>488</v>
      </c>
      <c r="B409" s="29">
        <v>46280</v>
      </c>
      <c r="C409" s="24" t="s">
        <v>478</v>
      </c>
      <c r="D409" s="24" t="s">
        <v>167</v>
      </c>
      <c r="E409" s="25">
        <v>11.26</v>
      </c>
      <c r="F409" s="26">
        <v>105</v>
      </c>
      <c r="G409" s="30">
        <f>IF(OR(D409="TARDIO",D409="PENDIENTE (TARDÍO)"),'Efectos y supuestos'!$B$8,0)</f>
        <v>0</v>
      </c>
      <c r="H409" s="14">
        <f t="shared" si="6"/>
        <v>0</v>
      </c>
    </row>
    <row r="410" spans="1:8" x14ac:dyDescent="0.35">
      <c r="A410" s="24" t="s">
        <v>197</v>
      </c>
      <c r="B410" s="29">
        <v>46218</v>
      </c>
      <c r="C410" s="24" t="s">
        <v>478</v>
      </c>
      <c r="D410" s="24" t="s">
        <v>167</v>
      </c>
      <c r="E410" s="25">
        <v>10.74</v>
      </c>
      <c r="F410" s="26">
        <v>105</v>
      </c>
      <c r="G410" s="30">
        <f>IF(OR(D410="TARDIO",D410="PENDIENTE (TARDÍO)"),'Efectos y supuestos'!$B$8,0)</f>
        <v>0</v>
      </c>
      <c r="H410" s="14">
        <f t="shared" si="6"/>
        <v>0</v>
      </c>
    </row>
    <row r="411" spans="1:8" x14ac:dyDescent="0.35">
      <c r="A411" s="24" t="s">
        <v>489</v>
      </c>
      <c r="B411" s="29">
        <v>46218</v>
      </c>
      <c r="C411" s="24" t="s">
        <v>478</v>
      </c>
      <c r="D411" s="24" t="s">
        <v>167</v>
      </c>
      <c r="E411" s="25">
        <v>9.02</v>
      </c>
      <c r="F411" s="26">
        <v>105</v>
      </c>
      <c r="G411" s="30">
        <f>IF(OR(D411="TARDIO",D411="PENDIENTE (TARDÍO)"),'Efectos y supuestos'!$B$8,0)</f>
        <v>0</v>
      </c>
      <c r="H411" s="14">
        <f t="shared" si="6"/>
        <v>0</v>
      </c>
    </row>
    <row r="412" spans="1:8" x14ac:dyDescent="0.35">
      <c r="A412" s="24" t="s">
        <v>490</v>
      </c>
      <c r="B412" s="29">
        <v>46218</v>
      </c>
      <c r="C412" s="24" t="s">
        <v>478</v>
      </c>
      <c r="D412" s="24" t="s">
        <v>167</v>
      </c>
      <c r="E412" s="25">
        <v>8.2799999999999994</v>
      </c>
      <c r="F412" s="26">
        <v>105</v>
      </c>
      <c r="G412" s="30">
        <f>IF(OR(D412="TARDIO",D412="PENDIENTE (TARDÍO)"),'Efectos y supuestos'!$B$8,0)</f>
        <v>0</v>
      </c>
      <c r="H412" s="14">
        <f t="shared" si="6"/>
        <v>0</v>
      </c>
    </row>
    <row r="413" spans="1:8" x14ac:dyDescent="0.35">
      <c r="A413" s="24" t="s">
        <v>491</v>
      </c>
      <c r="B413" s="29">
        <v>46218</v>
      </c>
      <c r="C413" s="24" t="s">
        <v>478</v>
      </c>
      <c r="D413" s="24" t="s">
        <v>167</v>
      </c>
      <c r="E413" s="25">
        <v>7.97</v>
      </c>
      <c r="F413" s="26">
        <v>105</v>
      </c>
      <c r="G413" s="30">
        <f>IF(OR(D413="TARDIO",D413="PENDIENTE (TARDÍO)"),'Efectos y supuestos'!$B$8,0)</f>
        <v>0</v>
      </c>
      <c r="H413" s="14">
        <f t="shared" si="6"/>
        <v>0</v>
      </c>
    </row>
    <row r="414" spans="1:8" x14ac:dyDescent="0.35">
      <c r="A414" s="24" t="s">
        <v>492</v>
      </c>
      <c r="B414" s="29">
        <v>46006</v>
      </c>
      <c r="C414" s="24" t="s">
        <v>480</v>
      </c>
      <c r="D414" s="24" t="s">
        <v>167</v>
      </c>
      <c r="E414" s="25">
        <v>13.87</v>
      </c>
      <c r="F414" s="26">
        <v>129.69999999999999</v>
      </c>
      <c r="G414" s="30">
        <f>IF(OR(D414="TARDIO",D414="PENDIENTE (TARDÍO)"),'Efectos y supuestos'!$B$8,0)</f>
        <v>0</v>
      </c>
      <c r="H414" s="14">
        <f t="shared" si="6"/>
        <v>0</v>
      </c>
    </row>
    <row r="415" spans="1:8" x14ac:dyDescent="0.35">
      <c r="A415" s="24" t="s">
        <v>199</v>
      </c>
      <c r="B415" s="29">
        <v>46218</v>
      </c>
      <c r="C415" s="24" t="s">
        <v>478</v>
      </c>
      <c r="D415" s="24" t="s">
        <v>167</v>
      </c>
      <c r="E415" s="25">
        <v>11.44</v>
      </c>
      <c r="F415" s="26">
        <v>105</v>
      </c>
      <c r="G415" s="30">
        <f>IF(OR(D415="TARDIO",D415="PENDIENTE (TARDÍO)"),'Efectos y supuestos'!$B$8,0)</f>
        <v>0</v>
      </c>
      <c r="H415" s="14">
        <f t="shared" si="6"/>
        <v>0</v>
      </c>
    </row>
    <row r="416" spans="1:8" x14ac:dyDescent="0.35">
      <c r="A416" s="24" t="s">
        <v>493</v>
      </c>
      <c r="B416" s="29">
        <v>46006</v>
      </c>
      <c r="C416" s="24" t="s">
        <v>480</v>
      </c>
      <c r="D416" s="24" t="s">
        <v>167</v>
      </c>
      <c r="E416" s="25">
        <v>9.23</v>
      </c>
      <c r="F416" s="26">
        <v>95.9</v>
      </c>
      <c r="G416" s="30">
        <f>IF(OR(D416="TARDIO",D416="PENDIENTE (TARDÍO)"),'Efectos y supuestos'!$B$8,0)</f>
        <v>0</v>
      </c>
      <c r="H416" s="14">
        <f t="shared" si="6"/>
        <v>0</v>
      </c>
    </row>
    <row r="417" spans="1:8" x14ac:dyDescent="0.35">
      <c r="A417" s="24" t="s">
        <v>494</v>
      </c>
      <c r="B417" s="29">
        <v>45976</v>
      </c>
      <c r="C417" s="24" t="s">
        <v>480</v>
      </c>
      <c r="D417" s="24" t="s">
        <v>167</v>
      </c>
      <c r="E417" s="25">
        <v>5.0199999999999996</v>
      </c>
      <c r="F417" s="26">
        <v>86.9</v>
      </c>
      <c r="G417" s="30">
        <f>IF(OR(D417="TARDIO",D417="PENDIENTE (TARDÍO)"),'Efectos y supuestos'!$B$8,0)</f>
        <v>0</v>
      </c>
      <c r="H417" s="14">
        <f t="shared" si="6"/>
        <v>0</v>
      </c>
    </row>
    <row r="418" spans="1:8" x14ac:dyDescent="0.35">
      <c r="A418" s="24" t="s">
        <v>87</v>
      </c>
      <c r="B418" s="29">
        <v>46188</v>
      </c>
      <c r="C418" s="24" t="s">
        <v>478</v>
      </c>
      <c r="D418" s="24" t="s">
        <v>167</v>
      </c>
      <c r="E418" s="25">
        <v>10.18</v>
      </c>
      <c r="F418" s="26">
        <v>105</v>
      </c>
      <c r="G418" s="30">
        <f>IF(OR(D418="TARDIO",D418="PENDIENTE (TARDÍO)"),'Efectos y supuestos'!$B$8,0)</f>
        <v>0</v>
      </c>
      <c r="H418" s="14">
        <f t="shared" si="6"/>
        <v>0</v>
      </c>
    </row>
    <row r="419" spans="1:8" x14ac:dyDescent="0.35">
      <c r="A419" s="24" t="s">
        <v>495</v>
      </c>
      <c r="B419" s="29">
        <v>45976</v>
      </c>
      <c r="C419" s="24" t="s">
        <v>480</v>
      </c>
      <c r="D419" s="24" t="s">
        <v>167</v>
      </c>
      <c r="E419" s="25">
        <v>18.23</v>
      </c>
      <c r="F419" s="26">
        <v>98</v>
      </c>
      <c r="G419" s="30">
        <f>IF(OR(D419="TARDIO",D419="PENDIENTE (TARDÍO)"),'Efectos y supuestos'!$B$8,0)</f>
        <v>0</v>
      </c>
      <c r="H419" s="14">
        <f t="shared" si="6"/>
        <v>0</v>
      </c>
    </row>
    <row r="420" spans="1:8" x14ac:dyDescent="0.35">
      <c r="A420" s="24" t="s">
        <v>496</v>
      </c>
      <c r="B420" s="29">
        <v>45976</v>
      </c>
      <c r="C420" s="24" t="s">
        <v>480</v>
      </c>
      <c r="D420" s="24" t="s">
        <v>167</v>
      </c>
      <c r="E420" s="25">
        <v>11.13</v>
      </c>
      <c r="F420" s="26">
        <v>95.3</v>
      </c>
      <c r="G420" s="30">
        <f>IF(OR(D420="TARDIO",D420="PENDIENTE (TARDÍO)"),'Efectos y supuestos'!$B$8,0)</f>
        <v>0</v>
      </c>
      <c r="H420" s="14">
        <f t="shared" si="6"/>
        <v>0</v>
      </c>
    </row>
    <row r="421" spans="1:8" x14ac:dyDescent="0.35">
      <c r="A421" s="24" t="s">
        <v>202</v>
      </c>
      <c r="B421" s="29">
        <v>46188</v>
      </c>
      <c r="C421" s="24" t="s">
        <v>478</v>
      </c>
      <c r="D421" s="24" t="s">
        <v>167</v>
      </c>
      <c r="E421" s="25">
        <v>10.18</v>
      </c>
      <c r="F421" s="26">
        <v>83.3</v>
      </c>
      <c r="G421" s="30">
        <f>IF(OR(D421="TARDIO",D421="PENDIENTE (TARDÍO)"),'Efectos y supuestos'!$B$8,0)</f>
        <v>0</v>
      </c>
      <c r="H421" s="14">
        <f t="shared" si="6"/>
        <v>0</v>
      </c>
    </row>
    <row r="422" spans="1:8" x14ac:dyDescent="0.35">
      <c r="A422" s="24" t="s">
        <v>119</v>
      </c>
      <c r="B422" s="29">
        <v>45976</v>
      </c>
      <c r="C422" s="24" t="s">
        <v>478</v>
      </c>
      <c r="D422" s="24" t="s">
        <v>167</v>
      </c>
      <c r="E422" s="25">
        <v>11.96</v>
      </c>
      <c r="F422" s="26">
        <v>105.4</v>
      </c>
      <c r="G422" s="30">
        <f>IF(OR(D422="TARDIO",D422="PENDIENTE (TARDÍO)"),'Efectos y supuestos'!$B$8,0)</f>
        <v>0</v>
      </c>
      <c r="H422" s="14">
        <f t="shared" si="6"/>
        <v>0</v>
      </c>
    </row>
    <row r="423" spans="1:8" x14ac:dyDescent="0.35">
      <c r="A423" s="24" t="s">
        <v>88</v>
      </c>
      <c r="B423" s="29">
        <v>46218</v>
      </c>
      <c r="C423" s="24" t="s">
        <v>478</v>
      </c>
      <c r="D423" s="24" t="s">
        <v>167</v>
      </c>
      <c r="E423" s="25">
        <v>4.74</v>
      </c>
      <c r="F423" s="26">
        <v>105</v>
      </c>
      <c r="G423" s="30">
        <f>IF(OR(D423="TARDIO",D423="PENDIENTE (TARDÍO)"),'Efectos y supuestos'!$B$8,0)</f>
        <v>0</v>
      </c>
      <c r="H423" s="14">
        <f t="shared" si="6"/>
        <v>0</v>
      </c>
    </row>
    <row r="424" spans="1:8" x14ac:dyDescent="0.35">
      <c r="A424" s="24" t="s">
        <v>497</v>
      </c>
      <c r="B424" s="29">
        <v>45976</v>
      </c>
      <c r="C424" s="24" t="s">
        <v>480</v>
      </c>
      <c r="D424" s="24" t="s">
        <v>167</v>
      </c>
      <c r="E424" s="25">
        <v>9.41</v>
      </c>
      <c r="F424" s="26">
        <v>110.7</v>
      </c>
      <c r="G424" s="30">
        <f>IF(OR(D424="TARDIO",D424="PENDIENTE (TARDÍO)"),'Efectos y supuestos'!$B$8,0)</f>
        <v>0</v>
      </c>
      <c r="H424" s="14">
        <f t="shared" si="6"/>
        <v>0</v>
      </c>
    </row>
    <row r="425" spans="1:8" x14ac:dyDescent="0.35">
      <c r="A425" s="24" t="s">
        <v>498</v>
      </c>
      <c r="B425" s="29">
        <v>45976</v>
      </c>
      <c r="C425" s="24" t="s">
        <v>480</v>
      </c>
      <c r="D425" s="24" t="s">
        <v>167</v>
      </c>
      <c r="E425" s="25">
        <v>13.45</v>
      </c>
      <c r="F425" s="26">
        <v>108.1</v>
      </c>
      <c r="G425" s="30">
        <f>IF(OR(D425="TARDIO",D425="PENDIENTE (TARDÍO)"),'Efectos y supuestos'!$B$8,0)</f>
        <v>0</v>
      </c>
      <c r="H425" s="14">
        <f t="shared" si="6"/>
        <v>0</v>
      </c>
    </row>
    <row r="426" spans="1:8" x14ac:dyDescent="0.35">
      <c r="A426" s="24" t="s">
        <v>203</v>
      </c>
      <c r="B426" s="29">
        <v>46188</v>
      </c>
      <c r="C426" s="24" t="s">
        <v>478</v>
      </c>
      <c r="D426" s="24" t="s">
        <v>167</v>
      </c>
      <c r="E426" s="25">
        <v>13.85</v>
      </c>
      <c r="F426" s="26">
        <v>105</v>
      </c>
      <c r="G426" s="30">
        <f>IF(OR(D426="TARDIO",D426="PENDIENTE (TARDÍO)"),'Efectos y supuestos'!$B$8,0)</f>
        <v>0</v>
      </c>
      <c r="H426" s="14">
        <f t="shared" si="6"/>
        <v>0</v>
      </c>
    </row>
    <row r="427" spans="1:8" x14ac:dyDescent="0.35">
      <c r="A427" s="24" t="s">
        <v>90</v>
      </c>
      <c r="B427" s="29">
        <v>46280</v>
      </c>
      <c r="C427" s="24" t="s">
        <v>478</v>
      </c>
      <c r="D427" s="24" t="s">
        <v>167</v>
      </c>
      <c r="E427" s="25">
        <v>7.28</v>
      </c>
      <c r="F427" s="26">
        <v>105</v>
      </c>
      <c r="G427" s="30">
        <f>IF(OR(D427="TARDIO",D427="PENDIENTE (TARDÍO)"),'Efectos y supuestos'!$B$8,0)</f>
        <v>0</v>
      </c>
      <c r="H427" s="14">
        <f t="shared" si="6"/>
        <v>0</v>
      </c>
    </row>
    <row r="428" spans="1:8" x14ac:dyDescent="0.35">
      <c r="A428" s="24" t="s">
        <v>499</v>
      </c>
      <c r="B428" s="29">
        <v>46006</v>
      </c>
      <c r="C428" s="24" t="s">
        <v>480</v>
      </c>
      <c r="D428" s="24" t="s">
        <v>167</v>
      </c>
      <c r="E428" s="25">
        <v>7.1</v>
      </c>
      <c r="F428" s="26">
        <v>115.4</v>
      </c>
      <c r="G428" s="30">
        <f>IF(OR(D428="TARDIO",D428="PENDIENTE (TARDÍO)"),'Efectos y supuestos'!$B$8,0)</f>
        <v>0</v>
      </c>
      <c r="H428" s="14">
        <f t="shared" si="6"/>
        <v>0</v>
      </c>
    </row>
    <row r="429" spans="1:8" x14ac:dyDescent="0.35">
      <c r="A429" s="24" t="s">
        <v>207</v>
      </c>
      <c r="B429" s="29">
        <v>46218</v>
      </c>
      <c r="C429" s="24" t="s">
        <v>478</v>
      </c>
      <c r="D429" s="24" t="s">
        <v>167</v>
      </c>
      <c r="E429" s="25">
        <v>4.07</v>
      </c>
      <c r="F429" s="26">
        <v>105</v>
      </c>
      <c r="G429" s="30">
        <f>IF(OR(D429="TARDIO",D429="PENDIENTE (TARDÍO)"),'Efectos y supuestos'!$B$8,0)</f>
        <v>0</v>
      </c>
      <c r="H429" s="14">
        <f t="shared" si="6"/>
        <v>0</v>
      </c>
    </row>
    <row r="430" spans="1:8" x14ac:dyDescent="0.35">
      <c r="A430" s="24" t="s">
        <v>500</v>
      </c>
      <c r="B430" s="29">
        <v>45976</v>
      </c>
      <c r="C430" s="24" t="s">
        <v>480</v>
      </c>
      <c r="D430" s="24" t="s">
        <v>167</v>
      </c>
      <c r="E430" s="25">
        <v>4.43</v>
      </c>
      <c r="F430" s="26">
        <v>130</v>
      </c>
      <c r="G430" s="30">
        <f>IF(OR(D430="TARDIO",D430="PENDIENTE (TARDÍO)"),'Efectos y supuestos'!$B$8,0)</f>
        <v>0</v>
      </c>
      <c r="H430" s="14">
        <f t="shared" si="6"/>
        <v>0</v>
      </c>
    </row>
    <row r="431" spans="1:8" x14ac:dyDescent="0.35">
      <c r="A431" s="24" t="s">
        <v>501</v>
      </c>
      <c r="B431" s="29">
        <v>45976</v>
      </c>
      <c r="C431" s="24" t="s">
        <v>480</v>
      </c>
      <c r="D431" s="24" t="s">
        <v>167</v>
      </c>
      <c r="E431" s="25">
        <v>10.63</v>
      </c>
      <c r="F431" s="26">
        <v>132.1</v>
      </c>
      <c r="G431" s="30">
        <f>IF(OR(D431="TARDIO",D431="PENDIENTE (TARDÍO)"),'Efectos y supuestos'!$B$8,0)</f>
        <v>0</v>
      </c>
      <c r="H431" s="14">
        <f t="shared" si="6"/>
        <v>0</v>
      </c>
    </row>
    <row r="432" spans="1:8" x14ac:dyDescent="0.35">
      <c r="A432" s="24" t="s">
        <v>208</v>
      </c>
      <c r="B432" s="29">
        <v>46127</v>
      </c>
      <c r="C432" s="24" t="s">
        <v>478</v>
      </c>
      <c r="D432" s="24" t="s">
        <v>167</v>
      </c>
      <c r="E432" s="25">
        <v>19.329999999999998</v>
      </c>
      <c r="F432" s="26">
        <v>118.4</v>
      </c>
      <c r="G432" s="30">
        <f>IF(OR(D432="TARDIO",D432="PENDIENTE (TARDÍO)"),'Efectos y supuestos'!$B$8,0)</f>
        <v>0</v>
      </c>
      <c r="H432" s="14">
        <f t="shared" si="6"/>
        <v>0</v>
      </c>
    </row>
    <row r="433" spans="1:8" x14ac:dyDescent="0.35">
      <c r="A433" s="24" t="s">
        <v>502</v>
      </c>
      <c r="B433" s="29">
        <v>46280</v>
      </c>
      <c r="C433" s="24" t="s">
        <v>478</v>
      </c>
      <c r="D433" s="24" t="s">
        <v>167</v>
      </c>
      <c r="E433" s="25">
        <v>15.55</v>
      </c>
      <c r="F433" s="26">
        <v>105</v>
      </c>
      <c r="G433" s="30">
        <f>IF(OR(D433="TARDIO",D433="PENDIENTE (TARDÍO)"),'Efectos y supuestos'!$B$8,0)</f>
        <v>0</v>
      </c>
      <c r="H433" s="14">
        <f t="shared" si="6"/>
        <v>0</v>
      </c>
    </row>
    <row r="434" spans="1:8" x14ac:dyDescent="0.35">
      <c r="A434" s="24" t="s">
        <v>391</v>
      </c>
      <c r="B434" s="29">
        <v>46280</v>
      </c>
      <c r="C434" s="24" t="s">
        <v>478</v>
      </c>
      <c r="D434" s="24" t="s">
        <v>167</v>
      </c>
      <c r="E434" s="25">
        <v>6.39</v>
      </c>
      <c r="F434" s="26">
        <v>105</v>
      </c>
      <c r="G434" s="30">
        <f>IF(OR(D434="TARDIO",D434="PENDIENTE (TARDÍO)"),'Efectos y supuestos'!$B$8,0)</f>
        <v>0</v>
      </c>
      <c r="H434" s="14">
        <f t="shared" si="6"/>
        <v>0</v>
      </c>
    </row>
    <row r="435" spans="1:8" x14ac:dyDescent="0.35">
      <c r="A435" s="24" t="s">
        <v>213</v>
      </c>
      <c r="B435" s="29">
        <v>46249</v>
      </c>
      <c r="C435" s="24" t="s">
        <v>478</v>
      </c>
      <c r="D435" s="24" t="s">
        <v>167</v>
      </c>
      <c r="E435" s="25">
        <v>11.1</v>
      </c>
      <c r="F435" s="26">
        <v>105</v>
      </c>
      <c r="G435" s="30">
        <f>IF(OR(D435="TARDIO",D435="PENDIENTE (TARDÍO)"),'Efectos y supuestos'!$B$8,0)</f>
        <v>0</v>
      </c>
      <c r="H435" s="14">
        <f t="shared" si="6"/>
        <v>0</v>
      </c>
    </row>
    <row r="436" spans="1:8" x14ac:dyDescent="0.35">
      <c r="A436" s="24" t="s">
        <v>214</v>
      </c>
      <c r="B436" s="29">
        <v>46280</v>
      </c>
      <c r="C436" s="24" t="s">
        <v>478</v>
      </c>
      <c r="D436" s="24" t="s">
        <v>167</v>
      </c>
      <c r="E436" s="25">
        <v>17.559999999999999</v>
      </c>
      <c r="F436" s="26">
        <v>105</v>
      </c>
      <c r="G436" s="30">
        <f>IF(OR(D436="TARDIO",D436="PENDIENTE (TARDÍO)"),'Efectos y supuestos'!$B$8,0)</f>
        <v>0</v>
      </c>
      <c r="H436" s="14">
        <f t="shared" si="6"/>
        <v>0</v>
      </c>
    </row>
    <row r="437" spans="1:8" x14ac:dyDescent="0.35">
      <c r="A437" s="24" t="s">
        <v>503</v>
      </c>
      <c r="B437" s="29">
        <v>45976</v>
      </c>
      <c r="C437" s="24" t="s">
        <v>480</v>
      </c>
      <c r="D437" s="24" t="s">
        <v>167</v>
      </c>
      <c r="E437" s="25">
        <v>3.01</v>
      </c>
      <c r="F437" s="26">
        <v>108.9</v>
      </c>
      <c r="G437" s="30">
        <f>IF(OR(D437="TARDIO",D437="PENDIENTE (TARDÍO)"),'Efectos y supuestos'!$B$8,0)</f>
        <v>0</v>
      </c>
      <c r="H437" s="14">
        <f t="shared" si="6"/>
        <v>0</v>
      </c>
    </row>
    <row r="438" spans="1:8" x14ac:dyDescent="0.35">
      <c r="A438" s="24" t="s">
        <v>504</v>
      </c>
      <c r="B438" s="29">
        <v>45976</v>
      </c>
      <c r="C438" s="24" t="s">
        <v>480</v>
      </c>
      <c r="D438" s="24" t="s">
        <v>167</v>
      </c>
      <c r="E438" s="25">
        <v>10.54</v>
      </c>
      <c r="F438" s="26">
        <v>111</v>
      </c>
      <c r="G438" s="30">
        <f>IF(OR(D438="TARDIO",D438="PENDIENTE (TARDÍO)"),'Efectos y supuestos'!$B$8,0)</f>
        <v>0</v>
      </c>
      <c r="H438" s="14">
        <f t="shared" si="6"/>
        <v>0</v>
      </c>
    </row>
    <row r="439" spans="1:8" x14ac:dyDescent="0.35">
      <c r="A439" s="24" t="s">
        <v>505</v>
      </c>
      <c r="B439" s="29">
        <v>45976</v>
      </c>
      <c r="C439" s="24" t="s">
        <v>480</v>
      </c>
      <c r="D439" s="24" t="s">
        <v>167</v>
      </c>
      <c r="E439" s="25">
        <v>4.46</v>
      </c>
      <c r="F439" s="26">
        <v>81.099999999999994</v>
      </c>
      <c r="G439" s="30">
        <f>IF(OR(D439="TARDIO",D439="PENDIENTE (TARDÍO)"),'Efectos y supuestos'!$B$8,0)</f>
        <v>0</v>
      </c>
      <c r="H439" s="14">
        <f t="shared" si="6"/>
        <v>0</v>
      </c>
    </row>
    <row r="440" spans="1:8" x14ac:dyDescent="0.35">
      <c r="A440" s="24" t="s">
        <v>121</v>
      </c>
      <c r="B440" s="29">
        <v>45976</v>
      </c>
      <c r="C440" s="24" t="s">
        <v>480</v>
      </c>
      <c r="D440" s="24" t="s">
        <v>167</v>
      </c>
      <c r="E440" s="25">
        <v>5.26</v>
      </c>
      <c r="F440" s="26">
        <v>107.9</v>
      </c>
      <c r="G440" s="30">
        <f>IF(OR(D440="TARDIO",D440="PENDIENTE (TARDÍO)"),'Efectos y supuestos'!$B$8,0)</f>
        <v>0</v>
      </c>
      <c r="H440" s="14">
        <f t="shared" si="6"/>
        <v>0</v>
      </c>
    </row>
    <row r="441" spans="1:8" x14ac:dyDescent="0.35">
      <c r="A441" s="24" t="s">
        <v>506</v>
      </c>
      <c r="B441" s="29">
        <v>46006</v>
      </c>
      <c r="C441" s="24" t="s">
        <v>480</v>
      </c>
      <c r="D441" s="24" t="s">
        <v>167</v>
      </c>
      <c r="E441" s="25">
        <v>8.82</v>
      </c>
      <c r="F441" s="26">
        <v>84.7</v>
      </c>
      <c r="G441" s="30">
        <f>IF(OR(D441="TARDIO",D441="PENDIENTE (TARDÍO)"),'Efectos y supuestos'!$B$8,0)</f>
        <v>0</v>
      </c>
      <c r="H441" s="14">
        <f t="shared" si="6"/>
        <v>0</v>
      </c>
    </row>
    <row r="442" spans="1:8" x14ac:dyDescent="0.35">
      <c r="A442" s="24" t="s">
        <v>217</v>
      </c>
      <c r="B442" s="29">
        <v>46068</v>
      </c>
      <c r="C442" s="24" t="s">
        <v>478</v>
      </c>
      <c r="D442" s="24" t="s">
        <v>167</v>
      </c>
      <c r="E442" s="25">
        <v>17.59</v>
      </c>
      <c r="F442" s="26">
        <v>92.5</v>
      </c>
      <c r="G442" s="30">
        <f>IF(OR(D442="TARDIO",D442="PENDIENTE (TARDÍO)"),'Efectos y supuestos'!$B$8,0)</f>
        <v>0</v>
      </c>
      <c r="H442" s="14">
        <f t="shared" ref="H442:H505" si="7">-G442*F442*E442</f>
        <v>0</v>
      </c>
    </row>
    <row r="443" spans="1:8" x14ac:dyDescent="0.35">
      <c r="A443" s="24" t="s">
        <v>416</v>
      </c>
      <c r="B443" s="29">
        <v>46096</v>
      </c>
      <c r="C443" s="24" t="s">
        <v>478</v>
      </c>
      <c r="D443" s="24" t="s">
        <v>167</v>
      </c>
      <c r="E443" s="25">
        <v>8.52</v>
      </c>
      <c r="F443" s="26">
        <v>125.9</v>
      </c>
      <c r="G443" s="30">
        <f>IF(OR(D443="TARDIO",D443="PENDIENTE (TARDÍO)"),'Efectos y supuestos'!$B$8,0)</f>
        <v>0</v>
      </c>
      <c r="H443" s="14">
        <f t="shared" si="7"/>
        <v>0</v>
      </c>
    </row>
    <row r="444" spans="1:8" x14ac:dyDescent="0.35">
      <c r="A444" s="24" t="s">
        <v>219</v>
      </c>
      <c r="B444" s="29">
        <v>46280</v>
      </c>
      <c r="C444" s="24" t="s">
        <v>478</v>
      </c>
      <c r="D444" s="24" t="s">
        <v>167</v>
      </c>
      <c r="E444" s="25">
        <v>5.59</v>
      </c>
      <c r="F444" s="26">
        <v>105</v>
      </c>
      <c r="G444" s="30">
        <f>IF(OR(D444="TARDIO",D444="PENDIENTE (TARDÍO)"),'Efectos y supuestos'!$B$8,0)</f>
        <v>0</v>
      </c>
      <c r="H444" s="14">
        <f t="shared" si="7"/>
        <v>0</v>
      </c>
    </row>
    <row r="445" spans="1:8" x14ac:dyDescent="0.35">
      <c r="A445" s="24" t="s">
        <v>461</v>
      </c>
      <c r="B445" s="29">
        <v>46068</v>
      </c>
      <c r="C445" s="24" t="s">
        <v>478</v>
      </c>
      <c r="D445" s="24" t="s">
        <v>167</v>
      </c>
      <c r="E445" s="25">
        <v>5.53</v>
      </c>
      <c r="F445" s="26">
        <v>105.1</v>
      </c>
      <c r="G445" s="30">
        <f>IF(OR(D445="TARDIO",D445="PENDIENTE (TARDÍO)"),'Efectos y supuestos'!$B$8,0)</f>
        <v>0</v>
      </c>
      <c r="H445" s="14">
        <f t="shared" si="7"/>
        <v>0</v>
      </c>
    </row>
    <row r="446" spans="1:8" x14ac:dyDescent="0.35">
      <c r="A446" s="24" t="s">
        <v>507</v>
      </c>
      <c r="B446" s="29">
        <v>45976</v>
      </c>
      <c r="C446" s="24" t="s">
        <v>480</v>
      </c>
      <c r="D446" s="24" t="s">
        <v>167</v>
      </c>
      <c r="E446" s="25">
        <v>2.34</v>
      </c>
      <c r="F446" s="26">
        <v>122.9</v>
      </c>
      <c r="G446" s="30">
        <f>IF(OR(D446="TARDIO",D446="PENDIENTE (TARDÍO)"),'Efectos y supuestos'!$B$8,0)</f>
        <v>0</v>
      </c>
      <c r="H446" s="14">
        <f t="shared" si="7"/>
        <v>0</v>
      </c>
    </row>
    <row r="447" spans="1:8" x14ac:dyDescent="0.35">
      <c r="A447" s="24" t="s">
        <v>417</v>
      </c>
      <c r="B447" s="29">
        <v>46127</v>
      </c>
      <c r="C447" s="24" t="s">
        <v>478</v>
      </c>
      <c r="D447" s="24" t="s">
        <v>167</v>
      </c>
      <c r="E447" s="25">
        <v>1.84</v>
      </c>
      <c r="F447" s="26">
        <v>105</v>
      </c>
      <c r="G447" s="30">
        <f>IF(OR(D447="TARDIO",D447="PENDIENTE (TARDÍO)"),'Efectos y supuestos'!$B$8,0)</f>
        <v>0</v>
      </c>
      <c r="H447" s="14">
        <f t="shared" si="7"/>
        <v>0</v>
      </c>
    </row>
    <row r="448" spans="1:8" x14ac:dyDescent="0.35">
      <c r="A448" s="24" t="s">
        <v>225</v>
      </c>
      <c r="B448" s="29">
        <v>46068</v>
      </c>
      <c r="C448" s="24" t="s">
        <v>478</v>
      </c>
      <c r="D448" s="24" t="s">
        <v>167</v>
      </c>
      <c r="E448" s="25">
        <v>11.97</v>
      </c>
      <c r="F448" s="26">
        <v>97.1</v>
      </c>
      <c r="G448" s="30">
        <f>IF(OR(D448="TARDIO",D448="PENDIENTE (TARDÍO)"),'Efectos y supuestos'!$B$8,0)</f>
        <v>0</v>
      </c>
      <c r="H448" s="14">
        <f t="shared" si="7"/>
        <v>0</v>
      </c>
    </row>
    <row r="449" spans="1:8" x14ac:dyDescent="0.35">
      <c r="A449" s="24" t="s">
        <v>508</v>
      </c>
      <c r="B449" s="29">
        <v>46096</v>
      </c>
      <c r="C449" s="24" t="s">
        <v>478</v>
      </c>
      <c r="D449" s="24" t="s">
        <v>167</v>
      </c>
      <c r="E449" s="25">
        <v>4.47</v>
      </c>
      <c r="F449" s="26">
        <v>126.7</v>
      </c>
      <c r="G449" s="30">
        <f>IF(OR(D449="TARDIO",D449="PENDIENTE (TARDÍO)"),'Efectos y supuestos'!$B$8,0)</f>
        <v>0</v>
      </c>
      <c r="H449" s="14">
        <f t="shared" si="7"/>
        <v>0</v>
      </c>
    </row>
    <row r="450" spans="1:8" x14ac:dyDescent="0.35">
      <c r="A450" s="24" t="s">
        <v>509</v>
      </c>
      <c r="B450" s="29">
        <v>46096</v>
      </c>
      <c r="C450" s="24" t="s">
        <v>478</v>
      </c>
      <c r="D450" s="24" t="s">
        <v>167</v>
      </c>
      <c r="E450" s="25">
        <v>5.1100000000000003</v>
      </c>
      <c r="F450" s="26">
        <v>110.6</v>
      </c>
      <c r="G450" s="30">
        <f>IF(OR(D450="TARDIO",D450="PENDIENTE (TARDÍO)"),'Efectos y supuestos'!$B$8,0)</f>
        <v>0</v>
      </c>
      <c r="H450" s="14">
        <f t="shared" si="7"/>
        <v>0</v>
      </c>
    </row>
    <row r="451" spans="1:8" x14ac:dyDescent="0.35">
      <c r="A451" s="24" t="s">
        <v>510</v>
      </c>
      <c r="B451" s="29">
        <v>46096</v>
      </c>
      <c r="C451" s="24" t="s">
        <v>478</v>
      </c>
      <c r="D451" s="24" t="s">
        <v>167</v>
      </c>
      <c r="E451" s="25">
        <v>7.4</v>
      </c>
      <c r="F451" s="26">
        <v>87.5</v>
      </c>
      <c r="G451" s="30">
        <f>IF(OR(D451="TARDIO",D451="PENDIENTE (TARDÍO)"),'Efectos y supuestos'!$B$8,0)</f>
        <v>0</v>
      </c>
      <c r="H451" s="14">
        <f t="shared" si="7"/>
        <v>0</v>
      </c>
    </row>
    <row r="452" spans="1:8" x14ac:dyDescent="0.35">
      <c r="A452" s="24" t="s">
        <v>511</v>
      </c>
      <c r="B452" s="29">
        <v>46006</v>
      </c>
      <c r="C452" s="24" t="s">
        <v>480</v>
      </c>
      <c r="D452" s="24" t="s">
        <v>167</v>
      </c>
      <c r="E452" s="25">
        <v>3.56</v>
      </c>
      <c r="F452" s="26">
        <v>86.9</v>
      </c>
      <c r="G452" s="30">
        <f>IF(OR(D452="TARDIO",D452="PENDIENTE (TARDÍO)"),'Efectos y supuestos'!$B$8,0)</f>
        <v>0</v>
      </c>
      <c r="H452" s="14">
        <f t="shared" si="7"/>
        <v>0</v>
      </c>
    </row>
    <row r="453" spans="1:8" x14ac:dyDescent="0.35">
      <c r="A453" s="24" t="s">
        <v>238</v>
      </c>
      <c r="B453" s="29">
        <v>46037</v>
      </c>
      <c r="C453" s="24" t="s">
        <v>480</v>
      </c>
      <c r="D453" s="24" t="s">
        <v>167</v>
      </c>
      <c r="E453" s="25">
        <v>9.6300000000000008</v>
      </c>
      <c r="F453" s="26">
        <v>89.1</v>
      </c>
      <c r="G453" s="30">
        <f>IF(OR(D453="TARDIO",D453="PENDIENTE (TARDÍO)"),'Efectos y supuestos'!$B$8,0)</f>
        <v>0</v>
      </c>
      <c r="H453" s="14">
        <f t="shared" si="7"/>
        <v>0</v>
      </c>
    </row>
    <row r="454" spans="1:8" x14ac:dyDescent="0.35">
      <c r="A454" s="24" t="s">
        <v>239</v>
      </c>
      <c r="B454" s="29">
        <v>46280</v>
      </c>
      <c r="C454" s="24" t="s">
        <v>478</v>
      </c>
      <c r="D454" s="24" t="s">
        <v>167</v>
      </c>
      <c r="E454" s="25">
        <v>9.01</v>
      </c>
      <c r="F454" s="26">
        <v>105</v>
      </c>
      <c r="G454" s="30">
        <f>IF(OR(D454="TARDIO",D454="PENDIENTE (TARDÍO)"),'Efectos y supuestos'!$B$8,0)</f>
        <v>0</v>
      </c>
      <c r="H454" s="14">
        <f t="shared" si="7"/>
        <v>0</v>
      </c>
    </row>
    <row r="455" spans="1:8" x14ac:dyDescent="0.35">
      <c r="A455" s="24" t="s">
        <v>512</v>
      </c>
      <c r="B455" s="29">
        <v>46006</v>
      </c>
      <c r="C455" s="24" t="s">
        <v>480</v>
      </c>
      <c r="D455" s="24" t="s">
        <v>167</v>
      </c>
      <c r="E455" s="25">
        <v>16.27</v>
      </c>
      <c r="F455" s="26">
        <v>93.2</v>
      </c>
      <c r="G455" s="30">
        <f>IF(OR(D455="TARDIO",D455="PENDIENTE (TARDÍO)"),'Efectos y supuestos'!$B$8,0)</f>
        <v>0</v>
      </c>
      <c r="H455" s="14">
        <f t="shared" si="7"/>
        <v>0</v>
      </c>
    </row>
    <row r="456" spans="1:8" x14ac:dyDescent="0.35">
      <c r="A456" s="24" t="s">
        <v>513</v>
      </c>
      <c r="B456" s="29">
        <v>46006</v>
      </c>
      <c r="C456" s="24" t="s">
        <v>480</v>
      </c>
      <c r="D456" s="24" t="s">
        <v>167</v>
      </c>
      <c r="E456" s="25">
        <v>12.62</v>
      </c>
      <c r="F456" s="26">
        <v>93.3</v>
      </c>
      <c r="G456" s="30">
        <f>IF(OR(D456="TARDIO",D456="PENDIENTE (TARDÍO)"),'Efectos y supuestos'!$B$8,0)</f>
        <v>0</v>
      </c>
      <c r="H456" s="14">
        <f t="shared" si="7"/>
        <v>0</v>
      </c>
    </row>
    <row r="457" spans="1:8" x14ac:dyDescent="0.35">
      <c r="A457" s="24" t="s">
        <v>514</v>
      </c>
      <c r="B457" s="29">
        <v>46006</v>
      </c>
      <c r="C457" s="24" t="s">
        <v>480</v>
      </c>
      <c r="D457" s="24" t="s">
        <v>167</v>
      </c>
      <c r="E457" s="25">
        <v>3.17</v>
      </c>
      <c r="F457" s="26">
        <v>91.6</v>
      </c>
      <c r="G457" s="30">
        <f>IF(OR(D457="TARDIO",D457="PENDIENTE (TARDÍO)"),'Efectos y supuestos'!$B$8,0)</f>
        <v>0</v>
      </c>
      <c r="H457" s="14">
        <f t="shared" si="7"/>
        <v>0</v>
      </c>
    </row>
    <row r="458" spans="1:8" x14ac:dyDescent="0.35">
      <c r="A458" s="24" t="s">
        <v>515</v>
      </c>
      <c r="B458" s="29">
        <v>46006</v>
      </c>
      <c r="C458" s="24" t="s">
        <v>480</v>
      </c>
      <c r="D458" s="24" t="s">
        <v>167</v>
      </c>
      <c r="E458" s="25">
        <v>11.92</v>
      </c>
      <c r="F458" s="26">
        <v>82.4</v>
      </c>
      <c r="G458" s="30">
        <f>IF(OR(D458="TARDIO",D458="PENDIENTE (TARDÍO)"),'Efectos y supuestos'!$B$8,0)</f>
        <v>0</v>
      </c>
      <c r="H458" s="14">
        <f t="shared" si="7"/>
        <v>0</v>
      </c>
    </row>
    <row r="459" spans="1:8" x14ac:dyDescent="0.35">
      <c r="A459" s="24" t="s">
        <v>516</v>
      </c>
      <c r="B459" s="29">
        <v>46006</v>
      </c>
      <c r="C459" s="24" t="s">
        <v>480</v>
      </c>
      <c r="D459" s="24" t="s">
        <v>167</v>
      </c>
      <c r="E459" s="25">
        <v>4.9800000000000004</v>
      </c>
      <c r="F459" s="26">
        <v>94</v>
      </c>
      <c r="G459" s="30">
        <f>IF(OR(D459="TARDIO",D459="PENDIENTE (TARDÍO)"),'Efectos y supuestos'!$B$8,0)</f>
        <v>0</v>
      </c>
      <c r="H459" s="14">
        <f t="shared" si="7"/>
        <v>0</v>
      </c>
    </row>
    <row r="460" spans="1:8" x14ac:dyDescent="0.35">
      <c r="A460" s="24" t="s">
        <v>517</v>
      </c>
      <c r="B460" s="29">
        <v>46006</v>
      </c>
      <c r="C460" s="24" t="s">
        <v>480</v>
      </c>
      <c r="D460" s="24" t="s">
        <v>167</v>
      </c>
      <c r="E460" s="25">
        <v>7.56</v>
      </c>
      <c r="F460" s="26">
        <v>88.8</v>
      </c>
      <c r="G460" s="30">
        <f>IF(OR(D460="TARDIO",D460="PENDIENTE (TARDÍO)"),'Efectos y supuestos'!$B$8,0)</f>
        <v>0</v>
      </c>
      <c r="H460" s="14">
        <f t="shared" si="7"/>
        <v>0</v>
      </c>
    </row>
    <row r="461" spans="1:8" x14ac:dyDescent="0.35">
      <c r="A461" s="24" t="s">
        <v>393</v>
      </c>
      <c r="B461" s="29">
        <v>46280</v>
      </c>
      <c r="C461" s="24" t="s">
        <v>478</v>
      </c>
      <c r="D461" s="24" t="s">
        <v>167</v>
      </c>
      <c r="E461" s="25">
        <v>5.53</v>
      </c>
      <c r="F461" s="26">
        <v>105</v>
      </c>
      <c r="G461" s="30">
        <f>IF(OR(D461="TARDIO",D461="PENDIENTE (TARDÍO)"),'Efectos y supuestos'!$B$8,0)</f>
        <v>0</v>
      </c>
      <c r="H461" s="14">
        <f t="shared" si="7"/>
        <v>0</v>
      </c>
    </row>
    <row r="462" spans="1:8" x14ac:dyDescent="0.35">
      <c r="A462" s="24" t="s">
        <v>243</v>
      </c>
      <c r="B462" s="29">
        <v>46280</v>
      </c>
      <c r="C462" s="24" t="s">
        <v>478</v>
      </c>
      <c r="D462" s="24" t="s">
        <v>167</v>
      </c>
      <c r="E462" s="25">
        <v>8.82</v>
      </c>
      <c r="F462" s="26">
        <v>105</v>
      </c>
      <c r="G462" s="30">
        <f>IF(OR(D462="TARDIO",D462="PENDIENTE (TARDÍO)"),'Efectos y supuestos'!$B$8,0)</f>
        <v>0</v>
      </c>
      <c r="H462" s="14">
        <f t="shared" si="7"/>
        <v>0</v>
      </c>
    </row>
    <row r="463" spans="1:8" x14ac:dyDescent="0.35">
      <c r="A463" s="24" t="s">
        <v>245</v>
      </c>
      <c r="B463" s="29">
        <v>46300</v>
      </c>
      <c r="C463" s="24" t="s">
        <v>478</v>
      </c>
      <c r="D463" s="24" t="s">
        <v>167</v>
      </c>
      <c r="E463" s="25">
        <v>9.68</v>
      </c>
      <c r="F463" s="26">
        <v>105</v>
      </c>
      <c r="G463" s="30">
        <f>IF(OR(D463="TARDIO",D463="PENDIENTE (TARDÍO)"),'Efectos y supuestos'!$B$8,0)</f>
        <v>0</v>
      </c>
      <c r="H463" s="14">
        <f t="shared" si="7"/>
        <v>0</v>
      </c>
    </row>
    <row r="464" spans="1:8" x14ac:dyDescent="0.35">
      <c r="A464" s="24" t="s">
        <v>518</v>
      </c>
      <c r="B464" s="29">
        <v>46006</v>
      </c>
      <c r="C464" s="24" t="s">
        <v>480</v>
      </c>
      <c r="D464" s="24" t="s">
        <v>167</v>
      </c>
      <c r="E464" s="25">
        <v>15.27</v>
      </c>
      <c r="F464" s="26">
        <v>113.3</v>
      </c>
      <c r="G464" s="30">
        <f>IF(OR(D464="TARDIO",D464="PENDIENTE (TARDÍO)"),'Efectos y supuestos'!$B$8,0)</f>
        <v>0</v>
      </c>
      <c r="H464" s="14">
        <f t="shared" si="7"/>
        <v>0</v>
      </c>
    </row>
    <row r="465" spans="1:8" x14ac:dyDescent="0.35">
      <c r="A465" s="24" t="s">
        <v>247</v>
      </c>
      <c r="B465" s="29">
        <v>46127</v>
      </c>
      <c r="C465" s="24" t="s">
        <v>478</v>
      </c>
      <c r="D465" s="24" t="s">
        <v>167</v>
      </c>
      <c r="E465" s="25">
        <v>10.62</v>
      </c>
      <c r="F465" s="26">
        <v>94.9</v>
      </c>
      <c r="G465" s="30">
        <f>IF(OR(D465="TARDIO",D465="PENDIENTE (TARDÍO)"),'Efectos y supuestos'!$B$8,0)</f>
        <v>0</v>
      </c>
      <c r="H465" s="14">
        <f t="shared" si="7"/>
        <v>0</v>
      </c>
    </row>
    <row r="466" spans="1:8" x14ac:dyDescent="0.35">
      <c r="A466" s="24" t="s">
        <v>519</v>
      </c>
      <c r="B466" s="29">
        <v>46006</v>
      </c>
      <c r="C466" s="24" t="s">
        <v>480</v>
      </c>
      <c r="D466" s="24" t="s">
        <v>167</v>
      </c>
      <c r="E466" s="25">
        <v>10.42</v>
      </c>
      <c r="F466" s="26">
        <v>119.5</v>
      </c>
      <c r="G466" s="30">
        <f>IF(OR(D466="TARDIO",D466="PENDIENTE (TARDÍO)"),'Efectos y supuestos'!$B$8,0)</f>
        <v>0</v>
      </c>
      <c r="H466" s="14">
        <f t="shared" si="7"/>
        <v>0</v>
      </c>
    </row>
    <row r="467" spans="1:8" x14ac:dyDescent="0.35">
      <c r="A467" s="24" t="s">
        <v>248</v>
      </c>
      <c r="B467" s="29">
        <v>46127</v>
      </c>
      <c r="C467" s="24" t="s">
        <v>478</v>
      </c>
      <c r="D467" s="24" t="s">
        <v>167</v>
      </c>
      <c r="E467" s="25">
        <v>4.7</v>
      </c>
      <c r="F467" s="26">
        <v>82.3</v>
      </c>
      <c r="G467" s="30">
        <f>IF(OR(D467="TARDIO",D467="PENDIENTE (TARDÍO)"),'Efectos y supuestos'!$B$8,0)</f>
        <v>0</v>
      </c>
      <c r="H467" s="14">
        <f t="shared" si="7"/>
        <v>0</v>
      </c>
    </row>
    <row r="468" spans="1:8" x14ac:dyDescent="0.35">
      <c r="A468" s="24" t="s">
        <v>520</v>
      </c>
      <c r="B468" s="29">
        <v>46006</v>
      </c>
      <c r="C468" s="24" t="s">
        <v>478</v>
      </c>
      <c r="D468" s="24" t="s">
        <v>167</v>
      </c>
      <c r="E468" s="25">
        <v>3.42</v>
      </c>
      <c r="F468" s="26">
        <v>110.3</v>
      </c>
      <c r="G468" s="30">
        <f>IF(OR(D468="TARDIO",D468="PENDIENTE (TARDÍO)"),'Efectos y supuestos'!$B$8,0)</f>
        <v>0</v>
      </c>
      <c r="H468" s="14">
        <f t="shared" si="7"/>
        <v>0</v>
      </c>
    </row>
    <row r="469" spans="1:8" x14ac:dyDescent="0.35">
      <c r="A469" s="24" t="s">
        <v>521</v>
      </c>
      <c r="B469" s="29">
        <v>46006</v>
      </c>
      <c r="C469" s="24" t="s">
        <v>480</v>
      </c>
      <c r="D469" s="24" t="s">
        <v>167</v>
      </c>
      <c r="E469" s="25">
        <v>3.3</v>
      </c>
      <c r="F469" s="26">
        <v>116.7</v>
      </c>
      <c r="G469" s="30">
        <f>IF(OR(D469="TARDIO",D469="PENDIENTE (TARDÍO)"),'Efectos y supuestos'!$B$8,0)</f>
        <v>0</v>
      </c>
      <c r="H469" s="14">
        <f t="shared" si="7"/>
        <v>0</v>
      </c>
    </row>
    <row r="470" spans="1:8" x14ac:dyDescent="0.35">
      <c r="A470" s="24" t="s">
        <v>129</v>
      </c>
      <c r="B470" s="29">
        <v>45976</v>
      </c>
      <c r="C470" s="24" t="s">
        <v>480</v>
      </c>
      <c r="D470" s="24" t="s">
        <v>167</v>
      </c>
      <c r="E470" s="25">
        <v>6.79</v>
      </c>
      <c r="F470" s="26">
        <v>84</v>
      </c>
      <c r="G470" s="30">
        <f>IF(OR(D470="TARDIO",D470="PENDIENTE (TARDÍO)"),'Efectos y supuestos'!$B$8,0)</f>
        <v>0</v>
      </c>
      <c r="H470" s="14">
        <f t="shared" si="7"/>
        <v>0</v>
      </c>
    </row>
    <row r="471" spans="1:8" x14ac:dyDescent="0.35">
      <c r="A471" s="24" t="s">
        <v>395</v>
      </c>
      <c r="B471" s="29">
        <v>46280</v>
      </c>
      <c r="C471" s="24" t="s">
        <v>478</v>
      </c>
      <c r="D471" s="24" t="s">
        <v>167</v>
      </c>
      <c r="E471" s="25">
        <v>22.26</v>
      </c>
      <c r="F471" s="26">
        <v>105</v>
      </c>
      <c r="G471" s="30">
        <f>IF(OR(D471="TARDIO",D471="PENDIENTE (TARDÍO)"),'Efectos y supuestos'!$B$8,0)</f>
        <v>0</v>
      </c>
      <c r="H471" s="14">
        <f t="shared" si="7"/>
        <v>0</v>
      </c>
    </row>
    <row r="472" spans="1:8" x14ac:dyDescent="0.35">
      <c r="A472" s="24" t="s">
        <v>522</v>
      </c>
      <c r="B472" s="29">
        <v>46006</v>
      </c>
      <c r="C472" s="24" t="s">
        <v>480</v>
      </c>
      <c r="D472" s="24" t="s">
        <v>167</v>
      </c>
      <c r="E472" s="25">
        <v>16.559999999999999</v>
      </c>
      <c r="F472" s="26">
        <v>122.5</v>
      </c>
      <c r="G472" s="30">
        <f>IF(OR(D472="TARDIO",D472="PENDIENTE (TARDÍO)"),'Efectos y supuestos'!$B$8,0)</f>
        <v>0</v>
      </c>
      <c r="H472" s="14">
        <f t="shared" si="7"/>
        <v>0</v>
      </c>
    </row>
    <row r="473" spans="1:8" x14ac:dyDescent="0.35">
      <c r="A473" s="24" t="s">
        <v>270</v>
      </c>
      <c r="B473" s="29">
        <v>46300</v>
      </c>
      <c r="C473" s="24" t="s">
        <v>478</v>
      </c>
      <c r="D473" s="24" t="s">
        <v>167</v>
      </c>
      <c r="E473" s="25">
        <v>3.56</v>
      </c>
      <c r="F473" s="26">
        <v>105</v>
      </c>
      <c r="G473" s="30">
        <f>IF(OR(D473="TARDIO",D473="PENDIENTE (TARDÍO)"),'Efectos y supuestos'!$B$8,0)</f>
        <v>0</v>
      </c>
      <c r="H473" s="14">
        <f t="shared" si="7"/>
        <v>0</v>
      </c>
    </row>
    <row r="474" spans="1:8" x14ac:dyDescent="0.35">
      <c r="A474" s="24" t="s">
        <v>425</v>
      </c>
      <c r="B474" s="29">
        <v>46096</v>
      </c>
      <c r="C474" s="24" t="s">
        <v>478</v>
      </c>
      <c r="D474" s="24" t="s">
        <v>167</v>
      </c>
      <c r="E474" s="25">
        <v>7.15</v>
      </c>
      <c r="F474" s="26">
        <v>80.5</v>
      </c>
      <c r="G474" s="30">
        <f>IF(OR(D474="TARDIO",D474="PENDIENTE (TARDÍO)"),'Efectos y supuestos'!$B$8,0)</f>
        <v>0</v>
      </c>
      <c r="H474" s="14">
        <f t="shared" si="7"/>
        <v>0</v>
      </c>
    </row>
    <row r="475" spans="1:8" x14ac:dyDescent="0.35">
      <c r="A475" s="24" t="s">
        <v>523</v>
      </c>
      <c r="B475" s="29">
        <v>46006</v>
      </c>
      <c r="C475" s="24" t="s">
        <v>480</v>
      </c>
      <c r="D475" s="24" t="s">
        <v>167</v>
      </c>
      <c r="E475" s="25">
        <v>4.78</v>
      </c>
      <c r="F475" s="26">
        <v>62.8</v>
      </c>
      <c r="G475" s="30">
        <f>IF(OR(D475="TARDIO",D475="PENDIENTE (TARDÍO)"),'Efectos y supuestos'!$B$8,0)</f>
        <v>0</v>
      </c>
      <c r="H475" s="14">
        <f t="shared" si="7"/>
        <v>0</v>
      </c>
    </row>
    <row r="476" spans="1:8" x14ac:dyDescent="0.35">
      <c r="A476" s="24" t="s">
        <v>524</v>
      </c>
      <c r="B476" s="29">
        <v>46006</v>
      </c>
      <c r="C476" s="24" t="s">
        <v>480</v>
      </c>
      <c r="D476" s="24" t="s">
        <v>167</v>
      </c>
      <c r="E476" s="25">
        <v>6.26</v>
      </c>
      <c r="F476" s="26">
        <v>77.900000000000006</v>
      </c>
      <c r="G476" s="30">
        <f>IF(OR(D476="TARDIO",D476="PENDIENTE (TARDÍO)"),'Efectos y supuestos'!$B$8,0)</f>
        <v>0</v>
      </c>
      <c r="H476" s="14">
        <f t="shared" si="7"/>
        <v>0</v>
      </c>
    </row>
    <row r="477" spans="1:8" x14ac:dyDescent="0.35">
      <c r="A477" s="24" t="s">
        <v>525</v>
      </c>
      <c r="B477" s="29">
        <v>45976</v>
      </c>
      <c r="C477" s="24" t="s">
        <v>480</v>
      </c>
      <c r="D477" s="24" t="s">
        <v>167</v>
      </c>
      <c r="E477" s="25">
        <v>14.95</v>
      </c>
      <c r="F477" s="26">
        <v>92.3</v>
      </c>
      <c r="G477" s="30">
        <f>IF(OR(D477="TARDIO",D477="PENDIENTE (TARDÍO)"),'Efectos y supuestos'!$B$8,0)</f>
        <v>0</v>
      </c>
      <c r="H477" s="14">
        <f t="shared" si="7"/>
        <v>0</v>
      </c>
    </row>
    <row r="478" spans="1:8" x14ac:dyDescent="0.35">
      <c r="A478" s="24" t="s">
        <v>275</v>
      </c>
      <c r="B478" s="29">
        <v>46096</v>
      </c>
      <c r="C478" s="24" t="s">
        <v>478</v>
      </c>
      <c r="D478" s="24" t="s">
        <v>167</v>
      </c>
      <c r="E478" s="25">
        <v>20.420000000000002</v>
      </c>
      <c r="F478" s="26">
        <v>77.599999999999994</v>
      </c>
      <c r="G478" s="30">
        <f>IF(OR(D478="TARDIO",D478="PENDIENTE (TARDÍO)"),'Efectos y supuestos'!$B$8,0)</f>
        <v>0</v>
      </c>
      <c r="H478" s="14">
        <f t="shared" si="7"/>
        <v>0</v>
      </c>
    </row>
    <row r="479" spans="1:8" x14ac:dyDescent="0.35">
      <c r="A479" s="24" t="s">
        <v>526</v>
      </c>
      <c r="B479" s="29">
        <v>46127</v>
      </c>
      <c r="C479" s="24" t="s">
        <v>478</v>
      </c>
      <c r="D479" s="24" t="s">
        <v>167</v>
      </c>
      <c r="E479" s="25">
        <v>10.87</v>
      </c>
      <c r="F479" s="26">
        <v>102.9</v>
      </c>
      <c r="G479" s="30">
        <f>IF(OR(D479="TARDIO",D479="PENDIENTE (TARDÍO)"),'Efectos y supuestos'!$B$8,0)</f>
        <v>0</v>
      </c>
      <c r="H479" s="14">
        <f t="shared" si="7"/>
        <v>0</v>
      </c>
    </row>
    <row r="480" spans="1:8" x14ac:dyDescent="0.35">
      <c r="A480" s="24" t="s">
        <v>527</v>
      </c>
      <c r="B480" s="29">
        <v>46300</v>
      </c>
      <c r="C480" s="24" t="s">
        <v>478</v>
      </c>
      <c r="D480" s="24" t="s">
        <v>167</v>
      </c>
      <c r="E480" s="25">
        <v>10.220000000000001</v>
      </c>
      <c r="F480" s="26">
        <v>105</v>
      </c>
      <c r="G480" s="30">
        <f>IF(OR(D480="TARDIO",D480="PENDIENTE (TARDÍO)"),'Efectos y supuestos'!$B$8,0)</f>
        <v>0</v>
      </c>
      <c r="H480" s="14">
        <f t="shared" si="7"/>
        <v>0</v>
      </c>
    </row>
    <row r="481" spans="1:8" x14ac:dyDescent="0.35">
      <c r="A481" s="24" t="s">
        <v>528</v>
      </c>
      <c r="B481" s="29">
        <v>46127</v>
      </c>
      <c r="C481" s="24" t="s">
        <v>478</v>
      </c>
      <c r="D481" s="24" t="s">
        <v>167</v>
      </c>
      <c r="E481" s="25">
        <v>2.72</v>
      </c>
      <c r="F481" s="26">
        <v>93.9</v>
      </c>
      <c r="G481" s="30">
        <f>IF(OR(D481="TARDIO",D481="PENDIENTE (TARDÍO)"),'Efectos y supuestos'!$B$8,0)</f>
        <v>0</v>
      </c>
      <c r="H481" s="14">
        <f t="shared" si="7"/>
        <v>0</v>
      </c>
    </row>
    <row r="482" spans="1:8" x14ac:dyDescent="0.35">
      <c r="A482" s="24" t="s">
        <v>278</v>
      </c>
      <c r="B482" s="29">
        <v>46188</v>
      </c>
      <c r="C482" s="24" t="s">
        <v>478</v>
      </c>
      <c r="D482" s="24" t="s">
        <v>167</v>
      </c>
      <c r="E482" s="25">
        <v>9.3800000000000008</v>
      </c>
      <c r="F482" s="26">
        <v>121.6</v>
      </c>
      <c r="G482" s="30">
        <f>IF(OR(D482="TARDIO",D482="PENDIENTE (TARDÍO)"),'Efectos y supuestos'!$B$8,0)</f>
        <v>0</v>
      </c>
      <c r="H482" s="14">
        <f t="shared" si="7"/>
        <v>0</v>
      </c>
    </row>
    <row r="483" spans="1:8" x14ac:dyDescent="0.35">
      <c r="A483" s="24" t="s">
        <v>279</v>
      </c>
      <c r="B483" s="29">
        <v>46037</v>
      </c>
      <c r="C483" s="24" t="s">
        <v>478</v>
      </c>
      <c r="D483" s="24" t="s">
        <v>167</v>
      </c>
      <c r="E483" s="25">
        <v>3.98</v>
      </c>
      <c r="F483" s="26">
        <v>98.4</v>
      </c>
      <c r="G483" s="30">
        <f>IF(OR(D483="TARDIO",D483="PENDIENTE (TARDÍO)"),'Efectos y supuestos'!$B$8,0)</f>
        <v>0</v>
      </c>
      <c r="H483" s="14">
        <f t="shared" si="7"/>
        <v>0</v>
      </c>
    </row>
    <row r="484" spans="1:8" x14ac:dyDescent="0.35">
      <c r="A484" s="24" t="s">
        <v>285</v>
      </c>
      <c r="B484" s="29">
        <v>46188</v>
      </c>
      <c r="C484" s="24" t="s">
        <v>478</v>
      </c>
      <c r="D484" s="24" t="s">
        <v>167</v>
      </c>
      <c r="E484" s="25">
        <v>5.8</v>
      </c>
      <c r="F484" s="26">
        <v>117.7</v>
      </c>
      <c r="G484" s="30">
        <f>IF(OR(D484="TARDIO",D484="PENDIENTE (TARDÍO)"),'Efectos y supuestos'!$B$8,0)</f>
        <v>0</v>
      </c>
      <c r="H484" s="14">
        <f t="shared" si="7"/>
        <v>0</v>
      </c>
    </row>
    <row r="485" spans="1:8" x14ac:dyDescent="0.35">
      <c r="A485" s="24" t="s">
        <v>286</v>
      </c>
      <c r="B485" s="29">
        <v>46280</v>
      </c>
      <c r="C485" s="24" t="s">
        <v>478</v>
      </c>
      <c r="D485" s="24" t="s">
        <v>167</v>
      </c>
      <c r="E485" s="25">
        <v>12.52</v>
      </c>
      <c r="F485" s="26">
        <v>105</v>
      </c>
      <c r="G485" s="30">
        <f>IF(OR(D485="TARDIO",D485="PENDIENTE (TARDÍO)"),'Efectos y supuestos'!$B$8,0)</f>
        <v>0</v>
      </c>
      <c r="H485" s="14">
        <f t="shared" si="7"/>
        <v>0</v>
      </c>
    </row>
    <row r="486" spans="1:8" x14ac:dyDescent="0.35">
      <c r="A486" s="24" t="s">
        <v>290</v>
      </c>
      <c r="B486" s="29">
        <v>46188</v>
      </c>
      <c r="C486" s="24" t="s">
        <v>478</v>
      </c>
      <c r="D486" s="24" t="s">
        <v>167</v>
      </c>
      <c r="E486" s="25">
        <v>5.56</v>
      </c>
      <c r="F486" s="26">
        <v>93.2</v>
      </c>
      <c r="G486" s="30">
        <f>IF(OR(D486="TARDIO",D486="PENDIENTE (TARDÍO)"),'Efectos y supuestos'!$B$8,0)</f>
        <v>0</v>
      </c>
      <c r="H486" s="14">
        <f t="shared" si="7"/>
        <v>0</v>
      </c>
    </row>
    <row r="487" spans="1:8" x14ac:dyDescent="0.35">
      <c r="A487" s="24" t="s">
        <v>529</v>
      </c>
      <c r="B487" s="29">
        <v>45976</v>
      </c>
      <c r="C487" s="24" t="s">
        <v>480</v>
      </c>
      <c r="D487" s="24" t="s">
        <v>167</v>
      </c>
      <c r="E487" s="25">
        <v>11.08</v>
      </c>
      <c r="F487" s="26">
        <v>115.3</v>
      </c>
      <c r="G487" s="30">
        <f>IF(OR(D487="TARDIO",D487="PENDIENTE (TARDÍO)"),'Efectos y supuestos'!$B$8,0)</f>
        <v>0</v>
      </c>
      <c r="H487" s="14">
        <f t="shared" si="7"/>
        <v>0</v>
      </c>
    </row>
    <row r="488" spans="1:8" x14ac:dyDescent="0.35">
      <c r="A488" s="24" t="s">
        <v>292</v>
      </c>
      <c r="B488" s="29">
        <v>46280</v>
      </c>
      <c r="C488" s="24" t="s">
        <v>478</v>
      </c>
      <c r="D488" s="24" t="s">
        <v>167</v>
      </c>
      <c r="E488" s="25">
        <v>5.34</v>
      </c>
      <c r="F488" s="26">
        <v>105</v>
      </c>
      <c r="G488" s="30">
        <f>IF(OR(D488="TARDIO",D488="PENDIENTE (TARDÍO)"),'Efectos y supuestos'!$B$8,0)</f>
        <v>0</v>
      </c>
      <c r="H488" s="14">
        <f t="shared" si="7"/>
        <v>0</v>
      </c>
    </row>
    <row r="489" spans="1:8" x14ac:dyDescent="0.35">
      <c r="A489" s="24" t="s">
        <v>296</v>
      </c>
      <c r="B489" s="29">
        <v>46188</v>
      </c>
      <c r="C489" s="24" t="s">
        <v>478</v>
      </c>
      <c r="D489" s="24" t="s">
        <v>167</v>
      </c>
      <c r="E489" s="25">
        <v>2.14</v>
      </c>
      <c r="F489" s="26">
        <v>118.7</v>
      </c>
      <c r="G489" s="30">
        <f>IF(OR(D489="TARDIO",D489="PENDIENTE (TARDÍO)"),'Efectos y supuestos'!$B$8,0)</f>
        <v>0</v>
      </c>
      <c r="H489" s="14">
        <f t="shared" si="7"/>
        <v>0</v>
      </c>
    </row>
    <row r="490" spans="1:8" x14ac:dyDescent="0.35">
      <c r="A490" s="24" t="s">
        <v>530</v>
      </c>
      <c r="B490" s="29">
        <v>45976</v>
      </c>
      <c r="C490" s="24" t="s">
        <v>480</v>
      </c>
      <c r="D490" s="24" t="s">
        <v>167</v>
      </c>
      <c r="E490" s="25">
        <v>7.65</v>
      </c>
      <c r="F490" s="26">
        <v>97.6</v>
      </c>
      <c r="G490" s="30">
        <f>IF(OR(D490="TARDIO",D490="PENDIENTE (TARDÍO)"),'Efectos y supuestos'!$B$8,0)</f>
        <v>0</v>
      </c>
      <c r="H490" s="14">
        <f t="shared" si="7"/>
        <v>0</v>
      </c>
    </row>
    <row r="491" spans="1:8" x14ac:dyDescent="0.35">
      <c r="A491" s="24" t="s">
        <v>132</v>
      </c>
      <c r="B491" s="29">
        <v>46006</v>
      </c>
      <c r="C491" s="24" t="s">
        <v>480</v>
      </c>
      <c r="D491" s="24" t="s">
        <v>167</v>
      </c>
      <c r="E491" s="25">
        <v>4.96</v>
      </c>
      <c r="F491" s="26">
        <v>72.099999999999994</v>
      </c>
      <c r="G491" s="30">
        <f>IF(OR(D491="TARDIO",D491="PENDIENTE (TARDÍO)"),'Efectos y supuestos'!$B$8,0)</f>
        <v>0</v>
      </c>
      <c r="H491" s="14">
        <f t="shared" si="7"/>
        <v>0</v>
      </c>
    </row>
    <row r="492" spans="1:8" x14ac:dyDescent="0.35">
      <c r="A492" s="24" t="s">
        <v>531</v>
      </c>
      <c r="B492" s="29">
        <v>45976</v>
      </c>
      <c r="C492" s="24" t="s">
        <v>480</v>
      </c>
      <c r="D492" s="24" t="s">
        <v>167</v>
      </c>
      <c r="E492" s="25">
        <v>4.57</v>
      </c>
      <c r="F492" s="26">
        <v>89.6</v>
      </c>
      <c r="G492" s="30">
        <f>IF(OR(D492="TARDIO",D492="PENDIENTE (TARDÍO)"),'Efectos y supuestos'!$B$8,0)</f>
        <v>0</v>
      </c>
      <c r="H492" s="14">
        <f t="shared" si="7"/>
        <v>0</v>
      </c>
    </row>
    <row r="493" spans="1:8" x14ac:dyDescent="0.35">
      <c r="A493" s="24" t="s">
        <v>299</v>
      </c>
      <c r="B493" s="29">
        <v>46096</v>
      </c>
      <c r="C493" s="24" t="s">
        <v>478</v>
      </c>
      <c r="D493" s="24" t="s">
        <v>167</v>
      </c>
      <c r="E493" s="25">
        <v>8.57</v>
      </c>
      <c r="F493" s="26">
        <v>100</v>
      </c>
      <c r="G493" s="30">
        <f>IF(OR(D493="TARDIO",D493="PENDIENTE (TARDÍO)"),'Efectos y supuestos'!$B$8,0)</f>
        <v>0</v>
      </c>
      <c r="H493" s="14">
        <f t="shared" si="7"/>
        <v>0</v>
      </c>
    </row>
    <row r="494" spans="1:8" x14ac:dyDescent="0.35">
      <c r="A494" s="24" t="s">
        <v>302</v>
      </c>
      <c r="B494" s="29">
        <v>46188</v>
      </c>
      <c r="C494" s="24" t="s">
        <v>478</v>
      </c>
      <c r="D494" s="24" t="s">
        <v>167</v>
      </c>
      <c r="E494" s="25">
        <v>4.0199999999999996</v>
      </c>
      <c r="F494" s="26">
        <v>111.1</v>
      </c>
      <c r="G494" s="30">
        <f>IF(OR(D494="TARDIO",D494="PENDIENTE (TARDÍO)"),'Efectos y supuestos'!$B$8,0)</f>
        <v>0</v>
      </c>
      <c r="H494" s="14">
        <f t="shared" si="7"/>
        <v>0</v>
      </c>
    </row>
    <row r="495" spans="1:8" x14ac:dyDescent="0.35">
      <c r="A495" s="24" t="s">
        <v>303</v>
      </c>
      <c r="B495" s="29">
        <v>46096</v>
      </c>
      <c r="C495" s="24" t="s">
        <v>478</v>
      </c>
      <c r="D495" s="24" t="s">
        <v>167</v>
      </c>
      <c r="E495" s="25">
        <v>8.85</v>
      </c>
      <c r="F495" s="26">
        <v>91.8</v>
      </c>
      <c r="G495" s="30">
        <f>IF(OR(D495="TARDIO",D495="PENDIENTE (TARDÍO)"),'Efectos y supuestos'!$B$8,0)</f>
        <v>0</v>
      </c>
      <c r="H495" s="14">
        <f t="shared" si="7"/>
        <v>0</v>
      </c>
    </row>
    <row r="496" spans="1:8" x14ac:dyDescent="0.35">
      <c r="A496" s="24" t="s">
        <v>532</v>
      </c>
      <c r="B496" s="29">
        <v>45976</v>
      </c>
      <c r="C496" s="24" t="s">
        <v>480</v>
      </c>
      <c r="D496" s="24" t="s">
        <v>167</v>
      </c>
      <c r="E496" s="25">
        <v>18.73</v>
      </c>
      <c r="F496" s="26">
        <v>95.5</v>
      </c>
      <c r="G496" s="30">
        <f>IF(OR(D496="TARDIO",D496="PENDIENTE (TARDÍO)"),'Efectos y supuestos'!$B$8,0)</f>
        <v>0</v>
      </c>
      <c r="H496" s="14">
        <f t="shared" si="7"/>
        <v>0</v>
      </c>
    </row>
    <row r="497" spans="1:8" x14ac:dyDescent="0.35">
      <c r="A497" s="24" t="s">
        <v>305</v>
      </c>
      <c r="B497" s="29">
        <v>46188</v>
      </c>
      <c r="C497" s="24" t="s">
        <v>478</v>
      </c>
      <c r="D497" s="24" t="s">
        <v>167</v>
      </c>
      <c r="E497" s="25">
        <v>5.93</v>
      </c>
      <c r="F497" s="26">
        <v>111.9</v>
      </c>
      <c r="G497" s="30">
        <f>IF(OR(D497="TARDIO",D497="PENDIENTE (TARDÍO)"),'Efectos y supuestos'!$B$8,0)</f>
        <v>0</v>
      </c>
      <c r="H497" s="14">
        <f t="shared" si="7"/>
        <v>0</v>
      </c>
    </row>
    <row r="498" spans="1:8" x14ac:dyDescent="0.35">
      <c r="A498" s="24" t="s">
        <v>307</v>
      </c>
      <c r="B498" s="29">
        <v>46280</v>
      </c>
      <c r="C498" s="24" t="s">
        <v>478</v>
      </c>
      <c r="D498" s="24" t="s">
        <v>167</v>
      </c>
      <c r="E498" s="25">
        <v>18.63</v>
      </c>
      <c r="F498" s="26">
        <v>105</v>
      </c>
      <c r="G498" s="30">
        <f>IF(OR(D498="TARDIO",D498="PENDIENTE (TARDÍO)"),'Efectos y supuestos'!$B$8,0)</f>
        <v>0</v>
      </c>
      <c r="H498" s="14">
        <f t="shared" si="7"/>
        <v>0</v>
      </c>
    </row>
    <row r="499" spans="1:8" x14ac:dyDescent="0.35">
      <c r="A499" s="24" t="s">
        <v>309</v>
      </c>
      <c r="B499" s="29">
        <v>46218</v>
      </c>
      <c r="C499" s="24" t="s">
        <v>478</v>
      </c>
      <c r="D499" s="24" t="s">
        <v>167</v>
      </c>
      <c r="E499" s="25">
        <v>4.59</v>
      </c>
      <c r="F499" s="26">
        <v>105</v>
      </c>
      <c r="G499" s="30">
        <f>IF(OR(D499="TARDIO",D499="PENDIENTE (TARDÍO)"),'Efectos y supuestos'!$B$8,0)</f>
        <v>0</v>
      </c>
      <c r="H499" s="14">
        <f t="shared" si="7"/>
        <v>0</v>
      </c>
    </row>
    <row r="500" spans="1:8" x14ac:dyDescent="0.35">
      <c r="A500" s="24" t="s">
        <v>102</v>
      </c>
      <c r="B500" s="29">
        <v>46280</v>
      </c>
      <c r="C500" s="24" t="s">
        <v>478</v>
      </c>
      <c r="D500" s="24" t="s">
        <v>167</v>
      </c>
      <c r="E500" s="25">
        <v>4.75</v>
      </c>
      <c r="F500" s="26">
        <v>105</v>
      </c>
      <c r="G500" s="30">
        <f>IF(OR(D500="TARDIO",D500="PENDIENTE (TARDÍO)"),'Efectos y supuestos'!$B$8,0)</f>
        <v>0</v>
      </c>
      <c r="H500" s="14">
        <f t="shared" si="7"/>
        <v>0</v>
      </c>
    </row>
    <row r="501" spans="1:8" x14ac:dyDescent="0.35">
      <c r="A501" s="24" t="s">
        <v>310</v>
      </c>
      <c r="B501" s="29">
        <v>46157</v>
      </c>
      <c r="C501" s="24" t="s">
        <v>478</v>
      </c>
      <c r="D501" s="24" t="s">
        <v>167</v>
      </c>
      <c r="E501" s="25">
        <v>8.81</v>
      </c>
      <c r="F501" s="26">
        <v>89.3</v>
      </c>
      <c r="G501" s="30">
        <f>IF(OR(D501="TARDIO",D501="PENDIENTE (TARDÍO)"),'Efectos y supuestos'!$B$8,0)</f>
        <v>0</v>
      </c>
      <c r="H501" s="14">
        <f t="shared" si="7"/>
        <v>0</v>
      </c>
    </row>
    <row r="502" spans="1:8" x14ac:dyDescent="0.35">
      <c r="A502" s="24" t="s">
        <v>311</v>
      </c>
      <c r="B502" s="29">
        <v>46157</v>
      </c>
      <c r="C502" s="24" t="s">
        <v>478</v>
      </c>
      <c r="D502" s="24" t="s">
        <v>167</v>
      </c>
      <c r="E502" s="25">
        <v>11.25</v>
      </c>
      <c r="F502" s="26">
        <v>95</v>
      </c>
      <c r="G502" s="30">
        <f>IF(OR(D502="TARDIO",D502="PENDIENTE (TARDÍO)"),'Efectos y supuestos'!$B$8,0)</f>
        <v>0</v>
      </c>
      <c r="H502" s="14">
        <f t="shared" si="7"/>
        <v>0</v>
      </c>
    </row>
    <row r="503" spans="1:8" x14ac:dyDescent="0.35">
      <c r="A503" s="24" t="s">
        <v>314</v>
      </c>
      <c r="B503" s="29">
        <v>46280</v>
      </c>
      <c r="C503" s="24" t="s">
        <v>478</v>
      </c>
      <c r="D503" s="24" t="s">
        <v>167</v>
      </c>
      <c r="E503" s="25">
        <v>3.06</v>
      </c>
      <c r="F503" s="26">
        <v>105</v>
      </c>
      <c r="G503" s="30">
        <f>IF(OR(D503="TARDIO",D503="PENDIENTE (TARDÍO)"),'Efectos y supuestos'!$B$8,0)</f>
        <v>0</v>
      </c>
      <c r="H503" s="14">
        <f t="shared" si="7"/>
        <v>0</v>
      </c>
    </row>
    <row r="504" spans="1:8" x14ac:dyDescent="0.35">
      <c r="A504" s="24" t="s">
        <v>533</v>
      </c>
      <c r="B504" s="29">
        <v>46280</v>
      </c>
      <c r="C504" s="24" t="s">
        <v>478</v>
      </c>
      <c r="D504" s="24" t="s">
        <v>167</v>
      </c>
      <c r="E504" s="25">
        <v>14.37</v>
      </c>
      <c r="F504" s="26">
        <v>105</v>
      </c>
      <c r="G504" s="30">
        <f>IF(OR(D504="TARDIO",D504="PENDIENTE (TARDÍO)"),'Efectos y supuestos'!$B$8,0)</f>
        <v>0</v>
      </c>
      <c r="H504" s="14">
        <f t="shared" si="7"/>
        <v>0</v>
      </c>
    </row>
    <row r="505" spans="1:8" x14ac:dyDescent="0.35">
      <c r="A505" s="24" t="s">
        <v>534</v>
      </c>
      <c r="B505" s="29">
        <v>46006</v>
      </c>
      <c r="C505" s="24" t="s">
        <v>480</v>
      </c>
      <c r="D505" s="24" t="s">
        <v>167</v>
      </c>
      <c r="E505" s="25">
        <v>5.05</v>
      </c>
      <c r="F505" s="26">
        <v>97</v>
      </c>
      <c r="G505" s="30">
        <f>IF(OR(D505="TARDIO",D505="PENDIENTE (TARDÍO)"),'Efectos y supuestos'!$B$8,0)</f>
        <v>0</v>
      </c>
      <c r="H505" s="14">
        <f t="shared" si="7"/>
        <v>0</v>
      </c>
    </row>
    <row r="506" spans="1:8" x14ac:dyDescent="0.35">
      <c r="A506" s="24" t="s">
        <v>402</v>
      </c>
      <c r="B506" s="29">
        <v>46280</v>
      </c>
      <c r="C506" s="24" t="s">
        <v>478</v>
      </c>
      <c r="D506" s="24" t="s">
        <v>167</v>
      </c>
      <c r="E506" s="25">
        <v>17.62</v>
      </c>
      <c r="F506" s="26">
        <v>105</v>
      </c>
      <c r="G506" s="30">
        <f>IF(OR(D506="TARDIO",D506="PENDIENTE (TARDÍO)"),'Efectos y supuestos'!$B$8,0)</f>
        <v>0</v>
      </c>
      <c r="H506" s="14">
        <f t="shared" ref="H506:H569" si="8">-G506*F506*E506</f>
        <v>0</v>
      </c>
    </row>
    <row r="507" spans="1:8" x14ac:dyDescent="0.35">
      <c r="A507" s="24" t="s">
        <v>535</v>
      </c>
      <c r="B507" s="29">
        <v>46127</v>
      </c>
      <c r="C507" s="24" t="s">
        <v>478</v>
      </c>
      <c r="D507" s="24" t="s">
        <v>167</v>
      </c>
      <c r="E507" s="25">
        <v>8.69</v>
      </c>
      <c r="F507" s="26">
        <v>108.5</v>
      </c>
      <c r="G507" s="30">
        <f>IF(OR(D507="TARDIO",D507="PENDIENTE (TARDÍO)"),'Efectos y supuestos'!$B$8,0)</f>
        <v>0</v>
      </c>
      <c r="H507" s="14">
        <f t="shared" si="8"/>
        <v>0</v>
      </c>
    </row>
    <row r="508" spans="1:8" x14ac:dyDescent="0.35">
      <c r="A508" s="24" t="s">
        <v>315</v>
      </c>
      <c r="B508" s="29">
        <v>46280</v>
      </c>
      <c r="C508" s="24" t="s">
        <v>478</v>
      </c>
      <c r="D508" s="24" t="s">
        <v>167</v>
      </c>
      <c r="E508" s="25">
        <v>1.41</v>
      </c>
      <c r="F508" s="26">
        <v>105</v>
      </c>
      <c r="G508" s="30">
        <f>IF(OR(D508="TARDIO",D508="PENDIENTE (TARDÍO)"),'Efectos y supuestos'!$B$8,0)</f>
        <v>0</v>
      </c>
      <c r="H508" s="14">
        <f t="shared" si="8"/>
        <v>0</v>
      </c>
    </row>
    <row r="509" spans="1:8" x14ac:dyDescent="0.35">
      <c r="A509" s="24" t="s">
        <v>316</v>
      </c>
      <c r="B509" s="29">
        <v>46218</v>
      </c>
      <c r="C509" s="24" t="s">
        <v>478</v>
      </c>
      <c r="D509" s="24" t="s">
        <v>167</v>
      </c>
      <c r="E509" s="25">
        <v>9.89</v>
      </c>
      <c r="F509" s="26">
        <v>105</v>
      </c>
      <c r="G509" s="30">
        <f>IF(OR(D509="TARDIO",D509="PENDIENTE (TARDÍO)"),'Efectos y supuestos'!$B$8,0)</f>
        <v>0</v>
      </c>
      <c r="H509" s="14">
        <f t="shared" si="8"/>
        <v>0</v>
      </c>
    </row>
    <row r="510" spans="1:8" x14ac:dyDescent="0.35">
      <c r="A510" s="24" t="s">
        <v>536</v>
      </c>
      <c r="B510" s="29">
        <v>46006</v>
      </c>
      <c r="C510" s="24" t="s">
        <v>480</v>
      </c>
      <c r="D510" s="24" t="s">
        <v>167</v>
      </c>
      <c r="E510" s="25">
        <v>16.53</v>
      </c>
      <c r="F510" s="26">
        <v>95.6</v>
      </c>
      <c r="G510" s="30">
        <f>IF(OR(D510="TARDIO",D510="PENDIENTE (TARDÍO)"),'Efectos y supuestos'!$B$8,0)</f>
        <v>0</v>
      </c>
      <c r="H510" s="14">
        <f t="shared" si="8"/>
        <v>0</v>
      </c>
    </row>
    <row r="511" spans="1:8" x14ac:dyDescent="0.35">
      <c r="A511" s="24" t="s">
        <v>537</v>
      </c>
      <c r="B511" s="29">
        <v>46006</v>
      </c>
      <c r="C511" s="24" t="s">
        <v>480</v>
      </c>
      <c r="D511" s="24" t="s">
        <v>167</v>
      </c>
      <c r="E511" s="25">
        <v>4.16</v>
      </c>
      <c r="F511" s="26">
        <v>99.7</v>
      </c>
      <c r="G511" s="30">
        <f>IF(OR(D511="TARDIO",D511="PENDIENTE (TARDÍO)"),'Efectos y supuestos'!$B$8,0)</f>
        <v>0</v>
      </c>
      <c r="H511" s="14">
        <f t="shared" si="8"/>
        <v>0</v>
      </c>
    </row>
    <row r="512" spans="1:8" x14ac:dyDescent="0.35">
      <c r="A512" s="24" t="s">
        <v>317</v>
      </c>
      <c r="B512" s="29">
        <v>46218</v>
      </c>
      <c r="C512" s="24" t="s">
        <v>478</v>
      </c>
      <c r="D512" s="24" t="s">
        <v>167</v>
      </c>
      <c r="E512" s="25">
        <v>18.03</v>
      </c>
      <c r="F512" s="26">
        <v>105</v>
      </c>
      <c r="G512" s="30">
        <f>IF(OR(D512="TARDIO",D512="PENDIENTE (TARDÍO)"),'Efectos y supuestos'!$B$8,0)</f>
        <v>0</v>
      </c>
      <c r="H512" s="14">
        <f t="shared" si="8"/>
        <v>0</v>
      </c>
    </row>
    <row r="513" spans="1:8" x14ac:dyDescent="0.35">
      <c r="A513" s="24" t="s">
        <v>319</v>
      </c>
      <c r="B513" s="29">
        <v>46218</v>
      </c>
      <c r="C513" s="24" t="s">
        <v>478</v>
      </c>
      <c r="D513" s="24" t="s">
        <v>167</v>
      </c>
      <c r="E513" s="25">
        <v>6.04</v>
      </c>
      <c r="F513" s="26">
        <v>105</v>
      </c>
      <c r="G513" s="30">
        <f>IF(OR(D513="TARDIO",D513="PENDIENTE (TARDÍO)"),'Efectos y supuestos'!$B$8,0)</f>
        <v>0</v>
      </c>
      <c r="H513" s="14">
        <f t="shared" si="8"/>
        <v>0</v>
      </c>
    </row>
    <row r="514" spans="1:8" x14ac:dyDescent="0.35">
      <c r="A514" s="24" t="s">
        <v>320</v>
      </c>
      <c r="B514" s="29">
        <v>46249</v>
      </c>
      <c r="C514" s="24" t="s">
        <v>478</v>
      </c>
      <c r="D514" s="24" t="s">
        <v>167</v>
      </c>
      <c r="E514" s="25">
        <v>3.98</v>
      </c>
      <c r="F514" s="26">
        <v>105</v>
      </c>
      <c r="G514" s="30">
        <f>IF(OR(D514="TARDIO",D514="PENDIENTE (TARDÍO)"),'Efectos y supuestos'!$B$8,0)</f>
        <v>0</v>
      </c>
      <c r="H514" s="14">
        <f t="shared" si="8"/>
        <v>0</v>
      </c>
    </row>
    <row r="515" spans="1:8" x14ac:dyDescent="0.35">
      <c r="A515" s="24" t="s">
        <v>322</v>
      </c>
      <c r="B515" s="29">
        <v>46249</v>
      </c>
      <c r="C515" s="24" t="s">
        <v>478</v>
      </c>
      <c r="D515" s="24" t="s">
        <v>167</v>
      </c>
      <c r="E515" s="25">
        <v>2.68</v>
      </c>
      <c r="F515" s="26">
        <v>105</v>
      </c>
      <c r="G515" s="30">
        <f>IF(OR(D515="TARDIO",D515="PENDIENTE (TARDÍO)"),'Efectos y supuestos'!$B$8,0)</f>
        <v>0</v>
      </c>
      <c r="H515" s="14">
        <f t="shared" si="8"/>
        <v>0</v>
      </c>
    </row>
    <row r="516" spans="1:8" x14ac:dyDescent="0.35">
      <c r="A516" s="24" t="s">
        <v>538</v>
      </c>
      <c r="B516" s="29">
        <v>46006</v>
      </c>
      <c r="C516" s="24" t="s">
        <v>480</v>
      </c>
      <c r="D516" s="24" t="s">
        <v>167</v>
      </c>
      <c r="E516" s="25">
        <v>4.47</v>
      </c>
      <c r="F516" s="26">
        <v>83.5</v>
      </c>
      <c r="G516" s="30">
        <f>IF(OR(D516="TARDIO",D516="PENDIENTE (TARDÍO)"),'Efectos y supuestos'!$B$8,0)</f>
        <v>0</v>
      </c>
      <c r="H516" s="14">
        <f t="shared" si="8"/>
        <v>0</v>
      </c>
    </row>
    <row r="517" spans="1:8" x14ac:dyDescent="0.35">
      <c r="A517" s="24" t="s">
        <v>328</v>
      </c>
      <c r="B517" s="29">
        <v>46157</v>
      </c>
      <c r="C517" s="24" t="s">
        <v>478</v>
      </c>
      <c r="D517" s="24" t="s">
        <v>167</v>
      </c>
      <c r="E517" s="25">
        <v>19.38</v>
      </c>
      <c r="F517" s="26">
        <v>115.8</v>
      </c>
      <c r="G517" s="30">
        <f>IF(OR(D517="TARDIO",D517="PENDIENTE (TARDÍO)"),'Efectos y supuestos'!$B$8,0)</f>
        <v>0</v>
      </c>
      <c r="H517" s="14">
        <f t="shared" si="8"/>
        <v>0</v>
      </c>
    </row>
    <row r="518" spans="1:8" x14ac:dyDescent="0.35">
      <c r="A518" s="24" t="s">
        <v>539</v>
      </c>
      <c r="B518" s="29">
        <v>46006</v>
      </c>
      <c r="C518" s="24" t="s">
        <v>480</v>
      </c>
      <c r="D518" s="24" t="s">
        <v>167</v>
      </c>
      <c r="E518" s="25">
        <v>6.24</v>
      </c>
      <c r="F518" s="26">
        <v>121.4</v>
      </c>
      <c r="G518" s="30">
        <f>IF(OR(D518="TARDIO",D518="PENDIENTE (TARDÍO)"),'Efectos y supuestos'!$B$8,0)</f>
        <v>0</v>
      </c>
      <c r="H518" s="14">
        <f t="shared" si="8"/>
        <v>0</v>
      </c>
    </row>
    <row r="519" spans="1:8" x14ac:dyDescent="0.35">
      <c r="A519" s="24" t="s">
        <v>330</v>
      </c>
      <c r="B519" s="29">
        <v>46218</v>
      </c>
      <c r="C519" s="24" t="s">
        <v>478</v>
      </c>
      <c r="D519" s="24" t="s">
        <v>167</v>
      </c>
      <c r="E519" s="25">
        <v>8.4499999999999993</v>
      </c>
      <c r="F519" s="26">
        <v>105</v>
      </c>
      <c r="G519" s="30">
        <f>IF(OR(D519="TARDIO",D519="PENDIENTE (TARDÍO)"),'Efectos y supuestos'!$B$8,0)</f>
        <v>0</v>
      </c>
      <c r="H519" s="14">
        <f t="shared" si="8"/>
        <v>0</v>
      </c>
    </row>
    <row r="520" spans="1:8" x14ac:dyDescent="0.35">
      <c r="A520" s="24" t="s">
        <v>540</v>
      </c>
      <c r="B520" s="29">
        <v>45976</v>
      </c>
      <c r="C520" s="24" t="s">
        <v>480</v>
      </c>
      <c r="D520" s="24" t="s">
        <v>167</v>
      </c>
      <c r="E520" s="25">
        <v>5.55</v>
      </c>
      <c r="F520" s="26">
        <v>111.1</v>
      </c>
      <c r="G520" s="30">
        <f>IF(OR(D520="TARDIO",D520="PENDIENTE (TARDÍO)"),'Efectos y supuestos'!$B$8,0)</f>
        <v>0</v>
      </c>
      <c r="H520" s="14">
        <f t="shared" si="8"/>
        <v>0</v>
      </c>
    </row>
    <row r="521" spans="1:8" x14ac:dyDescent="0.35">
      <c r="A521" s="24" t="s">
        <v>331</v>
      </c>
      <c r="B521" s="29">
        <v>46127</v>
      </c>
      <c r="C521" s="24" t="s">
        <v>478</v>
      </c>
      <c r="D521" s="24" t="s">
        <v>167</v>
      </c>
      <c r="E521" s="25">
        <v>5.59</v>
      </c>
      <c r="F521" s="26">
        <v>93.3</v>
      </c>
      <c r="G521" s="30">
        <f>IF(OR(D521="TARDIO",D521="PENDIENTE (TARDÍO)"),'Efectos y supuestos'!$B$8,0)</f>
        <v>0</v>
      </c>
      <c r="H521" s="14">
        <f t="shared" si="8"/>
        <v>0</v>
      </c>
    </row>
    <row r="522" spans="1:8" x14ac:dyDescent="0.35">
      <c r="A522" s="24" t="s">
        <v>106</v>
      </c>
      <c r="B522" s="29">
        <v>46280</v>
      </c>
      <c r="C522" s="24" t="s">
        <v>478</v>
      </c>
      <c r="D522" s="24" t="s">
        <v>167</v>
      </c>
      <c r="E522" s="25">
        <v>6.44</v>
      </c>
      <c r="F522" s="26">
        <v>105</v>
      </c>
      <c r="G522" s="30">
        <f>IF(OR(D522="TARDIO",D522="PENDIENTE (TARDÍO)"),'Efectos y supuestos'!$B$8,0)</f>
        <v>0</v>
      </c>
      <c r="H522" s="14">
        <f t="shared" si="8"/>
        <v>0</v>
      </c>
    </row>
    <row r="523" spans="1:8" x14ac:dyDescent="0.35">
      <c r="A523" s="24" t="s">
        <v>437</v>
      </c>
      <c r="B523" s="29">
        <v>46218</v>
      </c>
      <c r="C523" s="24" t="s">
        <v>478</v>
      </c>
      <c r="D523" s="24" t="s">
        <v>167</v>
      </c>
      <c r="E523" s="25">
        <v>8.6300000000000008</v>
      </c>
      <c r="F523" s="26">
        <v>105</v>
      </c>
      <c r="G523" s="30">
        <f>IF(OR(D523="TARDIO",D523="PENDIENTE (TARDÍO)"),'Efectos y supuestos'!$B$8,0)</f>
        <v>0</v>
      </c>
      <c r="H523" s="14">
        <f t="shared" si="8"/>
        <v>0</v>
      </c>
    </row>
    <row r="524" spans="1:8" x14ac:dyDescent="0.35">
      <c r="A524" s="24" t="s">
        <v>135</v>
      </c>
      <c r="B524" s="29">
        <v>46006</v>
      </c>
      <c r="C524" s="24" t="s">
        <v>480</v>
      </c>
      <c r="D524" s="24" t="s">
        <v>167</v>
      </c>
      <c r="E524" s="25">
        <v>8.9</v>
      </c>
      <c r="F524" s="26">
        <v>85.4</v>
      </c>
      <c r="G524" s="30">
        <f>IF(OR(D524="TARDIO",D524="PENDIENTE (TARDÍO)"),'Efectos y supuestos'!$B$8,0)</f>
        <v>0</v>
      </c>
      <c r="H524" s="14">
        <f t="shared" si="8"/>
        <v>0</v>
      </c>
    </row>
    <row r="525" spans="1:8" x14ac:dyDescent="0.35">
      <c r="A525" s="24" t="s">
        <v>334</v>
      </c>
      <c r="B525" s="29">
        <v>46300</v>
      </c>
      <c r="C525" s="24" t="s">
        <v>478</v>
      </c>
      <c r="D525" s="24" t="s">
        <v>167</v>
      </c>
      <c r="E525" s="25">
        <v>16.07</v>
      </c>
      <c r="F525" s="26">
        <v>105</v>
      </c>
      <c r="G525" s="30">
        <f>IF(OR(D525="TARDIO",D525="PENDIENTE (TARDÍO)"),'Efectos y supuestos'!$B$8,0)</f>
        <v>0</v>
      </c>
      <c r="H525" s="14">
        <f t="shared" si="8"/>
        <v>0</v>
      </c>
    </row>
    <row r="526" spans="1:8" x14ac:dyDescent="0.35">
      <c r="A526" s="24" t="s">
        <v>336</v>
      </c>
      <c r="B526" s="29">
        <v>46280</v>
      </c>
      <c r="C526" s="24" t="s">
        <v>478</v>
      </c>
      <c r="D526" s="24" t="s">
        <v>167</v>
      </c>
      <c r="E526" s="25">
        <v>15.67</v>
      </c>
      <c r="F526" s="26">
        <v>105</v>
      </c>
      <c r="G526" s="30">
        <f>IF(OR(D526="TARDIO",D526="PENDIENTE (TARDÍO)"),'Efectos y supuestos'!$B$8,0)</f>
        <v>0</v>
      </c>
      <c r="H526" s="14">
        <f t="shared" si="8"/>
        <v>0</v>
      </c>
    </row>
    <row r="527" spans="1:8" x14ac:dyDescent="0.35">
      <c r="A527" s="24" t="s">
        <v>341</v>
      </c>
      <c r="B527" s="29">
        <v>46280</v>
      </c>
      <c r="C527" s="24" t="s">
        <v>478</v>
      </c>
      <c r="D527" s="24" t="s">
        <v>167</v>
      </c>
      <c r="E527" s="25">
        <v>3.48</v>
      </c>
      <c r="F527" s="26">
        <v>105</v>
      </c>
      <c r="G527" s="30">
        <f>IF(OR(D527="TARDIO",D527="PENDIENTE (TARDÍO)"),'Efectos y supuestos'!$B$8,0)</f>
        <v>0</v>
      </c>
      <c r="H527" s="14">
        <f t="shared" si="8"/>
        <v>0</v>
      </c>
    </row>
    <row r="528" spans="1:8" x14ac:dyDescent="0.35">
      <c r="A528" s="24" t="s">
        <v>541</v>
      </c>
      <c r="B528" s="29">
        <v>46006</v>
      </c>
      <c r="C528" s="24" t="s">
        <v>480</v>
      </c>
      <c r="D528" s="24" t="s">
        <v>167</v>
      </c>
      <c r="E528" s="25">
        <v>2.98</v>
      </c>
      <c r="F528" s="26">
        <v>79.400000000000006</v>
      </c>
      <c r="G528" s="30">
        <f>IF(OR(D528="TARDIO",D528="PENDIENTE (TARDÍO)"),'Efectos y supuestos'!$B$8,0)</f>
        <v>0</v>
      </c>
      <c r="H528" s="14">
        <f t="shared" si="8"/>
        <v>0</v>
      </c>
    </row>
    <row r="529" spans="1:8" x14ac:dyDescent="0.35">
      <c r="A529" s="24" t="s">
        <v>112</v>
      </c>
      <c r="B529" s="29">
        <v>46280</v>
      </c>
      <c r="C529" s="24" t="s">
        <v>478</v>
      </c>
      <c r="D529" s="24" t="s">
        <v>167</v>
      </c>
      <c r="E529" s="25">
        <v>18.66</v>
      </c>
      <c r="F529" s="26">
        <v>105</v>
      </c>
      <c r="G529" s="30">
        <f>IF(OR(D529="TARDIO",D529="PENDIENTE (TARDÍO)"),'Efectos y supuestos'!$B$8,0)</f>
        <v>0</v>
      </c>
      <c r="H529" s="14">
        <f t="shared" si="8"/>
        <v>0</v>
      </c>
    </row>
    <row r="530" spans="1:8" x14ac:dyDescent="0.35">
      <c r="A530" s="24" t="s">
        <v>542</v>
      </c>
      <c r="B530" s="29">
        <v>46006</v>
      </c>
      <c r="C530" s="24" t="s">
        <v>480</v>
      </c>
      <c r="D530" s="24" t="s">
        <v>167</v>
      </c>
      <c r="E530" s="25">
        <v>3.6</v>
      </c>
      <c r="F530" s="26">
        <v>111.4</v>
      </c>
      <c r="G530" s="30">
        <f>IF(OR(D530="TARDIO",D530="PENDIENTE (TARDÍO)"),'Efectos y supuestos'!$B$8,0)</f>
        <v>0</v>
      </c>
      <c r="H530" s="14">
        <f t="shared" si="8"/>
        <v>0</v>
      </c>
    </row>
    <row r="531" spans="1:8" x14ac:dyDescent="0.35">
      <c r="A531" s="24" t="s">
        <v>543</v>
      </c>
      <c r="B531" s="29">
        <v>46006</v>
      </c>
      <c r="C531" s="24" t="s">
        <v>480</v>
      </c>
      <c r="D531" s="24" t="s">
        <v>167</v>
      </c>
      <c r="E531" s="25">
        <v>3.2</v>
      </c>
      <c r="F531" s="26">
        <v>124.8</v>
      </c>
      <c r="G531" s="30">
        <f>IF(OR(D531="TARDIO",D531="PENDIENTE (TARDÍO)"),'Efectos y supuestos'!$B$8,0)</f>
        <v>0</v>
      </c>
      <c r="H531" s="14">
        <f t="shared" si="8"/>
        <v>0</v>
      </c>
    </row>
    <row r="532" spans="1:8" x14ac:dyDescent="0.35">
      <c r="A532" s="24" t="s">
        <v>544</v>
      </c>
      <c r="B532" s="29">
        <v>45976</v>
      </c>
      <c r="C532" s="24" t="s">
        <v>480</v>
      </c>
      <c r="D532" s="24" t="s">
        <v>167</v>
      </c>
      <c r="E532" s="25">
        <v>7.66</v>
      </c>
      <c r="F532" s="26">
        <v>131.4</v>
      </c>
      <c r="G532" s="30">
        <f>IF(OR(D532="TARDIO",D532="PENDIENTE (TARDÍO)"),'Efectos y supuestos'!$B$8,0)</f>
        <v>0</v>
      </c>
      <c r="H532" s="14">
        <f t="shared" si="8"/>
        <v>0</v>
      </c>
    </row>
    <row r="533" spans="1:8" x14ac:dyDescent="0.35">
      <c r="A533" s="24" t="s">
        <v>545</v>
      </c>
      <c r="B533" s="29">
        <v>46006</v>
      </c>
      <c r="C533" s="24" t="s">
        <v>480</v>
      </c>
      <c r="D533" s="24" t="s">
        <v>167</v>
      </c>
      <c r="E533" s="25">
        <v>14.9</v>
      </c>
      <c r="F533" s="26">
        <v>127</v>
      </c>
      <c r="G533" s="30">
        <f>IF(OR(D533="TARDIO",D533="PENDIENTE (TARDÍO)"),'Efectos y supuestos'!$B$8,0)</f>
        <v>0</v>
      </c>
      <c r="H533" s="14">
        <f t="shared" si="8"/>
        <v>0</v>
      </c>
    </row>
    <row r="534" spans="1:8" x14ac:dyDescent="0.35">
      <c r="A534" s="24" t="s">
        <v>546</v>
      </c>
      <c r="B534" s="29">
        <v>45976</v>
      </c>
      <c r="C534" s="24" t="s">
        <v>480</v>
      </c>
      <c r="D534" s="24" t="s">
        <v>167</v>
      </c>
      <c r="E534" s="25">
        <v>20.53</v>
      </c>
      <c r="F534" s="26">
        <v>92.4</v>
      </c>
      <c r="G534" s="30">
        <f>IF(OR(D534="TARDIO",D534="PENDIENTE (TARDÍO)"),'Efectos y supuestos'!$B$8,0)</f>
        <v>0</v>
      </c>
      <c r="H534" s="14">
        <f t="shared" si="8"/>
        <v>0</v>
      </c>
    </row>
    <row r="535" spans="1:8" x14ac:dyDescent="0.35">
      <c r="A535" s="24" t="s">
        <v>346</v>
      </c>
      <c r="B535" s="29">
        <v>46188</v>
      </c>
      <c r="C535" s="24" t="s">
        <v>478</v>
      </c>
      <c r="D535" s="24" t="s">
        <v>167</v>
      </c>
      <c r="E535" s="25">
        <v>5.43</v>
      </c>
      <c r="F535" s="26">
        <v>104.7</v>
      </c>
      <c r="G535" s="30">
        <f>IF(OR(D535="TARDIO",D535="PENDIENTE (TARDÍO)"),'Efectos y supuestos'!$B$8,0)</f>
        <v>0</v>
      </c>
      <c r="H535" s="14">
        <f t="shared" si="8"/>
        <v>0</v>
      </c>
    </row>
    <row r="536" spans="1:8" x14ac:dyDescent="0.35">
      <c r="A536" s="24" t="s">
        <v>347</v>
      </c>
      <c r="B536" s="29">
        <v>46096</v>
      </c>
      <c r="C536" s="24" t="s">
        <v>478</v>
      </c>
      <c r="D536" s="24" t="s">
        <v>167</v>
      </c>
      <c r="E536" s="25">
        <v>7.26</v>
      </c>
      <c r="F536" s="26">
        <v>90.8</v>
      </c>
      <c r="G536" s="30">
        <f>IF(OR(D536="TARDIO",D536="PENDIENTE (TARDÍO)"),'Efectos y supuestos'!$B$8,0)</f>
        <v>0</v>
      </c>
      <c r="H536" s="14">
        <f t="shared" si="8"/>
        <v>0</v>
      </c>
    </row>
    <row r="537" spans="1:8" x14ac:dyDescent="0.35">
      <c r="A537" s="24" t="s">
        <v>348</v>
      </c>
      <c r="B537" s="29">
        <v>46096</v>
      </c>
      <c r="C537" s="24" t="s">
        <v>478</v>
      </c>
      <c r="D537" s="24" t="s">
        <v>167</v>
      </c>
      <c r="E537" s="25">
        <v>19.28</v>
      </c>
      <c r="F537" s="26">
        <v>93.3</v>
      </c>
      <c r="G537" s="30">
        <f>IF(OR(D537="TARDIO",D537="PENDIENTE (TARDÍO)"),'Efectos y supuestos'!$B$8,0)</f>
        <v>0</v>
      </c>
      <c r="H537" s="14">
        <f t="shared" si="8"/>
        <v>0</v>
      </c>
    </row>
    <row r="538" spans="1:8" x14ac:dyDescent="0.35">
      <c r="A538" s="24" t="s">
        <v>547</v>
      </c>
      <c r="B538" s="29">
        <v>46006</v>
      </c>
      <c r="C538" s="24" t="s">
        <v>480</v>
      </c>
      <c r="D538" s="24" t="s">
        <v>167</v>
      </c>
      <c r="E538" s="25">
        <v>7.42</v>
      </c>
      <c r="F538" s="26">
        <v>84.8</v>
      </c>
      <c r="G538" s="30">
        <f>IF(OR(D538="TARDIO",D538="PENDIENTE (TARDÍO)"),'Efectos y supuestos'!$B$8,0)</f>
        <v>0</v>
      </c>
      <c r="H538" s="14">
        <f t="shared" si="8"/>
        <v>0</v>
      </c>
    </row>
    <row r="539" spans="1:8" x14ac:dyDescent="0.35">
      <c r="A539" s="24" t="s">
        <v>548</v>
      </c>
      <c r="B539" s="29">
        <v>46006</v>
      </c>
      <c r="C539" s="24" t="s">
        <v>480</v>
      </c>
      <c r="D539" s="24" t="s">
        <v>167</v>
      </c>
      <c r="E539" s="25">
        <v>10.26</v>
      </c>
      <c r="F539" s="26">
        <v>98.3</v>
      </c>
      <c r="G539" s="30">
        <f>IF(OR(D539="TARDIO",D539="PENDIENTE (TARDÍO)"),'Efectos y supuestos'!$B$8,0)</f>
        <v>0</v>
      </c>
      <c r="H539" s="14">
        <f t="shared" si="8"/>
        <v>0</v>
      </c>
    </row>
    <row r="540" spans="1:8" x14ac:dyDescent="0.35">
      <c r="A540" s="24" t="s">
        <v>549</v>
      </c>
      <c r="B540" s="29">
        <v>46006</v>
      </c>
      <c r="C540" s="24" t="s">
        <v>480</v>
      </c>
      <c r="D540" s="24" t="s">
        <v>167</v>
      </c>
      <c r="E540" s="25">
        <v>5.82</v>
      </c>
      <c r="F540" s="26">
        <v>114.2</v>
      </c>
      <c r="G540" s="30">
        <f>IF(OR(D540="TARDIO",D540="PENDIENTE (TARDÍO)"),'Efectos y supuestos'!$B$8,0)</f>
        <v>0</v>
      </c>
      <c r="H540" s="14">
        <f t="shared" si="8"/>
        <v>0</v>
      </c>
    </row>
    <row r="541" spans="1:8" x14ac:dyDescent="0.35">
      <c r="A541" s="24" t="s">
        <v>143</v>
      </c>
      <c r="B541" s="29">
        <v>46006</v>
      </c>
      <c r="C541" s="24" t="s">
        <v>480</v>
      </c>
      <c r="D541" s="24" t="s">
        <v>167</v>
      </c>
      <c r="E541" s="25">
        <v>7.61</v>
      </c>
      <c r="F541" s="26">
        <v>102.6</v>
      </c>
      <c r="G541" s="30">
        <f>IF(OR(D541="TARDIO",D541="PENDIENTE (TARDÍO)"),'Efectos y supuestos'!$B$8,0)</f>
        <v>0</v>
      </c>
      <c r="H541" s="14">
        <f t="shared" si="8"/>
        <v>0</v>
      </c>
    </row>
    <row r="542" spans="1:8" x14ac:dyDescent="0.35">
      <c r="A542" s="24" t="s">
        <v>144</v>
      </c>
      <c r="B542" s="29">
        <v>46006</v>
      </c>
      <c r="C542" s="24" t="s">
        <v>480</v>
      </c>
      <c r="D542" s="24" t="s">
        <v>167</v>
      </c>
      <c r="E542" s="25">
        <v>15.21</v>
      </c>
      <c r="F542" s="26">
        <v>96.7</v>
      </c>
      <c r="G542" s="30">
        <f>IF(OR(D542="TARDIO",D542="PENDIENTE (TARDÍO)"),'Efectos y supuestos'!$B$8,0)</f>
        <v>0</v>
      </c>
      <c r="H542" s="14">
        <f t="shared" si="8"/>
        <v>0</v>
      </c>
    </row>
    <row r="543" spans="1:8" x14ac:dyDescent="0.35">
      <c r="A543" s="24" t="s">
        <v>472</v>
      </c>
      <c r="B543" s="29">
        <v>46188</v>
      </c>
      <c r="C543" s="24" t="s">
        <v>478</v>
      </c>
      <c r="D543" s="24" t="s">
        <v>167</v>
      </c>
      <c r="E543" s="25">
        <v>5.49</v>
      </c>
      <c r="F543" s="26">
        <v>111.1</v>
      </c>
      <c r="G543" s="30">
        <f>IF(OR(D543="TARDIO",D543="PENDIENTE (TARDÍO)"),'Efectos y supuestos'!$B$8,0)</f>
        <v>0</v>
      </c>
      <c r="H543" s="14">
        <f t="shared" si="8"/>
        <v>0</v>
      </c>
    </row>
    <row r="544" spans="1:8" x14ac:dyDescent="0.35">
      <c r="A544" s="24" t="s">
        <v>360</v>
      </c>
      <c r="B544" s="29">
        <v>46280</v>
      </c>
      <c r="C544" s="24" t="s">
        <v>478</v>
      </c>
      <c r="D544" s="24" t="s">
        <v>167</v>
      </c>
      <c r="E544" s="25">
        <v>8.67</v>
      </c>
      <c r="F544" s="26">
        <v>105</v>
      </c>
      <c r="G544" s="30">
        <f>IF(OR(D544="TARDIO",D544="PENDIENTE (TARDÍO)"),'Efectos y supuestos'!$B$8,0)</f>
        <v>0</v>
      </c>
      <c r="H544" s="14">
        <f t="shared" si="8"/>
        <v>0</v>
      </c>
    </row>
    <row r="545" spans="1:8" x14ac:dyDescent="0.35">
      <c r="A545" s="24" t="s">
        <v>361</v>
      </c>
      <c r="B545" s="29">
        <v>46096</v>
      </c>
      <c r="C545" s="24" t="s">
        <v>478</v>
      </c>
      <c r="D545" s="24" t="s">
        <v>167</v>
      </c>
      <c r="E545" s="25">
        <v>11.37</v>
      </c>
      <c r="F545" s="26">
        <v>87.6</v>
      </c>
      <c r="G545" s="30">
        <f>IF(OR(D545="TARDIO",D545="PENDIENTE (TARDÍO)"),'Efectos y supuestos'!$B$8,0)</f>
        <v>0</v>
      </c>
      <c r="H545" s="14">
        <f t="shared" si="8"/>
        <v>0</v>
      </c>
    </row>
    <row r="546" spans="1:8" x14ac:dyDescent="0.35">
      <c r="A546" s="24" t="s">
        <v>362</v>
      </c>
      <c r="B546" s="29">
        <v>46096</v>
      </c>
      <c r="C546" s="24" t="s">
        <v>478</v>
      </c>
      <c r="D546" s="24" t="s">
        <v>167</v>
      </c>
      <c r="E546" s="25">
        <v>16.34</v>
      </c>
      <c r="F546" s="26">
        <v>114.2</v>
      </c>
      <c r="G546" s="30">
        <f>IF(OR(D546="TARDIO",D546="PENDIENTE (TARDÍO)"),'Efectos y supuestos'!$B$8,0)</f>
        <v>0</v>
      </c>
      <c r="H546" s="14">
        <f t="shared" si="8"/>
        <v>0</v>
      </c>
    </row>
    <row r="547" spans="1:8" x14ac:dyDescent="0.35">
      <c r="A547" s="24" t="s">
        <v>363</v>
      </c>
      <c r="B547" s="29">
        <v>46096</v>
      </c>
      <c r="C547" s="24" t="s">
        <v>478</v>
      </c>
      <c r="D547" s="24" t="s">
        <v>167</v>
      </c>
      <c r="E547" s="25">
        <v>8.06</v>
      </c>
      <c r="F547" s="26">
        <v>84.7</v>
      </c>
      <c r="G547" s="30">
        <f>IF(OR(D547="TARDIO",D547="PENDIENTE (TARDÍO)"),'Efectos y supuestos'!$B$8,0)</f>
        <v>0</v>
      </c>
      <c r="H547" s="14">
        <f t="shared" si="8"/>
        <v>0</v>
      </c>
    </row>
    <row r="548" spans="1:8" x14ac:dyDescent="0.35">
      <c r="A548" s="24" t="s">
        <v>364</v>
      </c>
      <c r="B548" s="29">
        <v>46127</v>
      </c>
      <c r="C548" s="24" t="s">
        <v>478</v>
      </c>
      <c r="D548" s="24" t="s">
        <v>167</v>
      </c>
      <c r="E548" s="25">
        <v>9.77</v>
      </c>
      <c r="F548" s="26">
        <v>89.1</v>
      </c>
      <c r="G548" s="30">
        <f>IF(OR(D548="TARDIO",D548="PENDIENTE (TARDÍO)"),'Efectos y supuestos'!$B$8,0)</f>
        <v>0</v>
      </c>
      <c r="H548" s="14">
        <f t="shared" si="8"/>
        <v>0</v>
      </c>
    </row>
    <row r="549" spans="1:8" x14ac:dyDescent="0.35">
      <c r="A549" s="24" t="s">
        <v>407</v>
      </c>
      <c r="B549" s="29">
        <v>46280</v>
      </c>
      <c r="C549" s="24" t="s">
        <v>478</v>
      </c>
      <c r="D549" s="24" t="s">
        <v>167</v>
      </c>
      <c r="E549" s="25">
        <v>4.01</v>
      </c>
      <c r="F549" s="26">
        <v>105</v>
      </c>
      <c r="G549" s="30">
        <f>IF(OR(D549="TARDIO",D549="PENDIENTE (TARDÍO)"),'Efectos y supuestos'!$B$8,0)</f>
        <v>0</v>
      </c>
      <c r="H549" s="14">
        <f t="shared" si="8"/>
        <v>0</v>
      </c>
    </row>
    <row r="550" spans="1:8" x14ac:dyDescent="0.35">
      <c r="A550" s="24" t="s">
        <v>366</v>
      </c>
      <c r="B550" s="29">
        <v>46068</v>
      </c>
      <c r="C550" s="24" t="s">
        <v>478</v>
      </c>
      <c r="D550" s="24" t="s">
        <v>167</v>
      </c>
      <c r="E550" s="25">
        <v>12.74</v>
      </c>
      <c r="F550" s="26">
        <v>111.8</v>
      </c>
      <c r="G550" s="30">
        <f>IF(OR(D550="TARDIO",D550="PENDIENTE (TARDÍO)"),'Efectos y supuestos'!$B$8,0)</f>
        <v>0</v>
      </c>
      <c r="H550" s="14">
        <f t="shared" si="8"/>
        <v>0</v>
      </c>
    </row>
    <row r="551" spans="1:8" x14ac:dyDescent="0.35">
      <c r="A551" s="24" t="s">
        <v>367</v>
      </c>
      <c r="B551" s="29">
        <v>46068</v>
      </c>
      <c r="C551" s="24" t="s">
        <v>478</v>
      </c>
      <c r="D551" s="24" t="s">
        <v>167</v>
      </c>
      <c r="E551" s="25">
        <v>11.11</v>
      </c>
      <c r="F551" s="26">
        <v>96.4</v>
      </c>
      <c r="G551" s="30">
        <f>IF(OR(D551="TARDIO",D551="PENDIENTE (TARDÍO)"),'Efectos y supuestos'!$B$8,0)</f>
        <v>0</v>
      </c>
      <c r="H551" s="14">
        <f t="shared" si="8"/>
        <v>0</v>
      </c>
    </row>
    <row r="552" spans="1:8" x14ac:dyDescent="0.35">
      <c r="A552" s="24" t="s">
        <v>550</v>
      </c>
      <c r="B552" s="29">
        <v>45976</v>
      </c>
      <c r="C552" s="24" t="s">
        <v>480</v>
      </c>
      <c r="D552" s="24" t="s">
        <v>167</v>
      </c>
      <c r="E552" s="25">
        <v>7.55</v>
      </c>
      <c r="F552" s="26">
        <v>109.5</v>
      </c>
      <c r="G552" s="30">
        <f>IF(OR(D552="TARDIO",D552="PENDIENTE (TARDÍO)"),'Efectos y supuestos'!$B$8,0)</f>
        <v>0</v>
      </c>
      <c r="H552" s="14">
        <f t="shared" si="8"/>
        <v>0</v>
      </c>
    </row>
    <row r="553" spans="1:8" x14ac:dyDescent="0.35">
      <c r="A553" s="24" t="s">
        <v>372</v>
      </c>
      <c r="B553" s="29">
        <v>46280</v>
      </c>
      <c r="C553" s="24" t="s">
        <v>478</v>
      </c>
      <c r="D553" s="24" t="s">
        <v>167</v>
      </c>
      <c r="E553" s="25">
        <v>9.58</v>
      </c>
      <c r="F553" s="26">
        <v>105</v>
      </c>
      <c r="G553" s="30">
        <f>IF(OR(D553="TARDIO",D553="PENDIENTE (TARDÍO)"),'Efectos y supuestos'!$B$8,0)</f>
        <v>0</v>
      </c>
      <c r="H553" s="14">
        <f t="shared" si="8"/>
        <v>0</v>
      </c>
    </row>
    <row r="554" spans="1:8" x14ac:dyDescent="0.35">
      <c r="A554" s="24" t="s">
        <v>374</v>
      </c>
      <c r="B554" s="29">
        <v>46096</v>
      </c>
      <c r="C554" s="24" t="s">
        <v>478</v>
      </c>
      <c r="D554" s="24" t="s">
        <v>167</v>
      </c>
      <c r="E554" s="25">
        <v>7.3</v>
      </c>
      <c r="F554" s="26">
        <v>95.1</v>
      </c>
      <c r="G554" s="30">
        <f>IF(OR(D554="TARDIO",D554="PENDIENTE (TARDÍO)"),'Efectos y supuestos'!$B$8,0)</f>
        <v>0</v>
      </c>
      <c r="H554" s="14">
        <f t="shared" si="8"/>
        <v>0</v>
      </c>
    </row>
    <row r="555" spans="1:8" x14ac:dyDescent="0.35">
      <c r="A555" s="24" t="s">
        <v>375</v>
      </c>
      <c r="B555" s="29">
        <v>46096</v>
      </c>
      <c r="C555" s="24" t="s">
        <v>478</v>
      </c>
      <c r="D555" s="24" t="s">
        <v>167</v>
      </c>
      <c r="E555" s="25">
        <v>5.32</v>
      </c>
      <c r="F555" s="26">
        <v>98.5</v>
      </c>
      <c r="G555" s="30">
        <f>IF(OR(D555="TARDIO",D555="PENDIENTE (TARDÍO)"),'Efectos y supuestos'!$B$8,0)</f>
        <v>0</v>
      </c>
      <c r="H555" s="14">
        <f t="shared" si="8"/>
        <v>0</v>
      </c>
    </row>
    <row r="556" spans="1:8" x14ac:dyDescent="0.35">
      <c r="A556" s="24" t="s">
        <v>376</v>
      </c>
      <c r="B556" s="29">
        <v>46127</v>
      </c>
      <c r="C556" s="24" t="s">
        <v>478</v>
      </c>
      <c r="D556" s="24" t="s">
        <v>167</v>
      </c>
      <c r="E556" s="25">
        <v>15.99</v>
      </c>
      <c r="F556" s="26">
        <v>81.7</v>
      </c>
      <c r="G556" s="30">
        <f>IF(OR(D556="TARDIO",D556="PENDIENTE (TARDÍO)"),'Efectos y supuestos'!$B$8,0)</f>
        <v>0</v>
      </c>
      <c r="H556" s="14">
        <f t="shared" si="8"/>
        <v>0</v>
      </c>
    </row>
    <row r="557" spans="1:8" x14ac:dyDescent="0.35">
      <c r="A557" s="24" t="s">
        <v>377</v>
      </c>
      <c r="B557" s="29">
        <v>46127</v>
      </c>
      <c r="C557" s="24" t="s">
        <v>478</v>
      </c>
      <c r="D557" s="24" t="s">
        <v>167</v>
      </c>
      <c r="E557" s="25">
        <v>16.89</v>
      </c>
      <c r="F557" s="26">
        <v>98.9</v>
      </c>
      <c r="G557" s="30">
        <f>IF(OR(D557="TARDIO",D557="PENDIENTE (TARDÍO)"),'Efectos y supuestos'!$B$8,0)</f>
        <v>0</v>
      </c>
      <c r="H557" s="14">
        <f t="shared" si="8"/>
        <v>0</v>
      </c>
    </row>
    <row r="558" spans="1:8" x14ac:dyDescent="0.35">
      <c r="A558" s="24" t="s">
        <v>551</v>
      </c>
      <c r="B558" s="29">
        <v>45976</v>
      </c>
      <c r="C558" s="24" t="s">
        <v>480</v>
      </c>
      <c r="D558" s="24" t="s">
        <v>380</v>
      </c>
      <c r="E558" s="25">
        <v>3.36</v>
      </c>
      <c r="F558" s="26">
        <v>95.2</v>
      </c>
      <c r="G558" s="30">
        <f>IF(OR(D558="TARDIO",D558="PENDIENTE (TARDÍO)"),'Efectos y supuestos'!$B$8,0)</f>
        <v>0</v>
      </c>
      <c r="H558" s="14">
        <f t="shared" si="8"/>
        <v>0</v>
      </c>
    </row>
    <row r="559" spans="1:8" x14ac:dyDescent="0.35">
      <c r="A559" s="24" t="s">
        <v>552</v>
      </c>
      <c r="B559" s="29">
        <v>46006</v>
      </c>
      <c r="C559" s="24" t="s">
        <v>480</v>
      </c>
      <c r="D559" s="24" t="s">
        <v>380</v>
      </c>
      <c r="E559" s="25">
        <v>8.27</v>
      </c>
      <c r="F559" s="26">
        <v>105.1</v>
      </c>
      <c r="G559" s="30">
        <f>IF(OR(D559="TARDIO",D559="PENDIENTE (TARDÍO)"),'Efectos y supuestos'!$B$8,0)</f>
        <v>0</v>
      </c>
      <c r="H559" s="14">
        <f t="shared" si="8"/>
        <v>0</v>
      </c>
    </row>
    <row r="560" spans="1:8" x14ac:dyDescent="0.35">
      <c r="A560" s="24" t="s">
        <v>553</v>
      </c>
      <c r="B560" s="29">
        <v>46006</v>
      </c>
      <c r="C560" s="24" t="s">
        <v>480</v>
      </c>
      <c r="D560" s="24" t="s">
        <v>380</v>
      </c>
      <c r="E560" s="25">
        <v>6.31</v>
      </c>
      <c r="F560" s="26">
        <v>93.7</v>
      </c>
      <c r="G560" s="30">
        <f>IF(OR(D560="TARDIO",D560="PENDIENTE (TARDÍO)"),'Efectos y supuestos'!$B$8,0)</f>
        <v>0</v>
      </c>
      <c r="H560" s="14">
        <f t="shared" si="8"/>
        <v>0</v>
      </c>
    </row>
    <row r="561" spans="1:8" x14ac:dyDescent="0.35">
      <c r="A561" s="24" t="s">
        <v>554</v>
      </c>
      <c r="B561" s="29">
        <v>46096</v>
      </c>
      <c r="C561" s="24" t="s">
        <v>480</v>
      </c>
      <c r="D561" s="24" t="s">
        <v>380</v>
      </c>
      <c r="E561" s="25">
        <v>6.19</v>
      </c>
      <c r="F561" s="26">
        <v>113.1</v>
      </c>
      <c r="G561" s="30">
        <f>IF(OR(D561="TARDIO",D561="PENDIENTE (TARDÍO)"),'Efectos y supuestos'!$B$8,0)</f>
        <v>0</v>
      </c>
      <c r="H561" s="14">
        <f t="shared" si="8"/>
        <v>0</v>
      </c>
    </row>
    <row r="562" spans="1:8" x14ac:dyDescent="0.35">
      <c r="A562" s="24" t="s">
        <v>126</v>
      </c>
      <c r="B562" s="29">
        <v>46006</v>
      </c>
      <c r="C562" s="24" t="s">
        <v>480</v>
      </c>
      <c r="D562" s="24" t="s">
        <v>380</v>
      </c>
      <c r="E562" s="25">
        <v>5.66</v>
      </c>
      <c r="F562" s="26">
        <v>91.1</v>
      </c>
      <c r="G562" s="30">
        <f>IF(OR(D562="TARDIO",D562="PENDIENTE (TARDÍO)"),'Efectos y supuestos'!$B$8,0)</f>
        <v>0</v>
      </c>
      <c r="H562" s="14">
        <f t="shared" si="8"/>
        <v>0</v>
      </c>
    </row>
    <row r="563" spans="1:8" x14ac:dyDescent="0.35">
      <c r="A563" s="24" t="s">
        <v>555</v>
      </c>
      <c r="B563" s="29">
        <v>46006</v>
      </c>
      <c r="C563" s="24" t="s">
        <v>480</v>
      </c>
      <c r="D563" s="24" t="s">
        <v>380</v>
      </c>
      <c r="E563" s="25">
        <v>3.63</v>
      </c>
      <c r="F563" s="26">
        <v>105</v>
      </c>
      <c r="G563" s="30">
        <f>IF(OR(D563="TARDIO",D563="PENDIENTE (TARDÍO)"),'Efectos y supuestos'!$B$8,0)</f>
        <v>0</v>
      </c>
      <c r="H563" s="14">
        <f t="shared" si="8"/>
        <v>0</v>
      </c>
    </row>
    <row r="564" spans="1:8" x14ac:dyDescent="0.35">
      <c r="A564" s="24" t="s">
        <v>556</v>
      </c>
      <c r="B564" s="29">
        <v>45976</v>
      </c>
      <c r="C564" s="24" t="s">
        <v>480</v>
      </c>
      <c r="D564" s="24" t="s">
        <v>380</v>
      </c>
      <c r="E564" s="25">
        <v>8.35</v>
      </c>
      <c r="F564" s="26">
        <v>124.6</v>
      </c>
      <c r="G564" s="30">
        <f>IF(OR(D564="TARDIO",D564="PENDIENTE (TARDÍO)"),'Efectos y supuestos'!$B$8,0)</f>
        <v>0</v>
      </c>
      <c r="H564" s="14">
        <f t="shared" si="8"/>
        <v>0</v>
      </c>
    </row>
    <row r="565" spans="1:8" x14ac:dyDescent="0.35">
      <c r="A565" s="24" t="s">
        <v>557</v>
      </c>
      <c r="B565" s="29">
        <v>45976</v>
      </c>
      <c r="C565" s="24" t="s">
        <v>480</v>
      </c>
      <c r="D565" s="24" t="s">
        <v>380</v>
      </c>
      <c r="E565" s="25">
        <v>8.07</v>
      </c>
      <c r="F565" s="26">
        <v>73.599999999999994</v>
      </c>
      <c r="G565" s="30">
        <f>IF(OR(D565="TARDIO",D565="PENDIENTE (TARDÍO)"),'Efectos y supuestos'!$B$8,0)</f>
        <v>0</v>
      </c>
      <c r="H565" s="14">
        <f t="shared" si="8"/>
        <v>0</v>
      </c>
    </row>
    <row r="566" spans="1:8" x14ac:dyDescent="0.35">
      <c r="A566" s="24" t="s">
        <v>558</v>
      </c>
      <c r="B566" s="29">
        <v>45976</v>
      </c>
      <c r="C566" s="24" t="s">
        <v>480</v>
      </c>
      <c r="D566" s="24" t="s">
        <v>380</v>
      </c>
      <c r="E566" s="25">
        <v>13.73</v>
      </c>
      <c r="F566" s="26">
        <v>122.1</v>
      </c>
      <c r="G566" s="30">
        <f>IF(OR(D566="TARDIO",D566="PENDIENTE (TARDÍO)"),'Efectos y supuestos'!$B$8,0)</f>
        <v>0</v>
      </c>
      <c r="H566" s="14">
        <f t="shared" si="8"/>
        <v>0</v>
      </c>
    </row>
    <row r="567" spans="1:8" x14ac:dyDescent="0.35">
      <c r="A567" s="24" t="s">
        <v>134</v>
      </c>
      <c r="B567" s="29">
        <v>46006</v>
      </c>
      <c r="C567" s="24" t="s">
        <v>480</v>
      </c>
      <c r="D567" s="24" t="s">
        <v>380</v>
      </c>
      <c r="E567" s="25">
        <v>13.47</v>
      </c>
      <c r="F567" s="26">
        <v>100</v>
      </c>
      <c r="G567" s="30">
        <f>IF(OR(D567="TARDIO",D567="PENDIENTE (TARDÍO)"),'Efectos y supuestos'!$B$8,0)</f>
        <v>0</v>
      </c>
      <c r="H567" s="14">
        <f t="shared" si="8"/>
        <v>0</v>
      </c>
    </row>
    <row r="568" spans="1:8" x14ac:dyDescent="0.35">
      <c r="A568" s="24" t="s">
        <v>136</v>
      </c>
      <c r="B568" s="29">
        <v>46006</v>
      </c>
      <c r="C568" s="24" t="s">
        <v>480</v>
      </c>
      <c r="D568" s="24" t="s">
        <v>380</v>
      </c>
      <c r="E568" s="25">
        <v>5.27</v>
      </c>
      <c r="F568" s="26">
        <v>78.099999999999994</v>
      </c>
      <c r="G568" s="30">
        <f>IF(OR(D568="TARDIO",D568="PENDIENTE (TARDÍO)"),'Efectos y supuestos'!$B$8,0)</f>
        <v>0</v>
      </c>
      <c r="H568" s="14">
        <f t="shared" si="8"/>
        <v>0</v>
      </c>
    </row>
    <row r="569" spans="1:8" x14ac:dyDescent="0.35">
      <c r="A569" s="24" t="s">
        <v>559</v>
      </c>
      <c r="B569" s="29">
        <v>46006</v>
      </c>
      <c r="C569" s="24" t="s">
        <v>480</v>
      </c>
      <c r="D569" s="24" t="s">
        <v>380</v>
      </c>
      <c r="E569" s="25">
        <v>9.51</v>
      </c>
      <c r="F569" s="26">
        <v>69.599999999999994</v>
      </c>
      <c r="G569" s="30">
        <f>IF(OR(D569="TARDIO",D569="PENDIENTE (TARDÍO)"),'Efectos y supuestos'!$B$8,0)</f>
        <v>0</v>
      </c>
      <c r="H569" s="14">
        <f t="shared" si="8"/>
        <v>0</v>
      </c>
    </row>
    <row r="570" spans="1:8" x14ac:dyDescent="0.35">
      <c r="A570" s="24" t="s">
        <v>560</v>
      </c>
      <c r="B570" s="29">
        <v>46006</v>
      </c>
      <c r="C570" s="24" t="s">
        <v>480</v>
      </c>
      <c r="D570" s="24" t="s">
        <v>380</v>
      </c>
      <c r="E570" s="25">
        <v>13.14</v>
      </c>
      <c r="F570" s="26">
        <v>107.3</v>
      </c>
      <c r="G570" s="30">
        <f>IF(OR(D570="TARDIO",D570="PENDIENTE (TARDÍO)"),'Efectos y supuestos'!$B$8,0)</f>
        <v>0</v>
      </c>
      <c r="H570" s="14">
        <f t="shared" ref="H570:H633" si="9">-G570*F570*E570</f>
        <v>0</v>
      </c>
    </row>
    <row r="571" spans="1:8" x14ac:dyDescent="0.35">
      <c r="A571" s="24" t="s">
        <v>172</v>
      </c>
      <c r="B571" s="29">
        <v>46188</v>
      </c>
      <c r="C571" s="24" t="s">
        <v>478</v>
      </c>
      <c r="D571" s="24" t="s">
        <v>409</v>
      </c>
      <c r="E571" s="25">
        <v>6.59</v>
      </c>
      <c r="F571" s="26">
        <v>105</v>
      </c>
      <c r="G571" s="30">
        <f>IF(OR(D571="TARDIO",D571="PENDIENTE (TARDÍO)"),'Efectos y supuestos'!$B$8,0)</f>
        <v>0</v>
      </c>
      <c r="H571" s="14">
        <f t="shared" si="9"/>
        <v>0</v>
      </c>
    </row>
    <row r="572" spans="1:8" x14ac:dyDescent="0.35">
      <c r="A572" s="24" t="s">
        <v>175</v>
      </c>
      <c r="B572" s="29">
        <v>46249</v>
      </c>
      <c r="C572" s="24" t="s">
        <v>478</v>
      </c>
      <c r="D572" s="24" t="s">
        <v>409</v>
      </c>
      <c r="E572" s="25">
        <v>4.43</v>
      </c>
      <c r="F572" s="26">
        <v>105</v>
      </c>
      <c r="G572" s="30">
        <f>IF(OR(D572="TARDIO",D572="PENDIENTE (TARDÍO)"),'Efectos y supuestos'!$B$8,0)</f>
        <v>0</v>
      </c>
      <c r="H572" s="14">
        <f t="shared" si="9"/>
        <v>0</v>
      </c>
    </row>
    <row r="573" spans="1:8" x14ac:dyDescent="0.35">
      <c r="A573" s="24" t="s">
        <v>561</v>
      </c>
      <c r="B573" s="29">
        <v>46249</v>
      </c>
      <c r="C573" s="24" t="s">
        <v>478</v>
      </c>
      <c r="D573" s="24" t="s">
        <v>409</v>
      </c>
      <c r="E573" s="25">
        <v>6.68</v>
      </c>
      <c r="F573" s="26">
        <v>105</v>
      </c>
      <c r="G573" s="30">
        <f>IF(OR(D573="TARDIO",D573="PENDIENTE (TARDÍO)"),'Efectos y supuestos'!$B$8,0)</f>
        <v>0</v>
      </c>
      <c r="H573" s="14">
        <f t="shared" si="9"/>
        <v>0</v>
      </c>
    </row>
    <row r="574" spans="1:8" x14ac:dyDescent="0.35">
      <c r="A574" s="24" t="s">
        <v>180</v>
      </c>
      <c r="B574" s="29">
        <v>46188</v>
      </c>
      <c r="C574" s="24" t="s">
        <v>478</v>
      </c>
      <c r="D574" s="24" t="s">
        <v>409</v>
      </c>
      <c r="E574" s="25">
        <v>9.1999999999999993</v>
      </c>
      <c r="F574" s="26">
        <v>102.8</v>
      </c>
      <c r="G574" s="30">
        <f>IF(OR(D574="TARDIO",D574="PENDIENTE (TARDÍO)"),'Efectos y supuestos'!$B$8,0)</f>
        <v>0</v>
      </c>
      <c r="H574" s="14">
        <f t="shared" si="9"/>
        <v>0</v>
      </c>
    </row>
    <row r="575" spans="1:8" x14ac:dyDescent="0.35">
      <c r="A575" s="24" t="s">
        <v>457</v>
      </c>
      <c r="B575" s="29">
        <v>46188</v>
      </c>
      <c r="C575" s="24" t="s">
        <v>478</v>
      </c>
      <c r="D575" s="24" t="s">
        <v>409</v>
      </c>
      <c r="E575" s="25">
        <v>5.52</v>
      </c>
      <c r="F575" s="26">
        <v>94.1</v>
      </c>
      <c r="G575" s="30">
        <f>IF(OR(D575="TARDIO",D575="PENDIENTE (TARDÍO)"),'Efectos y supuestos'!$B$8,0)</f>
        <v>0</v>
      </c>
      <c r="H575" s="14">
        <f t="shared" si="9"/>
        <v>0</v>
      </c>
    </row>
    <row r="576" spans="1:8" x14ac:dyDescent="0.35">
      <c r="A576" s="24" t="s">
        <v>562</v>
      </c>
      <c r="B576" s="29">
        <v>46188</v>
      </c>
      <c r="C576" s="24" t="s">
        <v>478</v>
      </c>
      <c r="D576" s="24" t="s">
        <v>409</v>
      </c>
      <c r="E576" s="25">
        <v>1.1299999999999999</v>
      </c>
      <c r="F576" s="26">
        <v>83.2</v>
      </c>
      <c r="G576" s="30">
        <f>IF(OR(D576="TARDIO",D576="PENDIENTE (TARDÍO)"),'Efectos y supuestos'!$B$8,0)</f>
        <v>0</v>
      </c>
      <c r="H576" s="14">
        <f t="shared" si="9"/>
        <v>0</v>
      </c>
    </row>
    <row r="577" spans="1:8" x14ac:dyDescent="0.35">
      <c r="A577" s="24" t="s">
        <v>84</v>
      </c>
      <c r="B577" s="29">
        <v>46249</v>
      </c>
      <c r="C577" s="24" t="s">
        <v>478</v>
      </c>
      <c r="D577" s="24" t="s">
        <v>409</v>
      </c>
      <c r="E577" s="25">
        <v>3.72</v>
      </c>
      <c r="F577" s="26">
        <v>105</v>
      </c>
      <c r="G577" s="30">
        <f>IF(OR(D577="TARDIO",D577="PENDIENTE (TARDÍO)"),'Efectos y supuestos'!$B$8,0)</f>
        <v>0</v>
      </c>
      <c r="H577" s="14">
        <f t="shared" si="9"/>
        <v>0</v>
      </c>
    </row>
    <row r="578" spans="1:8" x14ac:dyDescent="0.35">
      <c r="A578" s="24" t="s">
        <v>389</v>
      </c>
      <c r="B578" s="29">
        <v>46249</v>
      </c>
      <c r="C578" s="24" t="s">
        <v>478</v>
      </c>
      <c r="D578" s="24" t="s">
        <v>409</v>
      </c>
      <c r="E578" s="25">
        <v>3.58</v>
      </c>
      <c r="F578" s="26">
        <v>105</v>
      </c>
      <c r="G578" s="30">
        <f>IF(OR(D578="TARDIO",D578="PENDIENTE (TARDÍO)"),'Efectos y supuestos'!$B$8,0)</f>
        <v>0</v>
      </c>
      <c r="H578" s="14">
        <f t="shared" si="9"/>
        <v>0</v>
      </c>
    </row>
    <row r="579" spans="1:8" x14ac:dyDescent="0.35">
      <c r="A579" s="24" t="s">
        <v>563</v>
      </c>
      <c r="B579" s="29">
        <v>46249</v>
      </c>
      <c r="C579" s="24" t="s">
        <v>478</v>
      </c>
      <c r="D579" s="24" t="s">
        <v>409</v>
      </c>
      <c r="E579" s="25">
        <v>10.33</v>
      </c>
      <c r="F579" s="26">
        <v>105</v>
      </c>
      <c r="G579" s="30">
        <f>IF(OR(D579="TARDIO",D579="PENDIENTE (TARDÍO)"),'Efectos y supuestos'!$B$8,0)</f>
        <v>0</v>
      </c>
      <c r="H579" s="14">
        <f t="shared" si="9"/>
        <v>0</v>
      </c>
    </row>
    <row r="580" spans="1:8" x14ac:dyDescent="0.35">
      <c r="A580" s="24" t="s">
        <v>188</v>
      </c>
      <c r="B580" s="29">
        <v>46096</v>
      </c>
      <c r="C580" s="24" t="s">
        <v>478</v>
      </c>
      <c r="D580" s="24" t="s">
        <v>409</v>
      </c>
      <c r="E580" s="25">
        <v>8.44</v>
      </c>
      <c r="F580" s="26">
        <v>91.4</v>
      </c>
      <c r="G580" s="30">
        <f>IF(OR(D580="TARDIO",D580="PENDIENTE (TARDÍO)"),'Efectos y supuestos'!$B$8,0)</f>
        <v>0</v>
      </c>
      <c r="H580" s="14">
        <f t="shared" si="9"/>
        <v>0</v>
      </c>
    </row>
    <row r="581" spans="1:8" x14ac:dyDescent="0.35">
      <c r="A581" s="24" t="s">
        <v>190</v>
      </c>
      <c r="B581" s="29">
        <v>46249</v>
      </c>
      <c r="C581" s="24" t="s">
        <v>478</v>
      </c>
      <c r="D581" s="24" t="s">
        <v>409</v>
      </c>
      <c r="E581" s="25">
        <v>7.29</v>
      </c>
      <c r="F581" s="26">
        <v>105</v>
      </c>
      <c r="G581" s="30">
        <f>IF(OR(D581="TARDIO",D581="PENDIENTE (TARDÍO)"),'Efectos y supuestos'!$B$8,0)</f>
        <v>0</v>
      </c>
      <c r="H581" s="14">
        <f t="shared" si="9"/>
        <v>0</v>
      </c>
    </row>
    <row r="582" spans="1:8" x14ac:dyDescent="0.35">
      <c r="A582" s="24" t="s">
        <v>193</v>
      </c>
      <c r="B582" s="29">
        <v>46249</v>
      </c>
      <c r="C582" s="24" t="s">
        <v>478</v>
      </c>
      <c r="D582" s="24" t="s">
        <v>409</v>
      </c>
      <c r="E582" s="25">
        <v>6.73</v>
      </c>
      <c r="F582" s="26">
        <v>105</v>
      </c>
      <c r="G582" s="30">
        <f>IF(OR(D582="TARDIO",D582="PENDIENTE (TARDÍO)"),'Efectos y supuestos'!$B$8,0)</f>
        <v>0</v>
      </c>
      <c r="H582" s="14">
        <f t="shared" si="9"/>
        <v>0</v>
      </c>
    </row>
    <row r="583" spans="1:8" x14ac:dyDescent="0.35">
      <c r="A583" s="24" t="s">
        <v>86</v>
      </c>
      <c r="B583" s="29">
        <v>46249</v>
      </c>
      <c r="C583" s="24" t="s">
        <v>478</v>
      </c>
      <c r="D583" s="24" t="s">
        <v>409</v>
      </c>
      <c r="E583" s="25">
        <v>8.41</v>
      </c>
      <c r="F583" s="26">
        <v>105</v>
      </c>
      <c r="G583" s="30">
        <f>IF(OR(D583="TARDIO",D583="PENDIENTE (TARDÍO)"),'Efectos y supuestos'!$B$8,0)</f>
        <v>0</v>
      </c>
      <c r="H583" s="14">
        <f t="shared" si="9"/>
        <v>0</v>
      </c>
    </row>
    <row r="584" spans="1:8" x14ac:dyDescent="0.35">
      <c r="A584" s="24" t="s">
        <v>564</v>
      </c>
      <c r="B584" s="29">
        <v>46280</v>
      </c>
      <c r="C584" s="24" t="s">
        <v>478</v>
      </c>
      <c r="D584" s="24" t="s">
        <v>409</v>
      </c>
      <c r="E584" s="25">
        <v>17.78</v>
      </c>
      <c r="F584" s="26">
        <v>105</v>
      </c>
      <c r="G584" s="30">
        <f>IF(OR(D584="TARDIO",D584="PENDIENTE (TARDÍO)"),'Efectos y supuestos'!$B$8,0)</f>
        <v>0</v>
      </c>
      <c r="H584" s="14">
        <f t="shared" si="9"/>
        <v>0</v>
      </c>
    </row>
    <row r="585" spans="1:8" x14ac:dyDescent="0.35">
      <c r="A585" s="24" t="s">
        <v>565</v>
      </c>
      <c r="B585" s="29">
        <v>46280</v>
      </c>
      <c r="C585" s="24" t="s">
        <v>478</v>
      </c>
      <c r="D585" s="24" t="s">
        <v>409</v>
      </c>
      <c r="E585" s="25">
        <v>3.9</v>
      </c>
      <c r="F585" s="26">
        <v>105</v>
      </c>
      <c r="G585" s="30">
        <f>IF(OR(D585="TARDIO",D585="PENDIENTE (TARDÍO)"),'Efectos y supuestos'!$B$8,0)</f>
        <v>0</v>
      </c>
      <c r="H585" s="14">
        <f t="shared" si="9"/>
        <v>0</v>
      </c>
    </row>
    <row r="586" spans="1:8" x14ac:dyDescent="0.35">
      <c r="A586" s="24" t="s">
        <v>566</v>
      </c>
      <c r="B586" s="29">
        <v>46218</v>
      </c>
      <c r="C586" s="24" t="s">
        <v>478</v>
      </c>
      <c r="D586" s="24" t="s">
        <v>409</v>
      </c>
      <c r="E586" s="25">
        <v>4.66</v>
      </c>
      <c r="F586" s="26">
        <v>105</v>
      </c>
      <c r="G586" s="30">
        <f>IF(OR(D586="TARDIO",D586="PENDIENTE (TARDÍO)"),'Efectos y supuestos'!$B$8,0)</f>
        <v>0</v>
      </c>
      <c r="H586" s="14">
        <f t="shared" si="9"/>
        <v>0</v>
      </c>
    </row>
    <row r="587" spans="1:8" x14ac:dyDescent="0.35">
      <c r="A587" s="24" t="s">
        <v>89</v>
      </c>
      <c r="B587" s="29">
        <v>46096</v>
      </c>
      <c r="C587" s="24" t="s">
        <v>478</v>
      </c>
      <c r="D587" s="24" t="s">
        <v>409</v>
      </c>
      <c r="E587" s="25">
        <v>1.93</v>
      </c>
      <c r="F587" s="26">
        <v>80.099999999999994</v>
      </c>
      <c r="G587" s="30">
        <f>IF(OR(D587="TARDIO",D587="PENDIENTE (TARDÍO)"),'Efectos y supuestos'!$B$8,0)</f>
        <v>0</v>
      </c>
      <c r="H587" s="14">
        <f t="shared" si="9"/>
        <v>0</v>
      </c>
    </row>
    <row r="588" spans="1:8" x14ac:dyDescent="0.35">
      <c r="A588" s="24" t="s">
        <v>567</v>
      </c>
      <c r="B588" s="29">
        <v>46006</v>
      </c>
      <c r="C588" s="24" t="s">
        <v>480</v>
      </c>
      <c r="D588" s="24" t="s">
        <v>409</v>
      </c>
      <c r="E588" s="25">
        <v>12.88</v>
      </c>
      <c r="F588" s="26">
        <v>113.5</v>
      </c>
      <c r="G588" s="30">
        <f>IF(OR(D588="TARDIO",D588="PENDIENTE (TARDÍO)"),'Efectos y supuestos'!$B$8,0)</f>
        <v>0</v>
      </c>
      <c r="H588" s="14">
        <f t="shared" si="9"/>
        <v>0</v>
      </c>
    </row>
    <row r="589" spans="1:8" x14ac:dyDescent="0.35">
      <c r="A589" s="24" t="s">
        <v>209</v>
      </c>
      <c r="B589" s="29">
        <v>46096</v>
      </c>
      <c r="C589" s="24" t="s">
        <v>478</v>
      </c>
      <c r="D589" s="24" t="s">
        <v>409</v>
      </c>
      <c r="E589" s="25">
        <v>19.21</v>
      </c>
      <c r="F589" s="26">
        <v>123.8</v>
      </c>
      <c r="G589" s="30">
        <f>IF(OR(D589="TARDIO",D589="PENDIENTE (TARDÍO)"),'Efectos y supuestos'!$B$8,0)</f>
        <v>0</v>
      </c>
      <c r="H589" s="14">
        <f t="shared" si="9"/>
        <v>0</v>
      </c>
    </row>
    <row r="590" spans="1:8" x14ac:dyDescent="0.35">
      <c r="A590" s="24" t="s">
        <v>568</v>
      </c>
      <c r="B590" s="29">
        <v>46006</v>
      </c>
      <c r="C590" s="24" t="s">
        <v>478</v>
      </c>
      <c r="D590" s="24" t="s">
        <v>409</v>
      </c>
      <c r="E590" s="25">
        <v>12</v>
      </c>
      <c r="F590" s="26">
        <v>114</v>
      </c>
      <c r="G590" s="30">
        <f>IF(OR(D590="TARDIO",D590="PENDIENTE (TARDÍO)"),'Efectos y supuestos'!$B$8,0)</f>
        <v>0</v>
      </c>
      <c r="H590" s="14">
        <f t="shared" si="9"/>
        <v>0</v>
      </c>
    </row>
    <row r="591" spans="1:8" x14ac:dyDescent="0.35">
      <c r="A591" s="24" t="s">
        <v>569</v>
      </c>
      <c r="B591" s="29">
        <v>46006</v>
      </c>
      <c r="C591" s="24" t="s">
        <v>480</v>
      </c>
      <c r="D591" s="24" t="s">
        <v>409</v>
      </c>
      <c r="E591" s="25">
        <v>9.6999999999999993</v>
      </c>
      <c r="F591" s="26">
        <v>119.7</v>
      </c>
      <c r="G591" s="30">
        <f>IF(OR(D591="TARDIO",D591="PENDIENTE (TARDÍO)"),'Efectos y supuestos'!$B$8,0)</f>
        <v>0</v>
      </c>
      <c r="H591" s="14">
        <f t="shared" si="9"/>
        <v>0</v>
      </c>
    </row>
    <row r="592" spans="1:8" x14ac:dyDescent="0.35">
      <c r="A592" s="24" t="s">
        <v>413</v>
      </c>
      <c r="B592" s="29">
        <v>46218</v>
      </c>
      <c r="C592" s="24" t="s">
        <v>478</v>
      </c>
      <c r="D592" s="24" t="s">
        <v>409</v>
      </c>
      <c r="E592" s="25">
        <v>20.22</v>
      </c>
      <c r="F592" s="26">
        <v>105</v>
      </c>
      <c r="G592" s="30">
        <f>IF(OR(D592="TARDIO",D592="PENDIENTE (TARDÍO)"),'Efectos y supuestos'!$B$8,0)</f>
        <v>0</v>
      </c>
      <c r="H592" s="14">
        <f t="shared" si="9"/>
        <v>0</v>
      </c>
    </row>
    <row r="593" spans="1:8" x14ac:dyDescent="0.35">
      <c r="A593" s="24" t="s">
        <v>211</v>
      </c>
      <c r="B593" s="29">
        <v>46249</v>
      </c>
      <c r="C593" s="24" t="s">
        <v>478</v>
      </c>
      <c r="D593" s="24" t="s">
        <v>409</v>
      </c>
      <c r="E593" s="25">
        <v>17.34</v>
      </c>
      <c r="F593" s="26">
        <v>105</v>
      </c>
      <c r="G593" s="30">
        <f>IF(OR(D593="TARDIO",D593="PENDIENTE (TARDÍO)"),'Efectos y supuestos'!$B$8,0)</f>
        <v>0</v>
      </c>
      <c r="H593" s="14">
        <f t="shared" si="9"/>
        <v>0</v>
      </c>
    </row>
    <row r="594" spans="1:8" x14ac:dyDescent="0.35">
      <c r="A594" s="24" t="s">
        <v>212</v>
      </c>
      <c r="B594" s="29">
        <v>46096</v>
      </c>
      <c r="C594" s="24" t="s">
        <v>478</v>
      </c>
      <c r="D594" s="24" t="s">
        <v>409</v>
      </c>
      <c r="E594" s="25">
        <v>17.850000000000001</v>
      </c>
      <c r="F594" s="26">
        <v>77.099999999999994</v>
      </c>
      <c r="G594" s="30">
        <f>IF(OR(D594="TARDIO",D594="PENDIENTE (TARDÍO)"),'Efectos y supuestos'!$B$8,0)</f>
        <v>0</v>
      </c>
      <c r="H594" s="14">
        <f t="shared" si="9"/>
        <v>0</v>
      </c>
    </row>
    <row r="595" spans="1:8" x14ac:dyDescent="0.35">
      <c r="A595" s="24" t="s">
        <v>215</v>
      </c>
      <c r="B595" s="29">
        <v>46249</v>
      </c>
      <c r="C595" s="24" t="s">
        <v>478</v>
      </c>
      <c r="D595" s="24" t="s">
        <v>409</v>
      </c>
      <c r="E595" s="25">
        <v>5.24</v>
      </c>
      <c r="F595" s="26">
        <v>105</v>
      </c>
      <c r="G595" s="30">
        <f>IF(OR(D595="TARDIO",D595="PENDIENTE (TARDÍO)"),'Efectos y supuestos'!$B$8,0)</f>
        <v>0</v>
      </c>
      <c r="H595" s="14">
        <f t="shared" si="9"/>
        <v>0</v>
      </c>
    </row>
    <row r="596" spans="1:8" x14ac:dyDescent="0.35">
      <c r="A596" s="24" t="s">
        <v>120</v>
      </c>
      <c r="B596" s="29">
        <v>45976</v>
      </c>
      <c r="C596" s="24" t="s">
        <v>480</v>
      </c>
      <c r="D596" s="24" t="s">
        <v>409</v>
      </c>
      <c r="E596" s="25">
        <v>4.4800000000000004</v>
      </c>
      <c r="F596" s="26">
        <v>117.1</v>
      </c>
      <c r="G596" s="30">
        <f>IF(OR(D596="TARDIO",D596="PENDIENTE (TARDÍO)"),'Efectos y supuestos'!$B$8,0)</f>
        <v>0</v>
      </c>
      <c r="H596" s="14">
        <f t="shared" si="9"/>
        <v>0</v>
      </c>
    </row>
    <row r="597" spans="1:8" x14ac:dyDescent="0.35">
      <c r="A597" s="24" t="s">
        <v>123</v>
      </c>
      <c r="B597" s="29">
        <v>45976</v>
      </c>
      <c r="C597" s="24" t="s">
        <v>480</v>
      </c>
      <c r="D597" s="24" t="s">
        <v>409</v>
      </c>
      <c r="E597" s="25">
        <v>8.7799999999999994</v>
      </c>
      <c r="F597" s="26">
        <v>101.7</v>
      </c>
      <c r="G597" s="30">
        <f>IF(OR(D597="TARDIO",D597="PENDIENTE (TARDÍO)"),'Efectos y supuestos'!$B$8,0)</f>
        <v>0</v>
      </c>
      <c r="H597" s="14">
        <f t="shared" si="9"/>
        <v>0</v>
      </c>
    </row>
    <row r="598" spans="1:8" x14ac:dyDescent="0.35">
      <c r="A598" s="24" t="s">
        <v>216</v>
      </c>
      <c r="B598" s="29">
        <v>46218</v>
      </c>
      <c r="C598" s="24" t="s">
        <v>478</v>
      </c>
      <c r="D598" s="24" t="s">
        <v>409</v>
      </c>
      <c r="E598" s="25">
        <v>17.72</v>
      </c>
      <c r="F598" s="26">
        <v>105</v>
      </c>
      <c r="G598" s="30">
        <f>IF(OR(D598="TARDIO",D598="PENDIENTE (TARDÍO)"),'Efectos y supuestos'!$B$8,0)</f>
        <v>0</v>
      </c>
      <c r="H598" s="14">
        <f t="shared" si="9"/>
        <v>0</v>
      </c>
    </row>
    <row r="599" spans="1:8" x14ac:dyDescent="0.35">
      <c r="A599" s="24" t="s">
        <v>570</v>
      </c>
      <c r="B599" s="29">
        <v>46218</v>
      </c>
      <c r="C599" s="24" t="s">
        <v>478</v>
      </c>
      <c r="D599" s="24" t="s">
        <v>409</v>
      </c>
      <c r="E599" s="25">
        <v>9.94</v>
      </c>
      <c r="F599" s="26">
        <v>105</v>
      </c>
      <c r="G599" s="30">
        <f>IF(OR(D599="TARDIO",D599="PENDIENTE (TARDÍO)"),'Efectos y supuestos'!$B$8,0)</f>
        <v>0</v>
      </c>
      <c r="H599" s="14">
        <f t="shared" si="9"/>
        <v>0</v>
      </c>
    </row>
    <row r="600" spans="1:8" x14ac:dyDescent="0.35">
      <c r="A600" s="24" t="s">
        <v>571</v>
      </c>
      <c r="B600" s="29">
        <v>46218</v>
      </c>
      <c r="C600" s="24" t="s">
        <v>478</v>
      </c>
      <c r="D600" s="24" t="s">
        <v>409</v>
      </c>
      <c r="E600" s="25">
        <v>1.97</v>
      </c>
      <c r="F600" s="26">
        <v>105</v>
      </c>
      <c r="G600" s="30">
        <f>IF(OR(D600="TARDIO",D600="PENDIENTE (TARDÍO)"),'Efectos y supuestos'!$B$8,0)</f>
        <v>0</v>
      </c>
      <c r="H600" s="14">
        <f t="shared" si="9"/>
        <v>0</v>
      </c>
    </row>
    <row r="601" spans="1:8" x14ac:dyDescent="0.35">
      <c r="A601" s="24" t="s">
        <v>572</v>
      </c>
      <c r="B601" s="29">
        <v>46006</v>
      </c>
      <c r="C601" s="24" t="s">
        <v>478</v>
      </c>
      <c r="D601" s="24" t="s">
        <v>409</v>
      </c>
      <c r="E601" s="25">
        <v>5.38</v>
      </c>
      <c r="F601" s="26">
        <v>110.8</v>
      </c>
      <c r="G601" s="30">
        <f>IF(OR(D601="TARDIO",D601="PENDIENTE (TARDÍO)"),'Efectos y supuestos'!$B$8,0)</f>
        <v>0</v>
      </c>
      <c r="H601" s="14">
        <f t="shared" si="9"/>
        <v>0</v>
      </c>
    </row>
    <row r="602" spans="1:8" x14ac:dyDescent="0.35">
      <c r="A602" s="24" t="s">
        <v>573</v>
      </c>
      <c r="B602" s="29">
        <v>46006</v>
      </c>
      <c r="C602" s="24" t="s">
        <v>480</v>
      </c>
      <c r="D602" s="24" t="s">
        <v>409</v>
      </c>
      <c r="E602" s="25">
        <v>6.44</v>
      </c>
      <c r="F602" s="26">
        <v>110.8</v>
      </c>
      <c r="G602" s="30">
        <f>IF(OR(D602="TARDIO",D602="PENDIENTE (TARDÍO)"),'Efectos y supuestos'!$B$8,0)</f>
        <v>0</v>
      </c>
      <c r="H602" s="14">
        <f t="shared" si="9"/>
        <v>0</v>
      </c>
    </row>
    <row r="603" spans="1:8" x14ac:dyDescent="0.35">
      <c r="A603" s="24" t="s">
        <v>224</v>
      </c>
      <c r="B603" s="29">
        <v>46096</v>
      </c>
      <c r="C603" s="24" t="s">
        <v>478</v>
      </c>
      <c r="D603" s="24" t="s">
        <v>409</v>
      </c>
      <c r="E603" s="25">
        <v>9.73</v>
      </c>
      <c r="F603" s="26">
        <v>114.8</v>
      </c>
      <c r="G603" s="30">
        <f>IF(OR(D603="TARDIO",D603="PENDIENTE (TARDÍO)"),'Efectos y supuestos'!$B$8,0)</f>
        <v>0</v>
      </c>
      <c r="H603" s="14">
        <f t="shared" si="9"/>
        <v>0</v>
      </c>
    </row>
    <row r="604" spans="1:8" x14ac:dyDescent="0.35">
      <c r="A604" s="24" t="s">
        <v>418</v>
      </c>
      <c r="B604" s="29">
        <v>46096</v>
      </c>
      <c r="C604" s="24" t="s">
        <v>478</v>
      </c>
      <c r="D604" s="24" t="s">
        <v>409</v>
      </c>
      <c r="E604" s="25">
        <v>4.92</v>
      </c>
      <c r="F604" s="26">
        <v>67</v>
      </c>
      <c r="G604" s="30">
        <f>IF(OR(D604="TARDIO",D604="PENDIENTE (TARDÍO)"),'Efectos y supuestos'!$B$8,0)</f>
        <v>0</v>
      </c>
      <c r="H604" s="14">
        <f t="shared" si="9"/>
        <v>0</v>
      </c>
    </row>
    <row r="605" spans="1:8" x14ac:dyDescent="0.35">
      <c r="A605" s="24" t="s">
        <v>574</v>
      </c>
      <c r="B605" s="29">
        <v>46096</v>
      </c>
      <c r="C605" s="24" t="s">
        <v>478</v>
      </c>
      <c r="D605" s="24" t="s">
        <v>409</v>
      </c>
      <c r="E605" s="25">
        <v>7.06</v>
      </c>
      <c r="F605" s="26">
        <v>88.7</v>
      </c>
      <c r="G605" s="30">
        <f>IF(OR(D605="TARDIO",D605="PENDIENTE (TARDÍO)"),'Efectos y supuestos'!$B$8,0)</f>
        <v>0</v>
      </c>
      <c r="H605" s="14">
        <f t="shared" si="9"/>
        <v>0</v>
      </c>
    </row>
    <row r="606" spans="1:8" x14ac:dyDescent="0.35">
      <c r="A606" s="24" t="s">
        <v>420</v>
      </c>
      <c r="B606" s="29">
        <v>46188</v>
      </c>
      <c r="C606" s="24" t="s">
        <v>478</v>
      </c>
      <c r="D606" s="24" t="s">
        <v>409</v>
      </c>
      <c r="E606" s="25">
        <v>4</v>
      </c>
      <c r="F606" s="26">
        <v>105</v>
      </c>
      <c r="G606" s="30">
        <f>IF(OR(D606="TARDIO",D606="PENDIENTE (TARDÍO)"),'Efectos y supuestos'!$B$8,0)</f>
        <v>0</v>
      </c>
      <c r="H606" s="14">
        <f t="shared" si="9"/>
        <v>0</v>
      </c>
    </row>
    <row r="607" spans="1:8" x14ac:dyDescent="0.35">
      <c r="A607" s="24" t="s">
        <v>241</v>
      </c>
      <c r="B607" s="29">
        <v>46127</v>
      </c>
      <c r="C607" s="24" t="s">
        <v>478</v>
      </c>
      <c r="D607" s="24" t="s">
        <v>409</v>
      </c>
      <c r="E607" s="25">
        <v>19.34</v>
      </c>
      <c r="F607" s="26">
        <v>95.9</v>
      </c>
      <c r="G607" s="30">
        <f>IF(OR(D607="TARDIO",D607="PENDIENTE (TARDÍO)"),'Efectos y supuestos'!$B$8,0)</f>
        <v>0</v>
      </c>
      <c r="H607" s="14">
        <f t="shared" si="9"/>
        <v>0</v>
      </c>
    </row>
    <row r="608" spans="1:8" x14ac:dyDescent="0.35">
      <c r="A608" s="24" t="s">
        <v>575</v>
      </c>
      <c r="B608" s="29">
        <v>46068</v>
      </c>
      <c r="C608" s="24" t="s">
        <v>478</v>
      </c>
      <c r="D608" s="24" t="s">
        <v>409</v>
      </c>
      <c r="E608" s="25">
        <v>2.84</v>
      </c>
      <c r="F608" s="26">
        <v>81.400000000000006</v>
      </c>
      <c r="G608" s="30">
        <f>IF(OR(D608="TARDIO",D608="PENDIENTE (TARDÍO)"),'Efectos y supuestos'!$B$8,0)</f>
        <v>0</v>
      </c>
      <c r="H608" s="14">
        <f t="shared" si="9"/>
        <v>0</v>
      </c>
    </row>
    <row r="609" spans="1:8" x14ac:dyDescent="0.35">
      <c r="A609" s="24" t="s">
        <v>394</v>
      </c>
      <c r="B609" s="29">
        <v>46280</v>
      </c>
      <c r="C609" s="24" t="s">
        <v>478</v>
      </c>
      <c r="D609" s="24" t="s">
        <v>409</v>
      </c>
      <c r="E609" s="25">
        <v>11.93</v>
      </c>
      <c r="F609" s="26">
        <v>105</v>
      </c>
      <c r="G609" s="30">
        <f>IF(OR(D609="TARDIO",D609="PENDIENTE (TARDÍO)"),'Efectos y supuestos'!$B$8,0)</f>
        <v>0</v>
      </c>
      <c r="H609" s="14">
        <f t="shared" si="9"/>
        <v>0</v>
      </c>
    </row>
    <row r="610" spans="1:8" x14ac:dyDescent="0.35">
      <c r="A610" s="24" t="s">
        <v>130</v>
      </c>
      <c r="B610" s="29">
        <v>45976</v>
      </c>
      <c r="C610" s="24" t="s">
        <v>480</v>
      </c>
      <c r="D610" s="24" t="s">
        <v>409</v>
      </c>
      <c r="E610" s="25">
        <v>10.98</v>
      </c>
      <c r="F610" s="26">
        <v>92.7</v>
      </c>
      <c r="G610" s="30">
        <f>IF(OR(D610="TARDIO",D610="PENDIENTE (TARDÍO)"),'Efectos y supuestos'!$B$8,0)</f>
        <v>0</v>
      </c>
      <c r="H610" s="14">
        <f t="shared" si="9"/>
        <v>0</v>
      </c>
    </row>
    <row r="611" spans="1:8" x14ac:dyDescent="0.35">
      <c r="A611" s="24" t="s">
        <v>264</v>
      </c>
      <c r="B611" s="29">
        <v>46188</v>
      </c>
      <c r="C611" s="24" t="s">
        <v>478</v>
      </c>
      <c r="D611" s="24" t="s">
        <v>409</v>
      </c>
      <c r="E611" s="25">
        <v>9.9600000000000009</v>
      </c>
      <c r="F611" s="26">
        <v>85.6</v>
      </c>
      <c r="G611" s="30">
        <f>IF(OR(D611="TARDIO",D611="PENDIENTE (TARDÍO)"),'Efectos y supuestos'!$B$8,0)</f>
        <v>0</v>
      </c>
      <c r="H611" s="14">
        <f t="shared" si="9"/>
        <v>0</v>
      </c>
    </row>
    <row r="612" spans="1:8" x14ac:dyDescent="0.35">
      <c r="A612" s="24" t="s">
        <v>576</v>
      </c>
      <c r="B612" s="29">
        <v>46006</v>
      </c>
      <c r="C612" s="24" t="s">
        <v>478</v>
      </c>
      <c r="D612" s="24" t="s">
        <v>409</v>
      </c>
      <c r="E612" s="25">
        <v>19.61</v>
      </c>
      <c r="F612" s="26">
        <v>98.2</v>
      </c>
      <c r="G612" s="30">
        <f>IF(OR(D612="TARDIO",D612="PENDIENTE (TARDÍO)"),'Efectos y supuestos'!$B$8,0)</f>
        <v>0</v>
      </c>
      <c r="H612" s="14">
        <f t="shared" si="9"/>
        <v>0</v>
      </c>
    </row>
    <row r="613" spans="1:8" x14ac:dyDescent="0.35">
      <c r="A613" s="24" t="s">
        <v>423</v>
      </c>
      <c r="B613" s="29">
        <v>46096</v>
      </c>
      <c r="C613" s="24" t="s">
        <v>478</v>
      </c>
      <c r="D613" s="24" t="s">
        <v>409</v>
      </c>
      <c r="E613" s="25">
        <v>5.63</v>
      </c>
      <c r="F613" s="26">
        <v>100.8</v>
      </c>
      <c r="G613" s="30">
        <f>IF(OR(D613="TARDIO",D613="PENDIENTE (TARDÍO)"),'Efectos y supuestos'!$B$8,0)</f>
        <v>0</v>
      </c>
      <c r="H613" s="14">
        <f t="shared" si="9"/>
        <v>0</v>
      </c>
    </row>
    <row r="614" spans="1:8" x14ac:dyDescent="0.35">
      <c r="A614" s="24" t="s">
        <v>577</v>
      </c>
      <c r="B614" s="29">
        <v>46249</v>
      </c>
      <c r="C614" s="24" t="s">
        <v>478</v>
      </c>
      <c r="D614" s="24" t="s">
        <v>409</v>
      </c>
      <c r="E614" s="25">
        <v>14.83</v>
      </c>
      <c r="F614" s="26">
        <v>105</v>
      </c>
      <c r="G614" s="30">
        <f>IF(OR(D614="TARDIO",D614="PENDIENTE (TARDÍO)"),'Efectos y supuestos'!$B$8,0)</f>
        <v>0</v>
      </c>
      <c r="H614" s="14">
        <f t="shared" si="9"/>
        <v>0</v>
      </c>
    </row>
    <row r="615" spans="1:8" x14ac:dyDescent="0.35">
      <c r="A615" s="24" t="s">
        <v>267</v>
      </c>
      <c r="B615" s="29">
        <v>46188</v>
      </c>
      <c r="C615" s="24" t="s">
        <v>478</v>
      </c>
      <c r="D615" s="24" t="s">
        <v>409</v>
      </c>
      <c r="E615" s="25">
        <v>12.51</v>
      </c>
      <c r="F615" s="26">
        <v>105</v>
      </c>
      <c r="G615" s="30">
        <f>IF(OR(D615="TARDIO",D615="PENDIENTE (TARDÍO)"),'Efectos y supuestos'!$B$8,0)</f>
        <v>0</v>
      </c>
      <c r="H615" s="14">
        <f t="shared" si="9"/>
        <v>0</v>
      </c>
    </row>
    <row r="616" spans="1:8" x14ac:dyDescent="0.35">
      <c r="A616" s="24" t="s">
        <v>269</v>
      </c>
      <c r="B616" s="29">
        <v>46249</v>
      </c>
      <c r="C616" s="24" t="s">
        <v>478</v>
      </c>
      <c r="D616" s="24" t="s">
        <v>409</v>
      </c>
      <c r="E616" s="25">
        <v>4.13</v>
      </c>
      <c r="F616" s="26">
        <v>105</v>
      </c>
      <c r="G616" s="30">
        <f>IF(OR(D616="TARDIO",D616="PENDIENTE (TARDÍO)"),'Efectos y supuestos'!$B$8,0)</f>
        <v>0</v>
      </c>
      <c r="H616" s="14">
        <f t="shared" si="9"/>
        <v>0</v>
      </c>
    </row>
    <row r="617" spans="1:8" x14ac:dyDescent="0.35">
      <c r="A617" s="24" t="s">
        <v>280</v>
      </c>
      <c r="B617" s="29">
        <v>46280</v>
      </c>
      <c r="C617" s="24" t="s">
        <v>478</v>
      </c>
      <c r="D617" s="24" t="s">
        <v>409</v>
      </c>
      <c r="E617" s="25">
        <v>6.93</v>
      </c>
      <c r="F617" s="26">
        <v>105</v>
      </c>
      <c r="G617" s="30">
        <f>IF(OR(D617="TARDIO",D617="PENDIENTE (TARDÍO)"),'Efectos y supuestos'!$B$8,0)</f>
        <v>0</v>
      </c>
      <c r="H617" s="14">
        <f t="shared" si="9"/>
        <v>0</v>
      </c>
    </row>
    <row r="618" spans="1:8" x14ac:dyDescent="0.35">
      <c r="A618" s="24" t="s">
        <v>281</v>
      </c>
      <c r="B618" s="29">
        <v>46218</v>
      </c>
      <c r="C618" s="24" t="s">
        <v>478</v>
      </c>
      <c r="D618" s="24" t="s">
        <v>409</v>
      </c>
      <c r="E618" s="25">
        <v>5.34</v>
      </c>
      <c r="F618" s="26">
        <v>105</v>
      </c>
      <c r="G618" s="30">
        <f>IF(OR(D618="TARDIO",D618="PENDIENTE (TARDÍO)"),'Efectos y supuestos'!$B$8,0)</f>
        <v>0</v>
      </c>
      <c r="H618" s="14">
        <f t="shared" si="9"/>
        <v>0</v>
      </c>
    </row>
    <row r="619" spans="1:8" x14ac:dyDescent="0.35">
      <c r="A619" s="24" t="s">
        <v>282</v>
      </c>
      <c r="B619" s="29">
        <v>46249</v>
      </c>
      <c r="C619" s="24" t="s">
        <v>478</v>
      </c>
      <c r="D619" s="24" t="s">
        <v>409</v>
      </c>
      <c r="E619" s="25">
        <v>9</v>
      </c>
      <c r="F619" s="26">
        <v>105</v>
      </c>
      <c r="G619" s="30">
        <f>IF(OR(D619="TARDIO",D619="PENDIENTE (TARDÍO)"),'Efectos y supuestos'!$B$8,0)</f>
        <v>0</v>
      </c>
      <c r="H619" s="14">
        <f t="shared" si="9"/>
        <v>0</v>
      </c>
    </row>
    <row r="620" spans="1:8" x14ac:dyDescent="0.35">
      <c r="A620" s="24" t="s">
        <v>283</v>
      </c>
      <c r="B620" s="29">
        <v>46157</v>
      </c>
      <c r="C620" s="24" t="s">
        <v>478</v>
      </c>
      <c r="D620" s="24" t="s">
        <v>409</v>
      </c>
      <c r="E620" s="25">
        <v>11.87</v>
      </c>
      <c r="F620" s="26">
        <v>107</v>
      </c>
      <c r="G620" s="30">
        <f>IF(OR(D620="TARDIO",D620="PENDIENTE (TARDÍO)"),'Efectos y supuestos'!$B$8,0)</f>
        <v>0</v>
      </c>
      <c r="H620" s="14">
        <f t="shared" si="9"/>
        <v>0</v>
      </c>
    </row>
    <row r="621" spans="1:8" x14ac:dyDescent="0.35">
      <c r="A621" s="24" t="s">
        <v>284</v>
      </c>
      <c r="B621" s="29">
        <v>46157</v>
      </c>
      <c r="C621" s="24" t="s">
        <v>478</v>
      </c>
      <c r="D621" s="24" t="s">
        <v>409</v>
      </c>
      <c r="E621" s="25">
        <v>4.4400000000000004</v>
      </c>
      <c r="F621" s="26">
        <v>107.1</v>
      </c>
      <c r="G621" s="30">
        <f>IF(OR(D621="TARDIO",D621="PENDIENTE (TARDÍO)"),'Efectos y supuestos'!$B$8,0)</f>
        <v>0</v>
      </c>
      <c r="H621" s="14">
        <f t="shared" si="9"/>
        <v>0</v>
      </c>
    </row>
    <row r="622" spans="1:8" x14ac:dyDescent="0.35">
      <c r="A622" s="24" t="s">
        <v>287</v>
      </c>
      <c r="B622" s="29">
        <v>46218</v>
      </c>
      <c r="C622" s="24" t="s">
        <v>478</v>
      </c>
      <c r="D622" s="24" t="s">
        <v>409</v>
      </c>
      <c r="E622" s="25">
        <v>9.2200000000000006</v>
      </c>
      <c r="F622" s="26">
        <v>105</v>
      </c>
      <c r="G622" s="30">
        <f>IF(OR(D622="TARDIO",D622="PENDIENTE (TARDÍO)"),'Efectos y supuestos'!$B$8,0)</f>
        <v>0</v>
      </c>
      <c r="H622" s="14">
        <f t="shared" si="9"/>
        <v>0</v>
      </c>
    </row>
    <row r="623" spans="1:8" x14ac:dyDescent="0.35">
      <c r="A623" s="24" t="s">
        <v>288</v>
      </c>
      <c r="B623" s="29">
        <v>46218</v>
      </c>
      <c r="C623" s="24" t="s">
        <v>478</v>
      </c>
      <c r="D623" s="24" t="s">
        <v>409</v>
      </c>
      <c r="E623" s="25">
        <v>2.89</v>
      </c>
      <c r="F623" s="26">
        <v>105</v>
      </c>
      <c r="G623" s="30">
        <f>IF(OR(D623="TARDIO",D623="PENDIENTE (TARDÍO)"),'Efectos y supuestos'!$B$8,0)</f>
        <v>0</v>
      </c>
      <c r="H623" s="14">
        <f t="shared" si="9"/>
        <v>0</v>
      </c>
    </row>
    <row r="624" spans="1:8" x14ac:dyDescent="0.35">
      <c r="A624" s="24" t="s">
        <v>426</v>
      </c>
      <c r="B624" s="29">
        <v>46188</v>
      </c>
      <c r="C624" s="24" t="s">
        <v>478</v>
      </c>
      <c r="D624" s="24" t="s">
        <v>409</v>
      </c>
      <c r="E624" s="25">
        <v>5.33</v>
      </c>
      <c r="F624" s="26">
        <v>108</v>
      </c>
      <c r="G624" s="30">
        <f>IF(OR(D624="TARDIO",D624="PENDIENTE (TARDÍO)"),'Efectos y supuestos'!$B$8,0)</f>
        <v>0</v>
      </c>
      <c r="H624" s="14">
        <f t="shared" si="9"/>
        <v>0</v>
      </c>
    </row>
    <row r="625" spans="1:8" x14ac:dyDescent="0.35">
      <c r="A625" s="24" t="s">
        <v>293</v>
      </c>
      <c r="B625" s="29">
        <v>46188</v>
      </c>
      <c r="C625" s="24" t="s">
        <v>478</v>
      </c>
      <c r="D625" s="24" t="s">
        <v>409</v>
      </c>
      <c r="E625" s="25">
        <v>3.17</v>
      </c>
      <c r="F625" s="26">
        <v>105</v>
      </c>
      <c r="G625" s="30">
        <f>IF(OR(D625="TARDIO",D625="PENDIENTE (TARDÍO)"),'Efectos y supuestos'!$B$8,0)</f>
        <v>0</v>
      </c>
      <c r="H625" s="14">
        <f t="shared" si="9"/>
        <v>0</v>
      </c>
    </row>
    <row r="626" spans="1:8" x14ac:dyDescent="0.35">
      <c r="A626" s="24" t="s">
        <v>294</v>
      </c>
      <c r="B626" s="29">
        <v>46157</v>
      </c>
      <c r="C626" s="24" t="s">
        <v>478</v>
      </c>
      <c r="D626" s="24" t="s">
        <v>409</v>
      </c>
      <c r="E626" s="25">
        <v>4.46</v>
      </c>
      <c r="F626" s="26">
        <v>101.9</v>
      </c>
      <c r="G626" s="30">
        <f>IF(OR(D626="TARDIO",D626="PENDIENTE (TARDÍO)"),'Efectos y supuestos'!$B$8,0)</f>
        <v>0</v>
      </c>
      <c r="H626" s="14">
        <f t="shared" si="9"/>
        <v>0</v>
      </c>
    </row>
    <row r="627" spans="1:8" x14ac:dyDescent="0.35">
      <c r="A627" s="24" t="s">
        <v>295</v>
      </c>
      <c r="B627" s="29">
        <v>46188</v>
      </c>
      <c r="C627" s="24" t="s">
        <v>478</v>
      </c>
      <c r="D627" s="24" t="s">
        <v>409</v>
      </c>
      <c r="E627" s="25">
        <v>4.17</v>
      </c>
      <c r="F627" s="26">
        <v>105</v>
      </c>
      <c r="G627" s="30">
        <f>IF(OR(D627="TARDIO",D627="PENDIENTE (TARDÍO)"),'Efectos y supuestos'!$B$8,0)</f>
        <v>0</v>
      </c>
      <c r="H627" s="14">
        <f t="shared" si="9"/>
        <v>0</v>
      </c>
    </row>
    <row r="628" spans="1:8" x14ac:dyDescent="0.35">
      <c r="A628" s="24" t="s">
        <v>297</v>
      </c>
      <c r="B628" s="29">
        <v>46188</v>
      </c>
      <c r="C628" s="24" t="s">
        <v>478</v>
      </c>
      <c r="D628" s="24" t="s">
        <v>409</v>
      </c>
      <c r="E628" s="25">
        <v>3.88</v>
      </c>
      <c r="F628" s="26">
        <v>105</v>
      </c>
      <c r="G628" s="30">
        <f>IF(OR(D628="TARDIO",D628="PENDIENTE (TARDÍO)"),'Efectos y supuestos'!$B$8,0)</f>
        <v>0</v>
      </c>
      <c r="H628" s="14">
        <f t="shared" si="9"/>
        <v>0</v>
      </c>
    </row>
    <row r="629" spans="1:8" x14ac:dyDescent="0.35">
      <c r="A629" s="24" t="s">
        <v>298</v>
      </c>
      <c r="B629" s="29">
        <v>46280</v>
      </c>
      <c r="C629" s="24" t="s">
        <v>478</v>
      </c>
      <c r="D629" s="24" t="s">
        <v>409</v>
      </c>
      <c r="E629" s="25">
        <v>6.37</v>
      </c>
      <c r="F629" s="26">
        <v>105</v>
      </c>
      <c r="G629" s="30">
        <f>IF(OR(D629="TARDIO",D629="PENDIENTE (TARDÍO)"),'Efectos y supuestos'!$B$8,0)</f>
        <v>0</v>
      </c>
      <c r="H629" s="14">
        <f t="shared" si="9"/>
        <v>0</v>
      </c>
    </row>
    <row r="630" spans="1:8" x14ac:dyDescent="0.35">
      <c r="A630" s="24" t="s">
        <v>304</v>
      </c>
      <c r="B630" s="29">
        <v>46188</v>
      </c>
      <c r="C630" s="24" t="s">
        <v>478</v>
      </c>
      <c r="D630" s="24" t="s">
        <v>409</v>
      </c>
      <c r="E630" s="25">
        <v>8.9600000000000009</v>
      </c>
      <c r="F630" s="26">
        <v>105</v>
      </c>
      <c r="G630" s="30">
        <f>IF(OR(D630="TARDIO",D630="PENDIENTE (TARDÍO)"),'Efectos y supuestos'!$B$8,0)</f>
        <v>0</v>
      </c>
      <c r="H630" s="14">
        <f t="shared" si="9"/>
        <v>0</v>
      </c>
    </row>
    <row r="631" spans="1:8" x14ac:dyDescent="0.35">
      <c r="A631" s="24" t="s">
        <v>430</v>
      </c>
      <c r="B631" s="29">
        <v>46188</v>
      </c>
      <c r="C631" s="24" t="s">
        <v>478</v>
      </c>
      <c r="D631" s="24" t="s">
        <v>409</v>
      </c>
      <c r="E631" s="25">
        <v>15.59</v>
      </c>
      <c r="F631" s="26">
        <v>105</v>
      </c>
      <c r="G631" s="30">
        <f>IF(OR(D631="TARDIO",D631="PENDIENTE (TARDÍO)"),'Efectos y supuestos'!$B$8,0)</f>
        <v>0</v>
      </c>
      <c r="H631" s="14">
        <f t="shared" si="9"/>
        <v>0</v>
      </c>
    </row>
    <row r="632" spans="1:8" x14ac:dyDescent="0.35">
      <c r="A632" s="24" t="s">
        <v>431</v>
      </c>
      <c r="B632" s="29">
        <v>46188</v>
      </c>
      <c r="C632" s="24" t="s">
        <v>478</v>
      </c>
      <c r="D632" s="24" t="s">
        <v>409</v>
      </c>
      <c r="E632" s="25">
        <v>6.03</v>
      </c>
      <c r="F632" s="26">
        <v>105</v>
      </c>
      <c r="G632" s="30">
        <f>IF(OR(D632="TARDIO",D632="PENDIENTE (TARDÍO)"),'Efectos y supuestos'!$B$8,0)</f>
        <v>0</v>
      </c>
      <c r="H632" s="14">
        <f t="shared" si="9"/>
        <v>0</v>
      </c>
    </row>
    <row r="633" spans="1:8" x14ac:dyDescent="0.35">
      <c r="A633" s="24" t="s">
        <v>578</v>
      </c>
      <c r="B633" s="29">
        <v>46249</v>
      </c>
      <c r="C633" s="24" t="s">
        <v>478</v>
      </c>
      <c r="D633" s="24" t="s">
        <v>409</v>
      </c>
      <c r="E633" s="25">
        <v>6.07</v>
      </c>
      <c r="F633" s="26">
        <v>105</v>
      </c>
      <c r="G633" s="30">
        <f>IF(OR(D633="TARDIO",D633="PENDIENTE (TARDÍO)"),'Efectos y supuestos'!$B$8,0)</f>
        <v>0</v>
      </c>
      <c r="H633" s="14">
        <f t="shared" si="9"/>
        <v>0</v>
      </c>
    </row>
    <row r="634" spans="1:8" x14ac:dyDescent="0.35">
      <c r="A634" s="24" t="s">
        <v>321</v>
      </c>
      <c r="B634" s="29">
        <v>46218</v>
      </c>
      <c r="C634" s="24" t="s">
        <v>478</v>
      </c>
      <c r="D634" s="24" t="s">
        <v>409</v>
      </c>
      <c r="E634" s="25">
        <v>2.35</v>
      </c>
      <c r="F634" s="26">
        <v>105</v>
      </c>
      <c r="G634" s="30">
        <f>IF(OR(D634="TARDIO",D634="PENDIENTE (TARDÍO)"),'Efectos y supuestos'!$B$8,0)</f>
        <v>0</v>
      </c>
      <c r="H634" s="14">
        <f t="shared" ref="H634:H697" si="10">-G634*F634*E634</f>
        <v>0</v>
      </c>
    </row>
    <row r="635" spans="1:8" x14ac:dyDescent="0.35">
      <c r="A635" s="24" t="s">
        <v>324</v>
      </c>
      <c r="B635" s="29">
        <v>46218</v>
      </c>
      <c r="C635" s="24" t="s">
        <v>478</v>
      </c>
      <c r="D635" s="24" t="s">
        <v>409</v>
      </c>
      <c r="E635" s="25">
        <v>29.4</v>
      </c>
      <c r="F635" s="26">
        <v>105</v>
      </c>
      <c r="G635" s="30">
        <f>IF(OR(D635="TARDIO",D635="PENDIENTE (TARDÍO)"),'Efectos y supuestos'!$B$8,0)</f>
        <v>0</v>
      </c>
      <c r="H635" s="14">
        <f t="shared" si="10"/>
        <v>0</v>
      </c>
    </row>
    <row r="636" spans="1:8" x14ac:dyDescent="0.35">
      <c r="A636" s="24" t="s">
        <v>579</v>
      </c>
      <c r="B636" s="29">
        <v>46006</v>
      </c>
      <c r="C636" s="24" t="s">
        <v>480</v>
      </c>
      <c r="D636" s="24" t="s">
        <v>409</v>
      </c>
      <c r="E636" s="25">
        <v>4.92</v>
      </c>
      <c r="F636" s="26">
        <v>113.2</v>
      </c>
      <c r="G636" s="30">
        <f>IF(OR(D636="TARDIO",D636="PENDIENTE (TARDÍO)"),'Efectos y supuestos'!$B$8,0)</f>
        <v>0</v>
      </c>
      <c r="H636" s="14">
        <f t="shared" si="10"/>
        <v>0</v>
      </c>
    </row>
    <row r="637" spans="1:8" x14ac:dyDescent="0.35">
      <c r="A637" s="24" t="s">
        <v>325</v>
      </c>
      <c r="B637" s="29">
        <v>46249</v>
      </c>
      <c r="C637" s="24" t="s">
        <v>478</v>
      </c>
      <c r="D637" s="24" t="s">
        <v>409</v>
      </c>
      <c r="E637" s="25">
        <v>15.65</v>
      </c>
      <c r="F637" s="26">
        <v>105</v>
      </c>
      <c r="G637" s="30">
        <f>IF(OR(D637="TARDIO",D637="PENDIENTE (TARDÍO)"),'Efectos y supuestos'!$B$8,0)</f>
        <v>0</v>
      </c>
      <c r="H637" s="14">
        <f t="shared" si="10"/>
        <v>0</v>
      </c>
    </row>
    <row r="638" spans="1:8" x14ac:dyDescent="0.35">
      <c r="A638" s="24" t="s">
        <v>432</v>
      </c>
      <c r="B638" s="29">
        <v>46068</v>
      </c>
      <c r="C638" s="24" t="s">
        <v>480</v>
      </c>
      <c r="D638" s="24" t="s">
        <v>409</v>
      </c>
      <c r="E638" s="25">
        <v>5.99</v>
      </c>
      <c r="F638" s="26">
        <v>90.4</v>
      </c>
      <c r="G638" s="30">
        <f>IF(OR(D638="TARDIO",D638="PENDIENTE (TARDÍO)"),'Efectos y supuestos'!$B$8,0)</f>
        <v>0</v>
      </c>
      <c r="H638" s="14">
        <f t="shared" si="10"/>
        <v>0</v>
      </c>
    </row>
    <row r="639" spans="1:8" x14ac:dyDescent="0.35">
      <c r="A639" s="24" t="s">
        <v>436</v>
      </c>
      <c r="B639" s="29">
        <v>46188</v>
      </c>
      <c r="C639" s="24" t="s">
        <v>478</v>
      </c>
      <c r="D639" s="24" t="s">
        <v>409</v>
      </c>
      <c r="E639" s="25">
        <v>2.46</v>
      </c>
      <c r="F639" s="26">
        <v>105</v>
      </c>
      <c r="G639" s="30">
        <f>IF(OR(D639="TARDIO",D639="PENDIENTE (TARDÍO)"),'Efectos y supuestos'!$B$8,0)</f>
        <v>0</v>
      </c>
      <c r="H639" s="14">
        <f t="shared" si="10"/>
        <v>0</v>
      </c>
    </row>
    <row r="640" spans="1:8" x14ac:dyDescent="0.35">
      <c r="A640" s="24" t="s">
        <v>332</v>
      </c>
      <c r="B640" s="29">
        <v>46188</v>
      </c>
      <c r="C640" s="24" t="s">
        <v>478</v>
      </c>
      <c r="D640" s="24" t="s">
        <v>409</v>
      </c>
      <c r="E640" s="25">
        <v>3.74</v>
      </c>
      <c r="F640" s="26">
        <v>105</v>
      </c>
      <c r="G640" s="30">
        <f>IF(OR(D640="TARDIO",D640="PENDIENTE (TARDÍO)"),'Efectos y supuestos'!$B$8,0)</f>
        <v>0</v>
      </c>
      <c r="H640" s="14">
        <f t="shared" si="10"/>
        <v>0</v>
      </c>
    </row>
    <row r="641" spans="1:8" x14ac:dyDescent="0.35">
      <c r="A641" s="24" t="s">
        <v>105</v>
      </c>
      <c r="B641" s="29">
        <v>46218</v>
      </c>
      <c r="C641" s="24" t="s">
        <v>478</v>
      </c>
      <c r="D641" s="24" t="s">
        <v>409</v>
      </c>
      <c r="E641" s="25">
        <v>13.15</v>
      </c>
      <c r="F641" s="26">
        <v>105</v>
      </c>
      <c r="G641" s="30">
        <f>IF(OR(D641="TARDIO",D641="PENDIENTE (TARDÍO)"),'Efectos y supuestos'!$B$8,0)</f>
        <v>0</v>
      </c>
      <c r="H641" s="14">
        <f t="shared" si="10"/>
        <v>0</v>
      </c>
    </row>
    <row r="642" spans="1:8" x14ac:dyDescent="0.35">
      <c r="A642" s="24" t="s">
        <v>580</v>
      </c>
      <c r="B642" s="29">
        <v>46006</v>
      </c>
      <c r="C642" s="24" t="s">
        <v>480</v>
      </c>
      <c r="D642" s="24" t="s">
        <v>409</v>
      </c>
      <c r="E642" s="25">
        <v>6.29</v>
      </c>
      <c r="F642" s="26">
        <v>108.4</v>
      </c>
      <c r="G642" s="30">
        <f>IF(OR(D642="TARDIO",D642="PENDIENTE (TARDÍO)"),'Efectos y supuestos'!$B$8,0)</f>
        <v>0</v>
      </c>
      <c r="H642" s="14">
        <f t="shared" si="10"/>
        <v>0</v>
      </c>
    </row>
    <row r="643" spans="1:8" x14ac:dyDescent="0.35">
      <c r="A643" s="24" t="s">
        <v>333</v>
      </c>
      <c r="B643" s="29">
        <v>46218</v>
      </c>
      <c r="C643" s="24" t="s">
        <v>478</v>
      </c>
      <c r="D643" s="24" t="s">
        <v>409</v>
      </c>
      <c r="E643" s="25">
        <v>5.6</v>
      </c>
      <c r="F643" s="26">
        <v>105</v>
      </c>
      <c r="G643" s="30">
        <f>IF(OR(D643="TARDIO",D643="PENDIENTE (TARDÍO)"),'Efectos y supuestos'!$B$8,0)</f>
        <v>0</v>
      </c>
      <c r="H643" s="14">
        <f t="shared" si="10"/>
        <v>0</v>
      </c>
    </row>
    <row r="644" spans="1:8" x14ac:dyDescent="0.35">
      <c r="A644" s="24" t="s">
        <v>581</v>
      </c>
      <c r="B644" s="29">
        <v>46280</v>
      </c>
      <c r="C644" s="24" t="s">
        <v>478</v>
      </c>
      <c r="D644" s="24" t="s">
        <v>409</v>
      </c>
      <c r="E644" s="25">
        <v>8.5</v>
      </c>
      <c r="F644" s="26">
        <v>105</v>
      </c>
      <c r="G644" s="30">
        <f>IF(OR(D644="TARDIO",D644="PENDIENTE (TARDÍO)"),'Efectos y supuestos'!$B$8,0)</f>
        <v>0</v>
      </c>
      <c r="H644" s="14">
        <f t="shared" si="10"/>
        <v>0</v>
      </c>
    </row>
    <row r="645" spans="1:8" x14ac:dyDescent="0.35">
      <c r="A645" s="24" t="s">
        <v>438</v>
      </c>
      <c r="B645" s="29">
        <v>46188</v>
      </c>
      <c r="C645" s="24" t="s">
        <v>478</v>
      </c>
      <c r="D645" s="24" t="s">
        <v>409</v>
      </c>
      <c r="E645" s="25">
        <v>8.4</v>
      </c>
      <c r="F645" s="26">
        <v>111.1</v>
      </c>
      <c r="G645" s="30">
        <f>IF(OR(D645="TARDIO",D645="PENDIENTE (TARDÍO)"),'Efectos y supuestos'!$B$8,0)</f>
        <v>0</v>
      </c>
      <c r="H645" s="14">
        <f t="shared" si="10"/>
        <v>0</v>
      </c>
    </row>
    <row r="646" spans="1:8" x14ac:dyDescent="0.35">
      <c r="A646" s="24" t="s">
        <v>339</v>
      </c>
      <c r="B646" s="29">
        <v>46249</v>
      </c>
      <c r="C646" s="24" t="s">
        <v>478</v>
      </c>
      <c r="D646" s="24" t="s">
        <v>409</v>
      </c>
      <c r="E646" s="25">
        <v>2.27</v>
      </c>
      <c r="F646" s="26">
        <v>105</v>
      </c>
      <c r="G646" s="30">
        <f>IF(OR(D646="TARDIO",D646="PENDIENTE (TARDÍO)"),'Efectos y supuestos'!$B$8,0)</f>
        <v>0</v>
      </c>
      <c r="H646" s="14">
        <f t="shared" si="10"/>
        <v>0</v>
      </c>
    </row>
    <row r="647" spans="1:8" x14ac:dyDescent="0.35">
      <c r="A647" s="24" t="s">
        <v>340</v>
      </c>
      <c r="B647" s="29">
        <v>46249</v>
      </c>
      <c r="C647" s="24" t="s">
        <v>478</v>
      </c>
      <c r="D647" s="24" t="s">
        <v>409</v>
      </c>
      <c r="E647" s="25">
        <v>2.79</v>
      </c>
      <c r="F647" s="26">
        <v>105</v>
      </c>
      <c r="G647" s="30">
        <f>IF(OR(D647="TARDIO",D647="PENDIENTE (TARDÍO)"),'Efectos y supuestos'!$B$8,0)</f>
        <v>0</v>
      </c>
      <c r="H647" s="14">
        <f t="shared" si="10"/>
        <v>0</v>
      </c>
    </row>
    <row r="648" spans="1:8" x14ac:dyDescent="0.35">
      <c r="A648" s="24" t="s">
        <v>582</v>
      </c>
      <c r="B648" s="29">
        <v>46006</v>
      </c>
      <c r="C648" s="24" t="s">
        <v>480</v>
      </c>
      <c r="D648" s="24" t="s">
        <v>409</v>
      </c>
      <c r="E648" s="25">
        <v>5.48</v>
      </c>
      <c r="F648" s="26">
        <v>107.4</v>
      </c>
      <c r="G648" s="30">
        <f>IF(OR(D648="TARDIO",D648="PENDIENTE (TARDÍO)"),'Efectos y supuestos'!$B$8,0)</f>
        <v>0</v>
      </c>
      <c r="H648" s="14">
        <f t="shared" si="10"/>
        <v>0</v>
      </c>
    </row>
    <row r="649" spans="1:8" x14ac:dyDescent="0.35">
      <c r="A649" s="24" t="s">
        <v>583</v>
      </c>
      <c r="B649" s="29">
        <v>46006</v>
      </c>
      <c r="C649" s="24" t="s">
        <v>478</v>
      </c>
      <c r="D649" s="24" t="s">
        <v>409</v>
      </c>
      <c r="E649" s="25">
        <v>7.39</v>
      </c>
      <c r="F649" s="26">
        <v>111.9</v>
      </c>
      <c r="G649" s="30">
        <f>IF(OR(D649="TARDIO",D649="PENDIENTE (TARDÍO)"),'Efectos y supuestos'!$B$8,0)</f>
        <v>0</v>
      </c>
      <c r="H649" s="14">
        <f t="shared" si="10"/>
        <v>0</v>
      </c>
    </row>
    <row r="650" spans="1:8" x14ac:dyDescent="0.35">
      <c r="A650" s="24" t="s">
        <v>584</v>
      </c>
      <c r="B650" s="29">
        <v>46006</v>
      </c>
      <c r="C650" s="24" t="s">
        <v>478</v>
      </c>
      <c r="D650" s="24" t="s">
        <v>409</v>
      </c>
      <c r="E650" s="25">
        <v>10.76</v>
      </c>
      <c r="F650" s="26">
        <v>108.2</v>
      </c>
      <c r="G650" s="30">
        <f>IF(OR(D650="TARDIO",D650="PENDIENTE (TARDÍO)"),'Efectos y supuestos'!$B$8,0)</f>
        <v>0</v>
      </c>
      <c r="H650" s="14">
        <f t="shared" si="10"/>
        <v>0</v>
      </c>
    </row>
    <row r="651" spans="1:8" x14ac:dyDescent="0.35">
      <c r="A651" s="24" t="s">
        <v>342</v>
      </c>
      <c r="B651" s="29">
        <v>46096</v>
      </c>
      <c r="C651" s="24" t="s">
        <v>478</v>
      </c>
      <c r="D651" s="24" t="s">
        <v>409</v>
      </c>
      <c r="E651" s="25">
        <v>10.52</v>
      </c>
      <c r="F651" s="26">
        <v>107.8</v>
      </c>
      <c r="G651" s="30">
        <f>IF(OR(D651="TARDIO",D651="PENDIENTE (TARDÍO)"),'Efectos y supuestos'!$B$8,0)</f>
        <v>0</v>
      </c>
      <c r="H651" s="14">
        <f t="shared" si="10"/>
        <v>0</v>
      </c>
    </row>
    <row r="652" spans="1:8" x14ac:dyDescent="0.35">
      <c r="A652" s="24" t="s">
        <v>585</v>
      </c>
      <c r="B652" s="29">
        <v>46006</v>
      </c>
      <c r="C652" s="24" t="s">
        <v>480</v>
      </c>
      <c r="D652" s="24" t="s">
        <v>409</v>
      </c>
      <c r="E652" s="25">
        <v>5.43</v>
      </c>
      <c r="F652" s="26">
        <v>126.7</v>
      </c>
      <c r="G652" s="30">
        <f>IF(OR(D652="TARDIO",D652="PENDIENTE (TARDÍO)"),'Efectos y supuestos'!$B$8,0)</f>
        <v>0</v>
      </c>
      <c r="H652" s="14">
        <f t="shared" si="10"/>
        <v>0</v>
      </c>
    </row>
    <row r="653" spans="1:8" x14ac:dyDescent="0.35">
      <c r="A653" s="24" t="s">
        <v>344</v>
      </c>
      <c r="B653" s="29">
        <v>46096</v>
      </c>
      <c r="C653" s="24" t="s">
        <v>478</v>
      </c>
      <c r="D653" s="24" t="s">
        <v>409</v>
      </c>
      <c r="E653" s="25">
        <v>8.84</v>
      </c>
      <c r="F653" s="26">
        <v>113.7</v>
      </c>
      <c r="G653" s="30">
        <f>IF(OR(D653="TARDIO",D653="PENDIENTE (TARDÍO)"),'Efectos y supuestos'!$B$8,0)</f>
        <v>0</v>
      </c>
      <c r="H653" s="14">
        <f t="shared" si="10"/>
        <v>0</v>
      </c>
    </row>
    <row r="654" spans="1:8" x14ac:dyDescent="0.35">
      <c r="A654" s="24" t="s">
        <v>586</v>
      </c>
      <c r="B654" s="29">
        <v>46006</v>
      </c>
      <c r="C654" s="24" t="s">
        <v>480</v>
      </c>
      <c r="D654" s="24" t="s">
        <v>409</v>
      </c>
      <c r="E654" s="25">
        <v>9.49</v>
      </c>
      <c r="F654" s="26">
        <v>127.9</v>
      </c>
      <c r="G654" s="30">
        <f>IF(OR(D654="TARDIO",D654="PENDIENTE (TARDÍO)"),'Efectos y supuestos'!$B$8,0)</f>
        <v>0</v>
      </c>
      <c r="H654" s="14">
        <f t="shared" si="10"/>
        <v>0</v>
      </c>
    </row>
    <row r="655" spans="1:8" x14ac:dyDescent="0.35">
      <c r="A655" s="24" t="s">
        <v>350</v>
      </c>
      <c r="B655" s="29">
        <v>46249</v>
      </c>
      <c r="C655" s="24" t="s">
        <v>478</v>
      </c>
      <c r="D655" s="24" t="s">
        <v>409</v>
      </c>
      <c r="E655" s="25">
        <v>6.16</v>
      </c>
      <c r="F655" s="26">
        <v>105</v>
      </c>
      <c r="G655" s="30">
        <f>IF(OR(D655="TARDIO",D655="PENDIENTE (TARDÍO)"),'Efectos y supuestos'!$B$8,0)</f>
        <v>0</v>
      </c>
      <c r="H655" s="14">
        <f t="shared" si="10"/>
        <v>0</v>
      </c>
    </row>
    <row r="656" spans="1:8" x14ac:dyDescent="0.35">
      <c r="A656" s="24" t="s">
        <v>351</v>
      </c>
      <c r="B656" s="29">
        <v>46249</v>
      </c>
      <c r="C656" s="24" t="s">
        <v>478</v>
      </c>
      <c r="D656" s="24" t="s">
        <v>409</v>
      </c>
      <c r="E656" s="25">
        <v>4.3600000000000003</v>
      </c>
      <c r="F656" s="26">
        <v>105</v>
      </c>
      <c r="G656" s="30">
        <f>IF(OR(D656="TARDIO",D656="PENDIENTE (TARDÍO)"),'Efectos y supuestos'!$B$8,0)</f>
        <v>0</v>
      </c>
      <c r="H656" s="14">
        <f t="shared" si="10"/>
        <v>0</v>
      </c>
    </row>
    <row r="657" spans="1:8" x14ac:dyDescent="0.35">
      <c r="A657" s="24" t="s">
        <v>352</v>
      </c>
      <c r="B657" s="29">
        <v>46096</v>
      </c>
      <c r="C657" s="24" t="s">
        <v>478</v>
      </c>
      <c r="D657" s="24" t="s">
        <v>409</v>
      </c>
      <c r="E657" s="25">
        <v>13.07</v>
      </c>
      <c r="F657" s="26">
        <v>90.7</v>
      </c>
      <c r="G657" s="30">
        <f>IF(OR(D657="TARDIO",D657="PENDIENTE (TARDÍO)"),'Efectos y supuestos'!$B$8,0)</f>
        <v>0</v>
      </c>
      <c r="H657" s="14">
        <f t="shared" si="10"/>
        <v>0</v>
      </c>
    </row>
    <row r="658" spans="1:8" x14ac:dyDescent="0.35">
      <c r="A658" s="24" t="s">
        <v>446</v>
      </c>
      <c r="B658" s="29">
        <v>46096</v>
      </c>
      <c r="C658" s="24" t="s">
        <v>478</v>
      </c>
      <c r="D658" s="24" t="s">
        <v>409</v>
      </c>
      <c r="E658" s="25">
        <v>13.53</v>
      </c>
      <c r="F658" s="26">
        <v>90.6</v>
      </c>
      <c r="G658" s="30">
        <f>IF(OR(D658="TARDIO",D658="PENDIENTE (TARDÍO)"),'Efectos y supuestos'!$B$8,0)</f>
        <v>0</v>
      </c>
      <c r="H658" s="14">
        <f t="shared" si="10"/>
        <v>0</v>
      </c>
    </row>
    <row r="659" spans="1:8" x14ac:dyDescent="0.35">
      <c r="A659" s="24" t="s">
        <v>357</v>
      </c>
      <c r="B659" s="29">
        <v>46096</v>
      </c>
      <c r="C659" s="24" t="s">
        <v>478</v>
      </c>
      <c r="D659" s="24" t="s">
        <v>409</v>
      </c>
      <c r="E659" s="25">
        <v>8.44</v>
      </c>
      <c r="F659" s="26">
        <v>110.5</v>
      </c>
      <c r="G659" s="30">
        <f>IF(OR(D659="TARDIO",D659="PENDIENTE (TARDÍO)"),'Efectos y supuestos'!$B$8,0)</f>
        <v>0</v>
      </c>
      <c r="H659" s="14">
        <f t="shared" si="10"/>
        <v>0</v>
      </c>
    </row>
    <row r="660" spans="1:8" x14ac:dyDescent="0.35">
      <c r="A660" s="24" t="s">
        <v>358</v>
      </c>
      <c r="B660" s="29">
        <v>46218</v>
      </c>
      <c r="C660" s="24" t="s">
        <v>478</v>
      </c>
      <c r="D660" s="24" t="s">
        <v>409</v>
      </c>
      <c r="E660" s="25">
        <v>8.06</v>
      </c>
      <c r="F660" s="26">
        <v>105</v>
      </c>
      <c r="G660" s="30">
        <f>IF(OR(D660="TARDIO",D660="PENDIENTE (TARDÍO)"),'Efectos y supuestos'!$B$8,0)</f>
        <v>0</v>
      </c>
      <c r="H660" s="14">
        <f t="shared" si="10"/>
        <v>0</v>
      </c>
    </row>
    <row r="661" spans="1:8" x14ac:dyDescent="0.35">
      <c r="A661" s="24" t="s">
        <v>359</v>
      </c>
      <c r="B661" s="29">
        <v>46218</v>
      </c>
      <c r="C661" s="24" t="s">
        <v>478</v>
      </c>
      <c r="D661" s="24" t="s">
        <v>409</v>
      </c>
      <c r="E661" s="25">
        <v>22.23</v>
      </c>
      <c r="F661" s="26">
        <v>105</v>
      </c>
      <c r="G661" s="30">
        <f>IF(OR(D661="TARDIO",D661="PENDIENTE (TARDÍO)"),'Efectos y supuestos'!$B$8,0)</f>
        <v>0</v>
      </c>
      <c r="H661" s="14">
        <f t="shared" si="10"/>
        <v>0</v>
      </c>
    </row>
    <row r="662" spans="1:8" x14ac:dyDescent="0.35">
      <c r="A662" s="24" t="s">
        <v>587</v>
      </c>
      <c r="B662" s="29">
        <v>45976</v>
      </c>
      <c r="C662" s="24" t="s">
        <v>480</v>
      </c>
      <c r="D662" s="24" t="s">
        <v>409</v>
      </c>
      <c r="E662" s="25">
        <v>8.58</v>
      </c>
      <c r="F662" s="26">
        <v>114.9</v>
      </c>
      <c r="G662" s="30">
        <f>IF(OR(D662="TARDIO",D662="PENDIENTE (TARDÍO)"),'Efectos y supuestos'!$B$8,0)</f>
        <v>0</v>
      </c>
      <c r="H662" s="14">
        <f t="shared" si="10"/>
        <v>0</v>
      </c>
    </row>
    <row r="663" spans="1:8" x14ac:dyDescent="0.35">
      <c r="A663" s="24" t="s">
        <v>450</v>
      </c>
      <c r="B663" s="29">
        <v>46188</v>
      </c>
      <c r="C663" s="24" t="s">
        <v>478</v>
      </c>
      <c r="D663" s="24" t="s">
        <v>409</v>
      </c>
      <c r="E663" s="25">
        <v>4.6100000000000003</v>
      </c>
      <c r="F663" s="26">
        <v>105</v>
      </c>
      <c r="G663" s="30">
        <f>IF(OR(D663="TARDIO",D663="PENDIENTE (TARDÍO)"),'Efectos y supuestos'!$B$8,0)</f>
        <v>0</v>
      </c>
      <c r="H663" s="14">
        <f t="shared" si="10"/>
        <v>0</v>
      </c>
    </row>
    <row r="664" spans="1:8" x14ac:dyDescent="0.35">
      <c r="A664" s="24" t="s">
        <v>588</v>
      </c>
      <c r="B664" s="29">
        <v>45976</v>
      </c>
      <c r="C664" s="24" t="s">
        <v>480</v>
      </c>
      <c r="D664" s="24" t="s">
        <v>409</v>
      </c>
      <c r="E664" s="25">
        <v>6.13</v>
      </c>
      <c r="F664" s="26">
        <v>102.2</v>
      </c>
      <c r="G664" s="30">
        <f>IF(OR(D664="TARDIO",D664="PENDIENTE (TARDÍO)"),'Efectos y supuestos'!$B$8,0)</f>
        <v>0</v>
      </c>
      <c r="H664" s="14">
        <f t="shared" si="10"/>
        <v>0</v>
      </c>
    </row>
    <row r="665" spans="1:8" x14ac:dyDescent="0.35">
      <c r="A665" s="24" t="s">
        <v>147</v>
      </c>
      <c r="B665" s="29">
        <v>46006</v>
      </c>
      <c r="C665" s="24" t="s">
        <v>480</v>
      </c>
      <c r="D665" s="24" t="s">
        <v>409</v>
      </c>
      <c r="E665" s="25">
        <v>16.82</v>
      </c>
      <c r="F665" s="26">
        <v>111.2</v>
      </c>
      <c r="G665" s="30">
        <f>IF(OR(D665="TARDIO",D665="PENDIENTE (TARDÍO)"),'Efectos y supuestos'!$B$8,0)</f>
        <v>0</v>
      </c>
      <c r="H665" s="14">
        <f t="shared" si="10"/>
        <v>0</v>
      </c>
    </row>
    <row r="666" spans="1:8" x14ac:dyDescent="0.35">
      <c r="A666" s="24" t="s">
        <v>148</v>
      </c>
      <c r="B666" s="29">
        <v>46006</v>
      </c>
      <c r="C666" s="24" t="s">
        <v>480</v>
      </c>
      <c r="D666" s="24" t="s">
        <v>409</v>
      </c>
      <c r="E666" s="25">
        <v>10.45</v>
      </c>
      <c r="F666" s="26">
        <v>131</v>
      </c>
      <c r="G666" s="30">
        <f>IF(OR(D666="TARDIO",D666="PENDIENTE (TARDÍO)"),'Efectos y supuestos'!$B$8,0)</f>
        <v>0</v>
      </c>
      <c r="H666" s="14">
        <f t="shared" si="10"/>
        <v>0</v>
      </c>
    </row>
    <row r="667" spans="1:8" x14ac:dyDescent="0.35">
      <c r="A667" s="24" t="s">
        <v>589</v>
      </c>
      <c r="B667" s="29">
        <v>45976</v>
      </c>
      <c r="C667" s="24" t="s">
        <v>480</v>
      </c>
      <c r="D667" s="24" t="s">
        <v>409</v>
      </c>
      <c r="E667" s="25">
        <v>4.71</v>
      </c>
      <c r="F667" s="26">
        <v>113.8</v>
      </c>
      <c r="G667" s="30">
        <f>IF(OR(D667="TARDIO",D667="PENDIENTE (TARDÍO)"),'Efectos y supuestos'!$B$8,0)</f>
        <v>0</v>
      </c>
      <c r="H667" s="14">
        <f t="shared" si="10"/>
        <v>0</v>
      </c>
    </row>
    <row r="668" spans="1:8" x14ac:dyDescent="0.35">
      <c r="A668" s="24" t="s">
        <v>368</v>
      </c>
      <c r="B668" s="29">
        <v>46218</v>
      </c>
      <c r="C668" s="24" t="s">
        <v>478</v>
      </c>
      <c r="D668" s="24" t="s">
        <v>409</v>
      </c>
      <c r="E668" s="25">
        <v>7.99</v>
      </c>
      <c r="F668" s="26">
        <v>105</v>
      </c>
      <c r="G668" s="30">
        <f>IF(OR(D668="TARDIO",D668="PENDIENTE (TARDÍO)"),'Efectos y supuestos'!$B$8,0)</f>
        <v>0</v>
      </c>
      <c r="H668" s="14">
        <f t="shared" si="10"/>
        <v>0</v>
      </c>
    </row>
    <row r="669" spans="1:8" x14ac:dyDescent="0.35">
      <c r="A669" s="24" t="s">
        <v>369</v>
      </c>
      <c r="B669" s="29">
        <v>46218</v>
      </c>
      <c r="C669" s="24" t="s">
        <v>478</v>
      </c>
      <c r="D669" s="24" t="s">
        <v>409</v>
      </c>
      <c r="E669" s="25">
        <v>7.73</v>
      </c>
      <c r="F669" s="26">
        <v>105</v>
      </c>
      <c r="G669" s="30">
        <f>IF(OR(D669="TARDIO",D669="PENDIENTE (TARDÍO)"),'Efectos y supuestos'!$B$8,0)</f>
        <v>0</v>
      </c>
      <c r="H669" s="14">
        <f t="shared" si="10"/>
        <v>0</v>
      </c>
    </row>
    <row r="670" spans="1:8" x14ac:dyDescent="0.35">
      <c r="A670" s="24" t="s">
        <v>370</v>
      </c>
      <c r="B670" s="29">
        <v>46218</v>
      </c>
      <c r="C670" s="24" t="s">
        <v>478</v>
      </c>
      <c r="D670" s="24" t="s">
        <v>409</v>
      </c>
      <c r="E670" s="25">
        <v>8.59</v>
      </c>
      <c r="F670" s="26">
        <v>105</v>
      </c>
      <c r="G670" s="30">
        <f>IF(OR(D670="TARDIO",D670="PENDIENTE (TARDÍO)"),'Efectos y supuestos'!$B$8,0)</f>
        <v>0</v>
      </c>
      <c r="H670" s="14">
        <f t="shared" si="10"/>
        <v>0</v>
      </c>
    </row>
    <row r="671" spans="1:8" x14ac:dyDescent="0.35">
      <c r="A671" s="24" t="s">
        <v>371</v>
      </c>
      <c r="B671" s="29">
        <v>46218</v>
      </c>
      <c r="C671" s="24" t="s">
        <v>478</v>
      </c>
      <c r="D671" s="24" t="s">
        <v>409</v>
      </c>
      <c r="E671" s="25">
        <v>7.76</v>
      </c>
      <c r="F671" s="26">
        <v>105</v>
      </c>
      <c r="G671" s="30">
        <f>IF(OR(D671="TARDIO",D671="PENDIENTE (TARDÍO)"),'Efectos y supuestos'!$B$8,0)</f>
        <v>0</v>
      </c>
      <c r="H671" s="14">
        <f t="shared" si="10"/>
        <v>0</v>
      </c>
    </row>
    <row r="672" spans="1:8" x14ac:dyDescent="0.35">
      <c r="A672" s="24" t="s">
        <v>475</v>
      </c>
      <c r="B672" s="29">
        <v>46188</v>
      </c>
      <c r="C672" s="24" t="s">
        <v>478</v>
      </c>
      <c r="D672" s="24" t="s">
        <v>409</v>
      </c>
      <c r="E672" s="25">
        <v>7.55</v>
      </c>
      <c r="F672" s="26">
        <v>105</v>
      </c>
      <c r="G672" s="30">
        <f>IF(OR(D672="TARDIO",D672="PENDIENTE (TARDÍO)"),'Efectos y supuestos'!$B$8,0)</f>
        <v>0</v>
      </c>
      <c r="H672" s="14">
        <f t="shared" si="10"/>
        <v>0</v>
      </c>
    </row>
    <row r="673" spans="1:8" x14ac:dyDescent="0.35">
      <c r="A673" s="24" t="s">
        <v>590</v>
      </c>
      <c r="B673" s="29">
        <v>45976</v>
      </c>
      <c r="C673" s="24" t="s">
        <v>480</v>
      </c>
      <c r="D673" s="24" t="s">
        <v>409</v>
      </c>
      <c r="E673" s="25">
        <v>9.8000000000000007</v>
      </c>
      <c r="F673" s="26">
        <v>112.8</v>
      </c>
      <c r="G673" s="30">
        <f>IF(OR(D673="TARDIO",D673="PENDIENTE (TARDÍO)"),'Efectos y supuestos'!$B$8,0)</f>
        <v>0</v>
      </c>
      <c r="H673" s="14">
        <f t="shared" si="10"/>
        <v>0</v>
      </c>
    </row>
    <row r="674" spans="1:8" x14ac:dyDescent="0.35">
      <c r="A674" s="24" t="s">
        <v>591</v>
      </c>
      <c r="B674" s="29">
        <v>46006</v>
      </c>
      <c r="C674" s="24" t="s">
        <v>480</v>
      </c>
      <c r="D674" s="24" t="s">
        <v>409</v>
      </c>
      <c r="E674" s="25">
        <v>18.98</v>
      </c>
      <c r="F674" s="26">
        <v>104.5</v>
      </c>
      <c r="G674" s="30">
        <f>IF(OR(D674="TARDIO",D674="PENDIENTE (TARDÍO)"),'Efectos y supuestos'!$B$8,0)</f>
        <v>0</v>
      </c>
      <c r="H674" s="14">
        <f t="shared" si="10"/>
        <v>0</v>
      </c>
    </row>
    <row r="675" spans="1:8" x14ac:dyDescent="0.35">
      <c r="A675" s="24" t="s">
        <v>592</v>
      </c>
      <c r="B675" s="29">
        <v>45976</v>
      </c>
      <c r="C675" s="24" t="s">
        <v>480</v>
      </c>
      <c r="D675" s="24" t="s">
        <v>409</v>
      </c>
      <c r="E675" s="25">
        <v>4.66</v>
      </c>
      <c r="F675" s="26">
        <v>107.7</v>
      </c>
      <c r="G675" s="30">
        <f>IF(OR(D675="TARDIO",D675="PENDIENTE (TARDÍO)"),'Efectos y supuestos'!$B$8,0)</f>
        <v>0</v>
      </c>
      <c r="H675" s="14">
        <f t="shared" si="10"/>
        <v>0</v>
      </c>
    </row>
    <row r="676" spans="1:8" x14ac:dyDescent="0.35">
      <c r="A676" s="24" t="s">
        <v>378</v>
      </c>
      <c r="B676" s="29">
        <v>46188</v>
      </c>
      <c r="C676" s="24" t="s">
        <v>478</v>
      </c>
      <c r="D676" s="24" t="s">
        <v>409</v>
      </c>
      <c r="E676" s="25">
        <v>5.03</v>
      </c>
      <c r="F676" s="26">
        <v>105</v>
      </c>
      <c r="G676" s="30">
        <f>IF(OR(D676="TARDIO",D676="PENDIENTE (TARDÍO)"),'Efectos y supuestos'!$B$8,0)</f>
        <v>0</v>
      </c>
      <c r="H676" s="14">
        <f t="shared" si="10"/>
        <v>0</v>
      </c>
    </row>
    <row r="677" spans="1:8" x14ac:dyDescent="0.35">
      <c r="A677" s="24" t="s">
        <v>168</v>
      </c>
      <c r="B677" s="29">
        <v>46218</v>
      </c>
      <c r="C677" s="24" t="s">
        <v>478</v>
      </c>
      <c r="D677" s="24" t="s">
        <v>454</v>
      </c>
      <c r="E677" s="25">
        <v>6.91</v>
      </c>
      <c r="F677" s="26">
        <v>105</v>
      </c>
      <c r="G677" s="30">
        <f>IF(OR(D677="TARDIO",D677="PENDIENTE (TARDÍO)"),'Efectos y supuestos'!$B$8,0)</f>
        <v>-6.3E-2</v>
      </c>
      <c r="H677" s="14">
        <f t="shared" si="10"/>
        <v>45.709650000000003</v>
      </c>
    </row>
    <row r="678" spans="1:8" x14ac:dyDescent="0.35">
      <c r="A678" s="24" t="s">
        <v>82</v>
      </c>
      <c r="B678" s="29">
        <v>46218</v>
      </c>
      <c r="C678" s="24" t="s">
        <v>478</v>
      </c>
      <c r="D678" s="24" t="s">
        <v>454</v>
      </c>
      <c r="E678" s="25">
        <v>19.25</v>
      </c>
      <c r="F678" s="26">
        <v>105</v>
      </c>
      <c r="G678" s="30">
        <f>IF(OR(D678="TARDIO",D678="PENDIENTE (TARDÍO)"),'Efectos y supuestos'!$B$8,0)</f>
        <v>-6.3E-2</v>
      </c>
      <c r="H678" s="14">
        <f t="shared" si="10"/>
        <v>127.33875</v>
      </c>
    </row>
    <row r="679" spans="1:8" x14ac:dyDescent="0.35">
      <c r="A679" s="24" t="s">
        <v>593</v>
      </c>
      <c r="B679" s="29">
        <v>46249</v>
      </c>
      <c r="C679" s="24" t="s">
        <v>478</v>
      </c>
      <c r="D679" s="24" t="s">
        <v>454</v>
      </c>
      <c r="E679" s="25">
        <v>10.36</v>
      </c>
      <c r="F679" s="26">
        <v>105</v>
      </c>
      <c r="G679" s="30">
        <f>IF(OR(D679="TARDIO",D679="PENDIENTE (TARDÍO)"),'Efectos y supuestos'!$B$8,0)</f>
        <v>-6.3E-2</v>
      </c>
      <c r="H679" s="14">
        <f t="shared" si="10"/>
        <v>68.531400000000005</v>
      </c>
    </row>
    <row r="680" spans="1:8" x14ac:dyDescent="0.35">
      <c r="A680" s="24" t="s">
        <v>198</v>
      </c>
      <c r="B680" s="29">
        <v>46249</v>
      </c>
      <c r="C680" s="24" t="s">
        <v>478</v>
      </c>
      <c r="D680" s="24" t="s">
        <v>454</v>
      </c>
      <c r="E680" s="25">
        <v>7.57</v>
      </c>
      <c r="F680" s="26">
        <v>105</v>
      </c>
      <c r="G680" s="30">
        <f>IF(OR(D680="TARDIO",D680="PENDIENTE (TARDÍO)"),'Efectos y supuestos'!$B$8,0)</f>
        <v>-6.3E-2</v>
      </c>
      <c r="H680" s="14">
        <f t="shared" si="10"/>
        <v>50.075550000000007</v>
      </c>
    </row>
    <row r="681" spans="1:8" x14ac:dyDescent="0.35">
      <c r="A681" s="24" t="s">
        <v>594</v>
      </c>
      <c r="B681" s="29">
        <v>46006</v>
      </c>
      <c r="C681" s="24" t="s">
        <v>480</v>
      </c>
      <c r="D681" s="24" t="s">
        <v>454</v>
      </c>
      <c r="E681" s="25">
        <v>13.88</v>
      </c>
      <c r="F681" s="26">
        <v>69.599999999999994</v>
      </c>
      <c r="G681" s="30">
        <f>IF(OR(D681="TARDIO",D681="PENDIENTE (TARDÍO)"),'Efectos y supuestos'!$B$8,0)</f>
        <v>-6.3E-2</v>
      </c>
      <c r="H681" s="14">
        <f t="shared" si="10"/>
        <v>60.861023999999993</v>
      </c>
    </row>
    <row r="682" spans="1:8" x14ac:dyDescent="0.35">
      <c r="A682" s="24" t="s">
        <v>595</v>
      </c>
      <c r="B682" s="29">
        <v>46249</v>
      </c>
      <c r="C682" s="24" t="s">
        <v>478</v>
      </c>
      <c r="D682" s="24" t="s">
        <v>454</v>
      </c>
      <c r="E682" s="25">
        <v>19.57</v>
      </c>
      <c r="F682" s="26">
        <v>105</v>
      </c>
      <c r="G682" s="30">
        <f>IF(OR(D682="TARDIO",D682="PENDIENTE (TARDÍO)"),'Efectos y supuestos'!$B$8,0)</f>
        <v>-6.3E-2</v>
      </c>
      <c r="H682" s="14">
        <f t="shared" si="10"/>
        <v>129.45555000000002</v>
      </c>
    </row>
    <row r="683" spans="1:8" x14ac:dyDescent="0.35">
      <c r="A683" s="24" t="s">
        <v>419</v>
      </c>
      <c r="B683" s="29">
        <v>46249</v>
      </c>
      <c r="C683" s="24" t="s">
        <v>478</v>
      </c>
      <c r="D683" s="24" t="s">
        <v>454</v>
      </c>
      <c r="E683" s="25">
        <v>17.13</v>
      </c>
      <c r="F683" s="26">
        <v>105</v>
      </c>
      <c r="G683" s="30">
        <f>IF(OR(D683="TARDIO",D683="PENDIENTE (TARDÍO)"),'Efectos y supuestos'!$B$8,0)</f>
        <v>-6.3E-2</v>
      </c>
      <c r="H683" s="14">
        <f t="shared" si="10"/>
        <v>113.31495</v>
      </c>
    </row>
    <row r="684" spans="1:8" x14ac:dyDescent="0.35">
      <c r="A684" s="24" t="s">
        <v>237</v>
      </c>
      <c r="B684" s="29">
        <v>46249</v>
      </c>
      <c r="C684" s="24" t="s">
        <v>478</v>
      </c>
      <c r="D684" s="24" t="s">
        <v>454</v>
      </c>
      <c r="E684" s="25">
        <v>17.64</v>
      </c>
      <c r="F684" s="26">
        <v>105</v>
      </c>
      <c r="G684" s="30">
        <f>IF(OR(D684="TARDIO",D684="PENDIENTE (TARDÍO)"),'Efectos y supuestos'!$B$8,0)</f>
        <v>-6.3E-2</v>
      </c>
      <c r="H684" s="14">
        <f t="shared" si="10"/>
        <v>116.68860000000001</v>
      </c>
    </row>
    <row r="685" spans="1:8" x14ac:dyDescent="0.35">
      <c r="A685" s="24" t="s">
        <v>97</v>
      </c>
      <c r="B685" s="29">
        <v>46249</v>
      </c>
      <c r="C685" s="24" t="s">
        <v>478</v>
      </c>
      <c r="D685" s="24" t="s">
        <v>454</v>
      </c>
      <c r="E685" s="25">
        <v>11.39</v>
      </c>
      <c r="F685" s="26">
        <v>105</v>
      </c>
      <c r="G685" s="30">
        <f>IF(OR(D685="TARDIO",D685="PENDIENTE (TARDÍO)"),'Efectos y supuestos'!$B$8,0)</f>
        <v>-6.3E-2</v>
      </c>
      <c r="H685" s="14">
        <f t="shared" si="10"/>
        <v>75.344850000000008</v>
      </c>
    </row>
    <row r="686" spans="1:8" x14ac:dyDescent="0.35">
      <c r="A686" s="24" t="s">
        <v>596</v>
      </c>
      <c r="B686" s="29">
        <v>46249</v>
      </c>
      <c r="C686" s="24" t="s">
        <v>478</v>
      </c>
      <c r="D686" s="24" t="s">
        <v>454</v>
      </c>
      <c r="E686" s="25">
        <v>7.8</v>
      </c>
      <c r="F686" s="26">
        <v>105</v>
      </c>
      <c r="G686" s="30">
        <f>IF(OR(D686="TARDIO",D686="PENDIENTE (TARDÍO)"),'Efectos y supuestos'!$B$8,0)</f>
        <v>-6.3E-2</v>
      </c>
      <c r="H686" s="14">
        <f t="shared" si="10"/>
        <v>51.597000000000001</v>
      </c>
    </row>
    <row r="687" spans="1:8" x14ac:dyDescent="0.35">
      <c r="A687" s="24" t="s">
        <v>597</v>
      </c>
      <c r="B687" s="29">
        <v>46249</v>
      </c>
      <c r="C687" s="24" t="s">
        <v>478</v>
      </c>
      <c r="D687" s="24" t="s">
        <v>454</v>
      </c>
      <c r="E687" s="25">
        <v>7.84</v>
      </c>
      <c r="F687" s="26">
        <v>105</v>
      </c>
      <c r="G687" s="30">
        <f>IF(OR(D687="TARDIO",D687="PENDIENTE (TARDÍO)"),'Efectos y supuestos'!$B$8,0)</f>
        <v>-6.3E-2</v>
      </c>
      <c r="H687" s="14">
        <f t="shared" si="10"/>
        <v>51.861600000000003</v>
      </c>
    </row>
    <row r="688" spans="1:8" x14ac:dyDescent="0.35">
      <c r="A688" s="24" t="s">
        <v>392</v>
      </c>
      <c r="B688" s="29">
        <v>46249</v>
      </c>
      <c r="C688" s="24" t="s">
        <v>478</v>
      </c>
      <c r="D688" s="24" t="s">
        <v>454</v>
      </c>
      <c r="E688" s="25">
        <v>16.88</v>
      </c>
      <c r="F688" s="26">
        <v>105</v>
      </c>
      <c r="G688" s="30">
        <f>IF(OR(D688="TARDIO",D688="PENDIENTE (TARDÍO)"),'Efectos y supuestos'!$B$8,0)</f>
        <v>-6.3E-2</v>
      </c>
      <c r="H688" s="14">
        <f t="shared" si="10"/>
        <v>111.66119999999999</v>
      </c>
    </row>
    <row r="689" spans="1:8" x14ac:dyDescent="0.35">
      <c r="A689" s="24" t="s">
        <v>242</v>
      </c>
      <c r="B689" s="29">
        <v>46249</v>
      </c>
      <c r="C689" s="24" t="s">
        <v>478</v>
      </c>
      <c r="D689" s="24" t="s">
        <v>454</v>
      </c>
      <c r="E689" s="25">
        <v>4.3600000000000003</v>
      </c>
      <c r="F689" s="26">
        <v>105</v>
      </c>
      <c r="G689" s="30">
        <f>IF(OR(D689="TARDIO",D689="PENDIENTE (TARDÍO)"),'Efectos y supuestos'!$B$8,0)</f>
        <v>-6.3E-2</v>
      </c>
      <c r="H689" s="14">
        <f t="shared" si="10"/>
        <v>28.841400000000004</v>
      </c>
    </row>
    <row r="690" spans="1:8" x14ac:dyDescent="0.35">
      <c r="A690" s="24" t="s">
        <v>598</v>
      </c>
      <c r="B690" s="29">
        <v>46249</v>
      </c>
      <c r="C690" s="24" t="s">
        <v>478</v>
      </c>
      <c r="D690" s="24" t="s">
        <v>454</v>
      </c>
      <c r="E690" s="25">
        <v>17.32</v>
      </c>
      <c r="F690" s="26">
        <v>105</v>
      </c>
      <c r="G690" s="30">
        <f>IF(OR(D690="TARDIO",D690="PENDIENTE (TARDÍO)"),'Efectos y supuestos'!$B$8,0)</f>
        <v>-6.3E-2</v>
      </c>
      <c r="H690" s="14">
        <f t="shared" si="10"/>
        <v>114.57180000000001</v>
      </c>
    </row>
    <row r="691" spans="1:8" x14ac:dyDescent="0.35">
      <c r="A691" s="24" t="s">
        <v>599</v>
      </c>
      <c r="B691" s="29">
        <v>46249</v>
      </c>
      <c r="C691" s="24" t="s">
        <v>478</v>
      </c>
      <c r="D691" s="24" t="s">
        <v>454</v>
      </c>
      <c r="E691" s="25">
        <v>7.59</v>
      </c>
      <c r="F691" s="26">
        <v>105</v>
      </c>
      <c r="G691" s="30">
        <f>IF(OR(D691="TARDIO",D691="PENDIENTE (TARDÍO)"),'Efectos y supuestos'!$B$8,0)</f>
        <v>-6.3E-2</v>
      </c>
      <c r="H691" s="14">
        <f t="shared" si="10"/>
        <v>50.207850000000001</v>
      </c>
    </row>
    <row r="692" spans="1:8" x14ac:dyDescent="0.35">
      <c r="A692" s="24" t="s">
        <v>246</v>
      </c>
      <c r="B692" s="29">
        <v>46249</v>
      </c>
      <c r="C692" s="24" t="s">
        <v>478</v>
      </c>
      <c r="D692" s="24" t="s">
        <v>454</v>
      </c>
      <c r="E692" s="25">
        <v>12.22</v>
      </c>
      <c r="F692" s="26">
        <v>105</v>
      </c>
      <c r="G692" s="30">
        <f>IF(OR(D692="TARDIO",D692="PENDIENTE (TARDÍO)"),'Efectos y supuestos'!$B$8,0)</f>
        <v>-6.3E-2</v>
      </c>
      <c r="H692" s="14">
        <f t="shared" si="10"/>
        <v>80.835300000000004</v>
      </c>
    </row>
    <row r="693" spans="1:8" x14ac:dyDescent="0.35">
      <c r="A693" s="24" t="s">
        <v>250</v>
      </c>
      <c r="B693" s="29">
        <v>46218</v>
      </c>
      <c r="C693" s="24" t="s">
        <v>478</v>
      </c>
      <c r="D693" s="24" t="s">
        <v>454</v>
      </c>
      <c r="E693" s="25">
        <v>11.73</v>
      </c>
      <c r="F693" s="26">
        <v>105</v>
      </c>
      <c r="G693" s="30">
        <f>IF(OR(D693="TARDIO",D693="PENDIENTE (TARDÍO)"),'Efectos y supuestos'!$B$8,0)</f>
        <v>-6.3E-2</v>
      </c>
      <c r="H693" s="14">
        <f t="shared" si="10"/>
        <v>77.593950000000007</v>
      </c>
    </row>
    <row r="694" spans="1:8" x14ac:dyDescent="0.35">
      <c r="A694" s="24" t="s">
        <v>252</v>
      </c>
      <c r="B694" s="29">
        <v>46249</v>
      </c>
      <c r="C694" s="24" t="s">
        <v>478</v>
      </c>
      <c r="D694" s="24" t="s">
        <v>454</v>
      </c>
      <c r="E694" s="25">
        <v>1.98</v>
      </c>
      <c r="F694" s="26">
        <v>105</v>
      </c>
      <c r="G694" s="30">
        <f>IF(OR(D694="TARDIO",D694="PENDIENTE (TARDÍO)"),'Efectos y supuestos'!$B$8,0)</f>
        <v>-6.3E-2</v>
      </c>
      <c r="H694" s="14">
        <f t="shared" si="10"/>
        <v>13.0977</v>
      </c>
    </row>
    <row r="695" spans="1:8" x14ac:dyDescent="0.35">
      <c r="A695" s="24" t="s">
        <v>253</v>
      </c>
      <c r="B695" s="29">
        <v>46249</v>
      </c>
      <c r="C695" s="24" t="s">
        <v>478</v>
      </c>
      <c r="D695" s="24" t="s">
        <v>454</v>
      </c>
      <c r="E695" s="25">
        <v>16.100000000000001</v>
      </c>
      <c r="F695" s="26">
        <v>105</v>
      </c>
      <c r="G695" s="30">
        <f>IF(OR(D695="TARDIO",D695="PENDIENTE (TARDÍO)"),'Efectos y supuestos'!$B$8,0)</f>
        <v>-6.3E-2</v>
      </c>
      <c r="H695" s="14">
        <f t="shared" si="10"/>
        <v>106.50150000000001</v>
      </c>
    </row>
    <row r="696" spans="1:8" x14ac:dyDescent="0.35">
      <c r="A696" s="24" t="s">
        <v>255</v>
      </c>
      <c r="B696" s="29">
        <v>46249</v>
      </c>
      <c r="C696" s="24" t="s">
        <v>478</v>
      </c>
      <c r="D696" s="24" t="s">
        <v>454</v>
      </c>
      <c r="E696" s="25">
        <v>6.06</v>
      </c>
      <c r="F696" s="26">
        <v>105</v>
      </c>
      <c r="G696" s="30">
        <f>IF(OR(D696="TARDIO",D696="PENDIENTE (TARDÍO)"),'Efectos y supuestos'!$B$8,0)</f>
        <v>-6.3E-2</v>
      </c>
      <c r="H696" s="14">
        <f t="shared" si="10"/>
        <v>40.0869</v>
      </c>
    </row>
    <row r="697" spans="1:8" x14ac:dyDescent="0.35">
      <c r="A697" s="24" t="s">
        <v>256</v>
      </c>
      <c r="B697" s="29">
        <v>46249</v>
      </c>
      <c r="C697" s="24" t="s">
        <v>478</v>
      </c>
      <c r="D697" s="24" t="s">
        <v>454</v>
      </c>
      <c r="E697" s="25">
        <v>11.65</v>
      </c>
      <c r="F697" s="26">
        <v>105</v>
      </c>
      <c r="G697" s="30">
        <f>IF(OR(D697="TARDIO",D697="PENDIENTE (TARDÍO)"),'Efectos y supuestos'!$B$8,0)</f>
        <v>-6.3E-2</v>
      </c>
      <c r="H697" s="14">
        <f t="shared" si="10"/>
        <v>77.064750000000004</v>
      </c>
    </row>
    <row r="698" spans="1:8" x14ac:dyDescent="0.35">
      <c r="A698" s="24" t="s">
        <v>258</v>
      </c>
      <c r="B698" s="29">
        <v>46249</v>
      </c>
      <c r="C698" s="24" t="s">
        <v>478</v>
      </c>
      <c r="D698" s="24" t="s">
        <v>454</v>
      </c>
      <c r="E698" s="25">
        <v>5.58</v>
      </c>
      <c r="F698" s="26">
        <v>105</v>
      </c>
      <c r="G698" s="30">
        <f>IF(OR(D698="TARDIO",D698="PENDIENTE (TARDÍO)"),'Efectos y supuestos'!$B$8,0)</f>
        <v>-6.3E-2</v>
      </c>
      <c r="H698" s="14">
        <f t="shared" ref="H698:H761" si="11">-G698*F698*E698</f>
        <v>36.911700000000003</v>
      </c>
    </row>
    <row r="699" spans="1:8" x14ac:dyDescent="0.35">
      <c r="A699" s="24" t="s">
        <v>259</v>
      </c>
      <c r="B699" s="29">
        <v>46218</v>
      </c>
      <c r="C699" s="24" t="s">
        <v>478</v>
      </c>
      <c r="D699" s="24" t="s">
        <v>454</v>
      </c>
      <c r="E699" s="25">
        <v>5.97</v>
      </c>
      <c r="F699" s="26">
        <v>105</v>
      </c>
      <c r="G699" s="30">
        <f>IF(OR(D699="TARDIO",D699="PENDIENTE (TARDÍO)"),'Efectos y supuestos'!$B$8,0)</f>
        <v>-6.3E-2</v>
      </c>
      <c r="H699" s="14">
        <f t="shared" si="11"/>
        <v>39.491549999999997</v>
      </c>
    </row>
    <row r="700" spans="1:8" x14ac:dyDescent="0.35">
      <c r="A700" s="24" t="s">
        <v>260</v>
      </c>
      <c r="B700" s="29">
        <v>46249</v>
      </c>
      <c r="C700" s="24" t="s">
        <v>478</v>
      </c>
      <c r="D700" s="24" t="s">
        <v>454</v>
      </c>
      <c r="E700" s="25">
        <v>9.64</v>
      </c>
      <c r="F700" s="26">
        <v>105</v>
      </c>
      <c r="G700" s="30">
        <f>IF(OR(D700="TARDIO",D700="PENDIENTE (TARDÍO)"),'Efectos y supuestos'!$B$8,0)</f>
        <v>-6.3E-2</v>
      </c>
      <c r="H700" s="14">
        <f t="shared" si="11"/>
        <v>63.768600000000006</v>
      </c>
    </row>
    <row r="701" spans="1:8" x14ac:dyDescent="0.35">
      <c r="A701" s="24" t="s">
        <v>261</v>
      </c>
      <c r="B701" s="29">
        <v>46218</v>
      </c>
      <c r="C701" s="24" t="s">
        <v>478</v>
      </c>
      <c r="D701" s="24" t="s">
        <v>454</v>
      </c>
      <c r="E701" s="25">
        <v>16.329999999999998</v>
      </c>
      <c r="F701" s="26">
        <v>105</v>
      </c>
      <c r="G701" s="30">
        <f>IF(OR(D701="TARDIO",D701="PENDIENTE (TARDÍO)"),'Efectos y supuestos'!$B$8,0)</f>
        <v>-6.3E-2</v>
      </c>
      <c r="H701" s="14">
        <f t="shared" si="11"/>
        <v>108.02294999999999</v>
      </c>
    </row>
    <row r="702" spans="1:8" x14ac:dyDescent="0.35">
      <c r="A702" s="24" t="s">
        <v>262</v>
      </c>
      <c r="B702" s="29">
        <v>46218</v>
      </c>
      <c r="C702" s="24" t="s">
        <v>478</v>
      </c>
      <c r="D702" s="24" t="s">
        <v>454</v>
      </c>
      <c r="E702" s="25">
        <v>16.170000000000002</v>
      </c>
      <c r="F702" s="26">
        <v>105</v>
      </c>
      <c r="G702" s="30">
        <f>IF(OR(D702="TARDIO",D702="PENDIENTE (TARDÍO)"),'Efectos y supuestos'!$B$8,0)</f>
        <v>-6.3E-2</v>
      </c>
      <c r="H702" s="14">
        <f t="shared" si="11"/>
        <v>106.96455000000002</v>
      </c>
    </row>
    <row r="703" spans="1:8" x14ac:dyDescent="0.35">
      <c r="A703" s="24" t="s">
        <v>263</v>
      </c>
      <c r="B703" s="29">
        <v>46249</v>
      </c>
      <c r="C703" s="24" t="s">
        <v>478</v>
      </c>
      <c r="D703" s="24" t="s">
        <v>454</v>
      </c>
      <c r="E703" s="25">
        <v>17.38</v>
      </c>
      <c r="F703" s="26">
        <v>105</v>
      </c>
      <c r="G703" s="30">
        <f>IF(OR(D703="TARDIO",D703="PENDIENTE (TARDÍO)"),'Efectos y supuestos'!$B$8,0)</f>
        <v>-6.3E-2</v>
      </c>
      <c r="H703" s="14">
        <f t="shared" si="11"/>
        <v>114.9687</v>
      </c>
    </row>
    <row r="704" spans="1:8" x14ac:dyDescent="0.35">
      <c r="A704" s="24" t="s">
        <v>600</v>
      </c>
      <c r="B704" s="29">
        <v>46249</v>
      </c>
      <c r="C704" s="24" t="s">
        <v>478</v>
      </c>
      <c r="D704" s="24" t="s">
        <v>454</v>
      </c>
      <c r="E704" s="25">
        <v>5.95</v>
      </c>
      <c r="F704" s="26">
        <v>105</v>
      </c>
      <c r="G704" s="30">
        <f>IF(OR(D704="TARDIO",D704="PENDIENTE (TARDÍO)"),'Efectos y supuestos'!$B$8,0)</f>
        <v>-6.3E-2</v>
      </c>
      <c r="H704" s="14">
        <f t="shared" si="11"/>
        <v>39.359250000000003</v>
      </c>
    </row>
    <row r="705" spans="1:8" x14ac:dyDescent="0.35">
      <c r="A705" s="24" t="s">
        <v>266</v>
      </c>
      <c r="B705" s="29">
        <v>46249</v>
      </c>
      <c r="C705" s="24" t="s">
        <v>478</v>
      </c>
      <c r="D705" s="24" t="s">
        <v>454</v>
      </c>
      <c r="E705" s="25">
        <v>6.2</v>
      </c>
      <c r="F705" s="26">
        <v>105</v>
      </c>
      <c r="G705" s="30">
        <f>IF(OR(D705="TARDIO",D705="PENDIENTE (TARDÍO)"),'Efectos y supuestos'!$B$8,0)</f>
        <v>-6.3E-2</v>
      </c>
      <c r="H705" s="14">
        <f t="shared" si="11"/>
        <v>41.013000000000005</v>
      </c>
    </row>
    <row r="706" spans="1:8" x14ac:dyDescent="0.35">
      <c r="A706" s="24" t="s">
        <v>428</v>
      </c>
      <c r="B706" s="29">
        <v>46249</v>
      </c>
      <c r="C706" s="24" t="s">
        <v>478</v>
      </c>
      <c r="D706" s="24" t="s">
        <v>454</v>
      </c>
      <c r="E706" s="25">
        <v>1.32</v>
      </c>
      <c r="F706" s="26">
        <v>105</v>
      </c>
      <c r="G706" s="30">
        <f>IF(OR(D706="TARDIO",D706="PENDIENTE (TARDÍO)"),'Efectos y supuestos'!$B$8,0)</f>
        <v>-6.3E-2</v>
      </c>
      <c r="H706" s="14">
        <f t="shared" si="11"/>
        <v>8.7318000000000016</v>
      </c>
    </row>
    <row r="707" spans="1:8" x14ac:dyDescent="0.35">
      <c r="A707" s="24" t="s">
        <v>429</v>
      </c>
      <c r="B707" s="29">
        <v>46249</v>
      </c>
      <c r="C707" s="24" t="s">
        <v>478</v>
      </c>
      <c r="D707" s="24" t="s">
        <v>454</v>
      </c>
      <c r="E707" s="25">
        <v>1.19</v>
      </c>
      <c r="F707" s="26">
        <v>105</v>
      </c>
      <c r="G707" s="30">
        <f>IF(OR(D707="TARDIO",D707="PENDIENTE (TARDÍO)"),'Efectos y supuestos'!$B$8,0)</f>
        <v>-6.3E-2</v>
      </c>
      <c r="H707" s="14">
        <f t="shared" si="11"/>
        <v>7.8718500000000002</v>
      </c>
    </row>
    <row r="708" spans="1:8" x14ac:dyDescent="0.35">
      <c r="A708" s="24" t="s">
        <v>312</v>
      </c>
      <c r="B708" s="29">
        <v>46218</v>
      </c>
      <c r="C708" s="24" t="s">
        <v>478</v>
      </c>
      <c r="D708" s="24" t="s">
        <v>454</v>
      </c>
      <c r="E708" s="25">
        <v>15.8</v>
      </c>
      <c r="F708" s="26">
        <v>105</v>
      </c>
      <c r="G708" s="30">
        <f>IF(OR(D708="TARDIO",D708="PENDIENTE (TARDÍO)"),'Efectos y supuestos'!$B$8,0)</f>
        <v>-6.3E-2</v>
      </c>
      <c r="H708" s="14">
        <f t="shared" si="11"/>
        <v>104.51700000000001</v>
      </c>
    </row>
    <row r="709" spans="1:8" x14ac:dyDescent="0.35">
      <c r="A709" s="24" t="s">
        <v>601</v>
      </c>
      <c r="B709" s="29">
        <v>46218</v>
      </c>
      <c r="C709" s="24" t="s">
        <v>478</v>
      </c>
      <c r="D709" s="24" t="s">
        <v>454</v>
      </c>
      <c r="E709" s="25">
        <v>5.9</v>
      </c>
      <c r="F709" s="26">
        <v>105</v>
      </c>
      <c r="G709" s="30">
        <f>IF(OR(D709="TARDIO",D709="PENDIENTE (TARDÍO)"),'Efectos y supuestos'!$B$8,0)</f>
        <v>-6.3E-2</v>
      </c>
      <c r="H709" s="14">
        <f t="shared" si="11"/>
        <v>39.028500000000001</v>
      </c>
    </row>
    <row r="710" spans="1:8" x14ac:dyDescent="0.35">
      <c r="A710" s="24" t="s">
        <v>326</v>
      </c>
      <c r="B710" s="29">
        <v>46249</v>
      </c>
      <c r="C710" s="24" t="s">
        <v>478</v>
      </c>
      <c r="D710" s="24" t="s">
        <v>454</v>
      </c>
      <c r="E710" s="25">
        <v>15.12</v>
      </c>
      <c r="F710" s="26">
        <v>105</v>
      </c>
      <c r="G710" s="30">
        <f>IF(OR(D710="TARDIO",D710="PENDIENTE (TARDÍO)"),'Efectos y supuestos'!$B$8,0)</f>
        <v>-6.3E-2</v>
      </c>
      <c r="H710" s="14">
        <f t="shared" si="11"/>
        <v>100.0188</v>
      </c>
    </row>
    <row r="711" spans="1:8" x14ac:dyDescent="0.35">
      <c r="A711" s="24" t="s">
        <v>335</v>
      </c>
      <c r="B711" s="29">
        <v>46249</v>
      </c>
      <c r="C711" s="24" t="s">
        <v>478</v>
      </c>
      <c r="D711" s="24" t="s">
        <v>454</v>
      </c>
      <c r="E711" s="25">
        <v>6.25</v>
      </c>
      <c r="F711" s="26">
        <v>105</v>
      </c>
      <c r="G711" s="30">
        <f>IF(OR(D711="TARDIO",D711="PENDIENTE (TARDÍO)"),'Efectos y supuestos'!$B$8,0)</f>
        <v>-6.3E-2</v>
      </c>
      <c r="H711" s="14">
        <f t="shared" si="11"/>
        <v>41.34375</v>
      </c>
    </row>
    <row r="712" spans="1:8" x14ac:dyDescent="0.35">
      <c r="A712" s="24" t="s">
        <v>146</v>
      </c>
      <c r="B712" s="29">
        <v>46006</v>
      </c>
      <c r="C712" s="24" t="s">
        <v>480</v>
      </c>
      <c r="D712" s="24" t="s">
        <v>454</v>
      </c>
      <c r="E712" s="25">
        <v>6.58</v>
      </c>
      <c r="F712" s="26">
        <v>92.9</v>
      </c>
      <c r="G712" s="30">
        <f>IF(OR(D712="TARDIO",D712="PENDIENTE (TARDÍO)"),'Efectos y supuestos'!$B$8,0)</f>
        <v>-6.3E-2</v>
      </c>
      <c r="H712" s="14">
        <f t="shared" si="11"/>
        <v>38.510766000000004</v>
      </c>
    </row>
    <row r="713" spans="1:8" x14ac:dyDescent="0.35">
      <c r="A713" s="24" t="s">
        <v>151</v>
      </c>
      <c r="B713" s="29">
        <v>46006</v>
      </c>
      <c r="C713" s="24" t="s">
        <v>480</v>
      </c>
      <c r="D713" s="24" t="s">
        <v>454</v>
      </c>
      <c r="E713" s="25">
        <v>5.82</v>
      </c>
      <c r="F713" s="26">
        <v>78.599999999999994</v>
      </c>
      <c r="G713" s="30">
        <f>IF(OR(D713="TARDIO",D713="PENDIENTE (TARDÍO)"),'Efectos y supuestos'!$B$8,0)</f>
        <v>-6.3E-2</v>
      </c>
      <c r="H713" s="14">
        <f t="shared" si="11"/>
        <v>28.819475999999998</v>
      </c>
    </row>
    <row r="714" spans="1:8" x14ac:dyDescent="0.35">
      <c r="A714" s="24" t="s">
        <v>410</v>
      </c>
      <c r="B714" s="29">
        <v>46249</v>
      </c>
      <c r="C714" s="24" t="s">
        <v>478</v>
      </c>
      <c r="D714" s="24" t="s">
        <v>456</v>
      </c>
      <c r="E714" s="25">
        <v>12.74</v>
      </c>
      <c r="F714" s="26">
        <v>105</v>
      </c>
      <c r="G714" s="30">
        <f>IF(OR(D714="TARDIO",D714="PENDIENTE (TARDÍO)"),'Efectos y supuestos'!$B$8,0)</f>
        <v>-6.3E-2</v>
      </c>
      <c r="H714" s="14">
        <f t="shared" si="11"/>
        <v>84.275100000000009</v>
      </c>
    </row>
    <row r="715" spans="1:8" x14ac:dyDescent="0.35">
      <c r="A715" s="24" t="s">
        <v>602</v>
      </c>
      <c r="B715" s="29">
        <v>46249</v>
      </c>
      <c r="C715" s="24" t="s">
        <v>478</v>
      </c>
      <c r="D715" s="24" t="s">
        <v>456</v>
      </c>
      <c r="E715" s="25">
        <v>12.44</v>
      </c>
      <c r="F715" s="26">
        <v>105</v>
      </c>
      <c r="G715" s="30">
        <f>IF(OR(D715="TARDIO",D715="PENDIENTE (TARDÍO)"),'Efectos y supuestos'!$B$8,0)</f>
        <v>-6.3E-2</v>
      </c>
      <c r="H715" s="14">
        <f t="shared" si="11"/>
        <v>82.290599999999998</v>
      </c>
    </row>
    <row r="716" spans="1:8" x14ac:dyDescent="0.35">
      <c r="A716" s="24" t="s">
        <v>603</v>
      </c>
      <c r="B716" s="29">
        <v>46006</v>
      </c>
      <c r="C716" s="24" t="s">
        <v>478</v>
      </c>
      <c r="D716" s="24" t="s">
        <v>456</v>
      </c>
      <c r="E716" s="25">
        <v>13.43</v>
      </c>
      <c r="F716" s="26">
        <v>76.5</v>
      </c>
      <c r="G716" s="30">
        <f>IF(OR(D716="TARDIO",D716="PENDIENTE (TARDÍO)"),'Efectos y supuestos'!$B$8,0)</f>
        <v>-6.3E-2</v>
      </c>
      <c r="H716" s="14">
        <f t="shared" si="11"/>
        <v>64.725884999999991</v>
      </c>
    </row>
    <row r="717" spans="1:8" x14ac:dyDescent="0.35">
      <c r="A717" s="24" t="s">
        <v>455</v>
      </c>
      <c r="B717" s="29">
        <v>46157</v>
      </c>
      <c r="C717" s="24" t="s">
        <v>478</v>
      </c>
      <c r="D717" s="24" t="s">
        <v>456</v>
      </c>
      <c r="E717" s="25">
        <v>9.32</v>
      </c>
      <c r="F717" s="26">
        <v>88.2</v>
      </c>
      <c r="G717" s="30">
        <f>IF(OR(D717="TARDIO",D717="PENDIENTE (TARDÍO)"),'Efectos y supuestos'!$B$8,0)</f>
        <v>-6.3E-2</v>
      </c>
      <c r="H717" s="14">
        <f t="shared" si="11"/>
        <v>51.787512000000007</v>
      </c>
    </row>
    <row r="718" spans="1:8" x14ac:dyDescent="0.35">
      <c r="A718" s="24" t="s">
        <v>83</v>
      </c>
      <c r="B718" s="29">
        <v>46249</v>
      </c>
      <c r="C718" s="24" t="s">
        <v>478</v>
      </c>
      <c r="D718" s="24" t="s">
        <v>456</v>
      </c>
      <c r="E718" s="25">
        <v>14.42</v>
      </c>
      <c r="F718" s="26">
        <v>105</v>
      </c>
      <c r="G718" s="30">
        <f>IF(OR(D718="TARDIO",D718="PENDIENTE (TARDÍO)"),'Efectos y supuestos'!$B$8,0)</f>
        <v>-6.3E-2</v>
      </c>
      <c r="H718" s="14">
        <f t="shared" si="11"/>
        <v>95.388300000000001</v>
      </c>
    </row>
    <row r="719" spans="1:8" x14ac:dyDescent="0.35">
      <c r="A719" s="24" t="s">
        <v>604</v>
      </c>
      <c r="B719" s="29">
        <v>46006</v>
      </c>
      <c r="C719" s="24" t="s">
        <v>478</v>
      </c>
      <c r="D719" s="24" t="s">
        <v>456</v>
      </c>
      <c r="E719" s="25">
        <v>14.02</v>
      </c>
      <c r="F719" s="26">
        <v>82.7</v>
      </c>
      <c r="G719" s="30">
        <f>IF(OR(D719="TARDIO",D719="PENDIENTE (TARDÍO)"),'Efectos y supuestos'!$B$8,0)</f>
        <v>-6.3E-2</v>
      </c>
      <c r="H719" s="14">
        <f t="shared" si="11"/>
        <v>73.045602000000002</v>
      </c>
    </row>
    <row r="720" spans="1:8" x14ac:dyDescent="0.35">
      <c r="A720" s="24" t="s">
        <v>192</v>
      </c>
      <c r="B720" s="29">
        <v>46249</v>
      </c>
      <c r="C720" s="24" t="s">
        <v>478</v>
      </c>
      <c r="D720" s="24" t="s">
        <v>456</v>
      </c>
      <c r="E720" s="25">
        <v>5.74</v>
      </c>
      <c r="F720" s="26">
        <v>105</v>
      </c>
      <c r="G720" s="30">
        <f>IF(OR(D720="TARDIO",D720="PENDIENTE (TARDÍO)"),'Efectos y supuestos'!$B$8,0)</f>
        <v>-6.3E-2</v>
      </c>
      <c r="H720" s="14">
        <f t="shared" si="11"/>
        <v>37.970100000000002</v>
      </c>
    </row>
    <row r="721" spans="1:8" x14ac:dyDescent="0.35">
      <c r="A721" s="24" t="s">
        <v>117</v>
      </c>
      <c r="B721" s="29">
        <v>46006</v>
      </c>
      <c r="C721" s="24" t="s">
        <v>478</v>
      </c>
      <c r="D721" s="24" t="s">
        <v>456</v>
      </c>
      <c r="E721" s="25">
        <v>4.84</v>
      </c>
      <c r="F721" s="26">
        <v>86.3</v>
      </c>
      <c r="G721" s="30">
        <f>IF(OR(D721="TARDIO",D721="PENDIENTE (TARDÍO)"),'Efectos y supuestos'!$B$8,0)</f>
        <v>-6.3E-2</v>
      </c>
      <c r="H721" s="14">
        <f t="shared" si="11"/>
        <v>26.314595999999998</v>
      </c>
    </row>
    <row r="722" spans="1:8" x14ac:dyDescent="0.35">
      <c r="A722" s="24" t="s">
        <v>118</v>
      </c>
      <c r="B722" s="29">
        <v>46006</v>
      </c>
      <c r="C722" s="24" t="s">
        <v>478</v>
      </c>
      <c r="D722" s="24" t="s">
        <v>456</v>
      </c>
      <c r="E722" s="25">
        <v>4.9400000000000004</v>
      </c>
      <c r="F722" s="26">
        <v>66.3</v>
      </c>
      <c r="G722" s="30">
        <f>IF(OR(D722="TARDIO",D722="PENDIENTE (TARDÍO)"),'Efectos y supuestos'!$B$8,0)</f>
        <v>-6.3E-2</v>
      </c>
      <c r="H722" s="14">
        <f t="shared" si="11"/>
        <v>20.633886</v>
      </c>
    </row>
    <row r="723" spans="1:8" x14ac:dyDescent="0.35">
      <c r="A723" s="24" t="s">
        <v>196</v>
      </c>
      <c r="B723" s="29">
        <v>46157</v>
      </c>
      <c r="C723" s="24" t="s">
        <v>478</v>
      </c>
      <c r="D723" s="24" t="s">
        <v>456</v>
      </c>
      <c r="E723" s="25">
        <v>8.07</v>
      </c>
      <c r="F723" s="26">
        <v>101.5</v>
      </c>
      <c r="G723" s="30">
        <f>IF(OR(D723="TARDIO",D723="PENDIENTE (TARDÍO)"),'Efectos y supuestos'!$B$8,0)</f>
        <v>-6.3E-2</v>
      </c>
      <c r="H723" s="14">
        <f t="shared" si="11"/>
        <v>51.603614999999998</v>
      </c>
    </row>
    <row r="724" spans="1:8" x14ac:dyDescent="0.35">
      <c r="A724" s="24" t="s">
        <v>605</v>
      </c>
      <c r="B724" s="29">
        <v>46006</v>
      </c>
      <c r="C724" s="24" t="s">
        <v>480</v>
      </c>
      <c r="D724" s="24" t="s">
        <v>456</v>
      </c>
      <c r="E724" s="25">
        <v>8.7899999999999991</v>
      </c>
      <c r="F724" s="26">
        <v>79.599999999999994</v>
      </c>
      <c r="G724" s="30">
        <f>IF(OR(D724="TARDIO",D724="PENDIENTE (TARDÍO)"),'Efectos y supuestos'!$B$8,0)</f>
        <v>-6.3E-2</v>
      </c>
      <c r="H724" s="14">
        <f t="shared" si="11"/>
        <v>44.080091999999986</v>
      </c>
    </row>
    <row r="725" spans="1:8" x14ac:dyDescent="0.35">
      <c r="A725" s="24" t="s">
        <v>606</v>
      </c>
      <c r="B725" s="29">
        <v>45976</v>
      </c>
      <c r="C725" s="24" t="s">
        <v>480</v>
      </c>
      <c r="D725" s="24" t="s">
        <v>456</v>
      </c>
      <c r="E725" s="25">
        <v>13.09</v>
      </c>
      <c r="F725" s="26">
        <v>121.7</v>
      </c>
      <c r="G725" s="30">
        <f>IF(OR(D725="TARDIO",D725="PENDIENTE (TARDÍO)"),'Efectos y supuestos'!$B$8,0)</f>
        <v>-6.3E-2</v>
      </c>
      <c r="H725" s="14">
        <f t="shared" si="11"/>
        <v>100.36233900000001</v>
      </c>
    </row>
    <row r="726" spans="1:8" x14ac:dyDescent="0.35">
      <c r="A726" s="24" t="s">
        <v>607</v>
      </c>
      <c r="B726" s="29">
        <v>46006</v>
      </c>
      <c r="C726" s="24" t="s">
        <v>480</v>
      </c>
      <c r="D726" s="24" t="s">
        <v>456</v>
      </c>
      <c r="E726" s="25">
        <v>13.47</v>
      </c>
      <c r="F726" s="26">
        <v>129.30000000000001</v>
      </c>
      <c r="G726" s="30">
        <f>IF(OR(D726="TARDIO",D726="PENDIENTE (TARDÍO)"),'Efectos y supuestos'!$B$8,0)</f>
        <v>-6.3E-2</v>
      </c>
      <c r="H726" s="14">
        <f t="shared" si="11"/>
        <v>109.72527300000002</v>
      </c>
    </row>
    <row r="727" spans="1:8" x14ac:dyDescent="0.35">
      <c r="A727" s="24" t="s">
        <v>412</v>
      </c>
      <c r="B727" s="29">
        <v>46188</v>
      </c>
      <c r="C727" s="24" t="s">
        <v>478</v>
      </c>
      <c r="D727" s="24" t="s">
        <v>456</v>
      </c>
      <c r="E727" s="25">
        <v>11.68</v>
      </c>
      <c r="F727" s="26">
        <v>105</v>
      </c>
      <c r="G727" s="30">
        <f>IF(OR(D727="TARDIO",D727="PENDIENTE (TARDÍO)"),'Efectos y supuestos'!$B$8,0)</f>
        <v>-6.3E-2</v>
      </c>
      <c r="H727" s="14">
        <f t="shared" si="11"/>
        <v>77.263199999999998</v>
      </c>
    </row>
    <row r="728" spans="1:8" x14ac:dyDescent="0.35">
      <c r="A728" s="24" t="s">
        <v>608</v>
      </c>
      <c r="B728" s="29">
        <v>46006</v>
      </c>
      <c r="C728" s="24" t="s">
        <v>478</v>
      </c>
      <c r="D728" s="24" t="s">
        <v>456</v>
      </c>
      <c r="E728" s="25">
        <v>17.78</v>
      </c>
      <c r="F728" s="26">
        <v>95.1</v>
      </c>
      <c r="G728" s="30">
        <f>IF(OR(D728="TARDIO",D728="PENDIENTE (TARDÍO)"),'Efectos y supuestos'!$B$8,0)</f>
        <v>-6.3E-2</v>
      </c>
      <c r="H728" s="14">
        <f t="shared" si="11"/>
        <v>106.52531400000001</v>
      </c>
    </row>
    <row r="729" spans="1:8" x14ac:dyDescent="0.35">
      <c r="A729" s="24" t="s">
        <v>415</v>
      </c>
      <c r="B729" s="29">
        <v>46096</v>
      </c>
      <c r="C729" s="24" t="s">
        <v>478</v>
      </c>
      <c r="D729" s="24" t="s">
        <v>456</v>
      </c>
      <c r="E729" s="25">
        <v>5.73</v>
      </c>
      <c r="F729" s="26">
        <v>87.6</v>
      </c>
      <c r="G729" s="30">
        <f>IF(OR(D729="TARDIO",D729="PENDIENTE (TARDÍO)"),'Efectos y supuestos'!$B$8,0)</f>
        <v>-6.3E-2</v>
      </c>
      <c r="H729" s="14">
        <f t="shared" si="11"/>
        <v>31.622724000000002</v>
      </c>
    </row>
    <row r="730" spans="1:8" x14ac:dyDescent="0.35">
      <c r="A730" s="24" t="s">
        <v>218</v>
      </c>
      <c r="B730" s="29">
        <v>46096</v>
      </c>
      <c r="C730" s="24" t="s">
        <v>478</v>
      </c>
      <c r="D730" s="24" t="s">
        <v>456</v>
      </c>
      <c r="E730" s="25">
        <v>7.52</v>
      </c>
      <c r="F730" s="26">
        <v>95.6</v>
      </c>
      <c r="G730" s="30">
        <f>IF(OR(D730="TARDIO",D730="PENDIENTE (TARDÍO)"),'Efectos y supuestos'!$B$8,0)</f>
        <v>-6.3E-2</v>
      </c>
      <c r="H730" s="14">
        <f t="shared" si="11"/>
        <v>45.29145599999999</v>
      </c>
    </row>
    <row r="731" spans="1:8" x14ac:dyDescent="0.35">
      <c r="A731" s="24" t="s">
        <v>462</v>
      </c>
      <c r="B731" s="29">
        <v>46068</v>
      </c>
      <c r="C731" s="24" t="s">
        <v>478</v>
      </c>
      <c r="D731" s="24" t="s">
        <v>456</v>
      </c>
      <c r="E731" s="25">
        <v>5.94</v>
      </c>
      <c r="F731" s="26">
        <v>108.3</v>
      </c>
      <c r="G731" s="30">
        <f>IF(OR(D731="TARDIO",D731="PENDIENTE (TARDÍO)"),'Efectos y supuestos'!$B$8,0)</f>
        <v>-6.3E-2</v>
      </c>
      <c r="H731" s="14">
        <f t="shared" si="11"/>
        <v>40.528026000000004</v>
      </c>
    </row>
    <row r="732" spans="1:8" x14ac:dyDescent="0.35">
      <c r="A732" s="24" t="s">
        <v>220</v>
      </c>
      <c r="B732" s="29">
        <v>46249</v>
      </c>
      <c r="C732" s="24" t="s">
        <v>478</v>
      </c>
      <c r="D732" s="24" t="s">
        <v>456</v>
      </c>
      <c r="E732" s="25">
        <v>10.82</v>
      </c>
      <c r="F732" s="26">
        <v>105</v>
      </c>
      <c r="G732" s="30">
        <f>IF(OR(D732="TARDIO",D732="PENDIENTE (TARDÍO)"),'Efectos y supuestos'!$B$8,0)</f>
        <v>-6.3E-2</v>
      </c>
      <c r="H732" s="14">
        <f t="shared" si="11"/>
        <v>71.574300000000008</v>
      </c>
    </row>
    <row r="733" spans="1:8" x14ac:dyDescent="0.35">
      <c r="A733" s="24" t="s">
        <v>124</v>
      </c>
      <c r="B733" s="29">
        <v>46006</v>
      </c>
      <c r="C733" s="24" t="s">
        <v>478</v>
      </c>
      <c r="D733" s="24" t="s">
        <v>456</v>
      </c>
      <c r="E733" s="25">
        <v>6.72</v>
      </c>
      <c r="F733" s="26">
        <v>98.7</v>
      </c>
      <c r="G733" s="30">
        <f>IF(OR(D733="TARDIO",D733="PENDIENTE (TARDÍO)"),'Efectos y supuestos'!$B$8,0)</f>
        <v>-6.3E-2</v>
      </c>
      <c r="H733" s="14">
        <f t="shared" si="11"/>
        <v>41.785632</v>
      </c>
    </row>
    <row r="734" spans="1:8" x14ac:dyDescent="0.35">
      <c r="A734" s="24" t="s">
        <v>240</v>
      </c>
      <c r="B734" s="29">
        <v>46037</v>
      </c>
      <c r="C734" s="24" t="s">
        <v>478</v>
      </c>
      <c r="D734" s="24" t="s">
        <v>456</v>
      </c>
      <c r="E734" s="25">
        <v>5.62</v>
      </c>
      <c r="F734" s="26">
        <v>96.2</v>
      </c>
      <c r="G734" s="30">
        <f>IF(OR(D734="TARDIO",D734="PENDIENTE (TARDÍO)"),'Efectos y supuestos'!$B$8,0)</f>
        <v>-6.3E-2</v>
      </c>
      <c r="H734" s="14">
        <f t="shared" si="11"/>
        <v>34.060572000000001</v>
      </c>
    </row>
    <row r="735" spans="1:8" x14ac:dyDescent="0.35">
      <c r="A735" s="24" t="s">
        <v>125</v>
      </c>
      <c r="B735" s="29">
        <v>46006</v>
      </c>
      <c r="C735" s="24" t="s">
        <v>478</v>
      </c>
      <c r="D735" s="24" t="s">
        <v>456</v>
      </c>
      <c r="E735" s="25">
        <v>2.14</v>
      </c>
      <c r="F735" s="26">
        <v>83.4</v>
      </c>
      <c r="G735" s="30">
        <f>IF(OR(D735="TARDIO",D735="PENDIENTE (TARDÍO)"),'Efectos y supuestos'!$B$8,0)</f>
        <v>-6.3E-2</v>
      </c>
      <c r="H735" s="14">
        <f t="shared" si="11"/>
        <v>11.243988</v>
      </c>
    </row>
    <row r="736" spans="1:8" x14ac:dyDescent="0.35">
      <c r="A736" s="24" t="s">
        <v>609</v>
      </c>
      <c r="B736" s="29">
        <v>46157</v>
      </c>
      <c r="C736" s="24" t="s">
        <v>478</v>
      </c>
      <c r="D736" s="24" t="s">
        <v>456</v>
      </c>
      <c r="E736" s="25">
        <v>1.61</v>
      </c>
      <c r="F736" s="26">
        <v>88.8</v>
      </c>
      <c r="G736" s="30">
        <f>IF(OR(D736="TARDIO",D736="PENDIENTE (TARDÍO)"),'Efectos y supuestos'!$B$8,0)</f>
        <v>-6.3E-2</v>
      </c>
      <c r="H736" s="14">
        <f t="shared" si="11"/>
        <v>9.006984000000001</v>
      </c>
    </row>
    <row r="737" spans="1:8" x14ac:dyDescent="0.35">
      <c r="A737" s="24" t="s">
        <v>610</v>
      </c>
      <c r="B737" s="29">
        <v>46006</v>
      </c>
      <c r="C737" s="24" t="s">
        <v>478</v>
      </c>
      <c r="D737" s="24" t="s">
        <v>456</v>
      </c>
      <c r="E737" s="25">
        <v>2.1</v>
      </c>
      <c r="F737" s="26">
        <v>67.8</v>
      </c>
      <c r="G737" s="30">
        <f>IF(OR(D737="TARDIO",D737="PENDIENTE (TARDÍO)"),'Efectos y supuestos'!$B$8,0)</f>
        <v>-6.3E-2</v>
      </c>
      <c r="H737" s="14">
        <f t="shared" si="11"/>
        <v>8.9699399999999994</v>
      </c>
    </row>
    <row r="738" spans="1:8" x14ac:dyDescent="0.35">
      <c r="A738" s="24" t="s">
        <v>421</v>
      </c>
      <c r="B738" s="29">
        <v>46249</v>
      </c>
      <c r="C738" s="24" t="s">
        <v>478</v>
      </c>
      <c r="D738" s="24" t="s">
        <v>456</v>
      </c>
      <c r="E738" s="25">
        <v>4.7</v>
      </c>
      <c r="F738" s="26">
        <v>105</v>
      </c>
      <c r="G738" s="30">
        <f>IF(OR(D738="TARDIO",D738="PENDIENTE (TARDÍO)"),'Efectos y supuestos'!$B$8,0)</f>
        <v>-6.3E-2</v>
      </c>
      <c r="H738" s="14">
        <f t="shared" si="11"/>
        <v>31.090500000000002</v>
      </c>
    </row>
    <row r="739" spans="1:8" x14ac:dyDescent="0.35">
      <c r="A739" s="24" t="s">
        <v>611</v>
      </c>
      <c r="B739" s="29">
        <v>46006</v>
      </c>
      <c r="C739" s="24" t="s">
        <v>478</v>
      </c>
      <c r="D739" s="24" t="s">
        <v>456</v>
      </c>
      <c r="E739" s="25">
        <v>4.72</v>
      </c>
      <c r="F739" s="26">
        <v>83.3</v>
      </c>
      <c r="G739" s="30">
        <f>IF(OR(D739="TARDIO",D739="PENDIENTE (TARDÍO)"),'Efectos y supuestos'!$B$8,0)</f>
        <v>-6.3E-2</v>
      </c>
      <c r="H739" s="14">
        <f t="shared" si="11"/>
        <v>24.770087999999998</v>
      </c>
    </row>
    <row r="740" spans="1:8" x14ac:dyDescent="0.35">
      <c r="A740" s="24" t="s">
        <v>612</v>
      </c>
      <c r="B740" s="29">
        <v>46006</v>
      </c>
      <c r="C740" s="24" t="s">
        <v>478</v>
      </c>
      <c r="D740" s="24" t="s">
        <v>456</v>
      </c>
      <c r="E740" s="25">
        <v>3.1</v>
      </c>
      <c r="F740" s="26">
        <v>114.4</v>
      </c>
      <c r="G740" s="30">
        <f>IF(OR(D740="TARDIO",D740="PENDIENTE (TARDÍO)"),'Efectos y supuestos'!$B$8,0)</f>
        <v>-6.3E-2</v>
      </c>
      <c r="H740" s="14">
        <f t="shared" si="11"/>
        <v>22.342320000000001</v>
      </c>
    </row>
    <row r="741" spans="1:8" x14ac:dyDescent="0.35">
      <c r="A741" s="24" t="s">
        <v>613</v>
      </c>
      <c r="B741" s="29">
        <v>46006</v>
      </c>
      <c r="C741" s="24" t="s">
        <v>478</v>
      </c>
      <c r="D741" s="24" t="s">
        <v>456</v>
      </c>
      <c r="E741" s="25">
        <v>3.02</v>
      </c>
      <c r="F741" s="26">
        <v>80</v>
      </c>
      <c r="G741" s="30">
        <f>IF(OR(D741="TARDIO",D741="PENDIENTE (TARDÍO)"),'Efectos y supuestos'!$B$8,0)</f>
        <v>-6.3E-2</v>
      </c>
      <c r="H741" s="14">
        <f t="shared" si="11"/>
        <v>15.220800000000001</v>
      </c>
    </row>
    <row r="742" spans="1:8" x14ac:dyDescent="0.35">
      <c r="A742" s="24" t="s">
        <v>249</v>
      </c>
      <c r="B742" s="29">
        <v>46096</v>
      </c>
      <c r="C742" s="24" t="s">
        <v>478</v>
      </c>
      <c r="D742" s="24" t="s">
        <v>456</v>
      </c>
      <c r="E742" s="25">
        <v>5.21</v>
      </c>
      <c r="F742" s="26">
        <v>93.8</v>
      </c>
      <c r="G742" s="30">
        <f>IF(OR(D742="TARDIO",D742="PENDIENTE (TARDÍO)"),'Efectos y supuestos'!$B$8,0)</f>
        <v>-6.3E-2</v>
      </c>
      <c r="H742" s="14">
        <f t="shared" si="11"/>
        <v>30.787973999999998</v>
      </c>
    </row>
    <row r="743" spans="1:8" x14ac:dyDescent="0.35">
      <c r="A743" s="24" t="s">
        <v>265</v>
      </c>
      <c r="B743" s="29">
        <v>46157</v>
      </c>
      <c r="C743" s="24" t="s">
        <v>478</v>
      </c>
      <c r="D743" s="24" t="s">
        <v>456</v>
      </c>
      <c r="E743" s="25">
        <v>3.18</v>
      </c>
      <c r="F743" s="26">
        <v>100.5</v>
      </c>
      <c r="G743" s="30">
        <f>IF(OR(D743="TARDIO",D743="PENDIENTE (TARDÍO)"),'Efectos y supuestos'!$B$8,0)</f>
        <v>-6.3E-2</v>
      </c>
      <c r="H743" s="14">
        <f t="shared" si="11"/>
        <v>20.134170000000001</v>
      </c>
    </row>
    <row r="744" spans="1:8" x14ac:dyDescent="0.35">
      <c r="A744" s="24" t="s">
        <v>614</v>
      </c>
      <c r="B744" s="29">
        <v>46249</v>
      </c>
      <c r="C744" s="24" t="s">
        <v>478</v>
      </c>
      <c r="D744" s="24" t="s">
        <v>456</v>
      </c>
      <c r="E744" s="25">
        <v>6.36</v>
      </c>
      <c r="F744" s="26">
        <v>105</v>
      </c>
      <c r="G744" s="30">
        <f>IF(OR(D744="TARDIO",D744="PENDIENTE (TARDÍO)"),'Efectos y supuestos'!$B$8,0)</f>
        <v>-6.3E-2</v>
      </c>
      <c r="H744" s="14">
        <f t="shared" si="11"/>
        <v>42.071400000000004</v>
      </c>
    </row>
    <row r="745" spans="1:8" x14ac:dyDescent="0.35">
      <c r="A745" s="24" t="s">
        <v>323</v>
      </c>
      <c r="B745" s="29">
        <v>46249</v>
      </c>
      <c r="C745" s="24" t="s">
        <v>478</v>
      </c>
      <c r="D745" s="24" t="s">
        <v>456</v>
      </c>
      <c r="E745" s="25">
        <v>13.47</v>
      </c>
      <c r="F745" s="26">
        <v>105</v>
      </c>
      <c r="G745" s="30">
        <f>IF(OR(D745="TARDIO",D745="PENDIENTE (TARDÍO)"),'Efectos y supuestos'!$B$8,0)</f>
        <v>-6.3E-2</v>
      </c>
      <c r="H745" s="14">
        <f t="shared" si="11"/>
        <v>89.104050000000001</v>
      </c>
    </row>
    <row r="746" spans="1:8" x14ac:dyDescent="0.35">
      <c r="A746" s="24" t="s">
        <v>327</v>
      </c>
      <c r="B746" s="29">
        <v>46249</v>
      </c>
      <c r="C746" s="24" t="s">
        <v>478</v>
      </c>
      <c r="D746" s="24" t="s">
        <v>456</v>
      </c>
      <c r="E746" s="25">
        <v>15.99</v>
      </c>
      <c r="F746" s="26">
        <v>105</v>
      </c>
      <c r="G746" s="30">
        <f>IF(OR(D746="TARDIO",D746="PENDIENTE (TARDÍO)"),'Efectos y supuestos'!$B$8,0)</f>
        <v>-6.3E-2</v>
      </c>
      <c r="H746" s="14">
        <f t="shared" si="11"/>
        <v>105.77385000000001</v>
      </c>
    </row>
    <row r="747" spans="1:8" x14ac:dyDescent="0.35">
      <c r="A747" s="24" t="s">
        <v>433</v>
      </c>
      <c r="B747" s="29">
        <v>46096</v>
      </c>
      <c r="C747" s="24" t="s">
        <v>478</v>
      </c>
      <c r="D747" s="24" t="s">
        <v>456</v>
      </c>
      <c r="E747" s="25">
        <v>5.07</v>
      </c>
      <c r="F747" s="26">
        <v>104.3</v>
      </c>
      <c r="G747" s="30">
        <f>IF(OR(D747="TARDIO",D747="PENDIENTE (TARDÍO)"),'Efectos y supuestos'!$B$8,0)</f>
        <v>-6.3E-2</v>
      </c>
      <c r="H747" s="14">
        <f t="shared" si="11"/>
        <v>33.314463000000003</v>
      </c>
    </row>
    <row r="748" spans="1:8" x14ac:dyDescent="0.35">
      <c r="A748" s="24" t="s">
        <v>615</v>
      </c>
      <c r="B748" s="29">
        <v>45976</v>
      </c>
      <c r="C748" s="24" t="s">
        <v>480</v>
      </c>
      <c r="D748" s="24" t="s">
        <v>456</v>
      </c>
      <c r="E748" s="25">
        <v>15.81</v>
      </c>
      <c r="F748" s="26">
        <v>139.1</v>
      </c>
      <c r="G748" s="30">
        <f>IF(OR(D748="TARDIO",D748="PENDIENTE (TARDÍO)"),'Efectos y supuestos'!$B$8,0)</f>
        <v>-6.3E-2</v>
      </c>
      <c r="H748" s="14">
        <f t="shared" si="11"/>
        <v>138.54777299999998</v>
      </c>
    </row>
    <row r="749" spans="1:8" x14ac:dyDescent="0.35">
      <c r="A749" s="24" t="s">
        <v>616</v>
      </c>
      <c r="B749" s="29">
        <v>46006</v>
      </c>
      <c r="C749" s="24" t="s">
        <v>480</v>
      </c>
      <c r="D749" s="24" t="s">
        <v>456</v>
      </c>
      <c r="E749" s="25">
        <v>1.5</v>
      </c>
      <c r="F749" s="26">
        <v>112.5</v>
      </c>
      <c r="G749" s="30">
        <f>IF(OR(D749="TARDIO",D749="PENDIENTE (TARDÍO)"),'Efectos y supuestos'!$B$8,0)</f>
        <v>-6.3E-2</v>
      </c>
      <c r="H749" s="14">
        <f t="shared" si="11"/>
        <v>10.631250000000001</v>
      </c>
    </row>
    <row r="750" spans="1:8" x14ac:dyDescent="0.35">
      <c r="A750" s="24" t="s">
        <v>617</v>
      </c>
      <c r="B750" s="29">
        <v>46006</v>
      </c>
      <c r="C750" s="24" t="s">
        <v>480</v>
      </c>
      <c r="D750" s="24" t="s">
        <v>456</v>
      </c>
      <c r="E750" s="25">
        <v>10.029999999999999</v>
      </c>
      <c r="F750" s="26">
        <v>107.8</v>
      </c>
      <c r="G750" s="30">
        <f>IF(OR(D750="TARDIO",D750="PENDIENTE (TARDÍO)"),'Efectos y supuestos'!$B$8,0)</f>
        <v>-6.3E-2</v>
      </c>
      <c r="H750" s="14">
        <f t="shared" si="11"/>
        <v>68.117741999999993</v>
      </c>
    </row>
    <row r="751" spans="1:8" x14ac:dyDescent="0.35">
      <c r="A751" s="24" t="s">
        <v>618</v>
      </c>
      <c r="B751" s="29">
        <v>46006</v>
      </c>
      <c r="C751" s="24" t="s">
        <v>480</v>
      </c>
      <c r="D751" s="24" t="s">
        <v>456</v>
      </c>
      <c r="E751" s="25">
        <v>9.84</v>
      </c>
      <c r="F751" s="26">
        <v>117.7</v>
      </c>
      <c r="G751" s="30">
        <f>IF(OR(D751="TARDIO",D751="PENDIENTE (TARDÍO)"),'Efectos y supuestos'!$B$8,0)</f>
        <v>-6.3E-2</v>
      </c>
      <c r="H751" s="14">
        <f t="shared" si="11"/>
        <v>72.964584000000002</v>
      </c>
    </row>
    <row r="752" spans="1:8" x14ac:dyDescent="0.35">
      <c r="A752" s="24" t="s">
        <v>619</v>
      </c>
      <c r="B752" s="29">
        <v>46006</v>
      </c>
      <c r="C752" s="24" t="s">
        <v>478</v>
      </c>
      <c r="D752" s="24" t="s">
        <v>456</v>
      </c>
      <c r="E752" s="25">
        <v>8.58</v>
      </c>
      <c r="F752" s="26">
        <v>110.9</v>
      </c>
      <c r="G752" s="30">
        <f>IF(OR(D752="TARDIO",D752="PENDIENTE (TARDÍO)"),'Efectos y supuestos'!$B$8,0)</f>
        <v>-6.3E-2</v>
      </c>
      <c r="H752" s="14">
        <f t="shared" si="11"/>
        <v>59.945886000000009</v>
      </c>
    </row>
    <row r="753" spans="1:8" x14ac:dyDescent="0.35">
      <c r="A753" s="24" t="s">
        <v>620</v>
      </c>
      <c r="B753" s="29">
        <v>46006</v>
      </c>
      <c r="C753" s="24" t="s">
        <v>478</v>
      </c>
      <c r="D753" s="24" t="s">
        <v>456</v>
      </c>
      <c r="E753" s="25">
        <v>6.65</v>
      </c>
      <c r="F753" s="26">
        <v>116.2</v>
      </c>
      <c r="G753" s="30">
        <f>IF(OR(D753="TARDIO",D753="PENDIENTE (TARDÍO)"),'Efectos y supuestos'!$B$8,0)</f>
        <v>-6.3E-2</v>
      </c>
      <c r="H753" s="14">
        <f t="shared" si="11"/>
        <v>48.681990000000006</v>
      </c>
    </row>
    <row r="754" spans="1:8" x14ac:dyDescent="0.35">
      <c r="A754" s="24" t="s">
        <v>621</v>
      </c>
      <c r="B754" s="29">
        <v>46006</v>
      </c>
      <c r="C754" s="24" t="s">
        <v>478</v>
      </c>
      <c r="D754" s="24" t="s">
        <v>456</v>
      </c>
      <c r="E754" s="25">
        <v>10.15</v>
      </c>
      <c r="F754" s="26">
        <v>118.8</v>
      </c>
      <c r="G754" s="30">
        <f>IF(OR(D754="TARDIO",D754="PENDIENTE (TARDÍO)"),'Efectos y supuestos'!$B$8,0)</f>
        <v>-6.3E-2</v>
      </c>
      <c r="H754" s="14">
        <f t="shared" si="11"/>
        <v>75.966660000000005</v>
      </c>
    </row>
    <row r="755" spans="1:8" x14ac:dyDescent="0.35">
      <c r="A755" s="24" t="s">
        <v>138</v>
      </c>
      <c r="B755" s="29">
        <v>46006</v>
      </c>
      <c r="C755" s="24" t="s">
        <v>478</v>
      </c>
      <c r="D755" s="24" t="s">
        <v>456</v>
      </c>
      <c r="E755" s="25">
        <v>10.29</v>
      </c>
      <c r="F755" s="26">
        <v>98.8</v>
      </c>
      <c r="G755" s="30">
        <f>IF(OR(D755="TARDIO",D755="PENDIENTE (TARDÍO)"),'Efectos y supuestos'!$B$8,0)</f>
        <v>-6.3E-2</v>
      </c>
      <c r="H755" s="14">
        <f t="shared" si="11"/>
        <v>64.049075999999999</v>
      </c>
    </row>
    <row r="756" spans="1:8" x14ac:dyDescent="0.35">
      <c r="A756" s="24" t="s">
        <v>139</v>
      </c>
      <c r="B756" s="29">
        <v>46006</v>
      </c>
      <c r="C756" s="24" t="s">
        <v>478</v>
      </c>
      <c r="D756" s="24" t="s">
        <v>456</v>
      </c>
      <c r="E756" s="25">
        <v>8.91</v>
      </c>
      <c r="F756" s="26">
        <v>94</v>
      </c>
      <c r="G756" s="30">
        <f>IF(OR(D756="TARDIO",D756="PENDIENTE (TARDÍO)"),'Efectos y supuestos'!$B$8,0)</f>
        <v>-6.3E-2</v>
      </c>
      <c r="H756" s="14">
        <f t="shared" si="11"/>
        <v>52.76502</v>
      </c>
    </row>
    <row r="757" spans="1:8" x14ac:dyDescent="0.35">
      <c r="A757" s="24" t="s">
        <v>622</v>
      </c>
      <c r="B757" s="29">
        <v>46006</v>
      </c>
      <c r="C757" s="24" t="s">
        <v>478</v>
      </c>
      <c r="D757" s="24" t="s">
        <v>456</v>
      </c>
      <c r="E757" s="25">
        <v>10.55</v>
      </c>
      <c r="F757" s="26">
        <v>101.9</v>
      </c>
      <c r="G757" s="30">
        <f>IF(OR(D757="TARDIO",D757="PENDIENTE (TARDÍO)"),'Efectos y supuestos'!$B$8,0)</f>
        <v>-6.3E-2</v>
      </c>
      <c r="H757" s="14">
        <f t="shared" si="11"/>
        <v>67.727835000000013</v>
      </c>
    </row>
    <row r="758" spans="1:8" x14ac:dyDescent="0.35">
      <c r="A758" s="24" t="s">
        <v>623</v>
      </c>
      <c r="B758" s="29">
        <v>46006</v>
      </c>
      <c r="C758" s="24" t="s">
        <v>478</v>
      </c>
      <c r="D758" s="24" t="s">
        <v>456</v>
      </c>
      <c r="E758" s="25">
        <v>3.78</v>
      </c>
      <c r="F758" s="26">
        <v>117.7</v>
      </c>
      <c r="G758" s="30">
        <f>IF(OR(D758="TARDIO",D758="PENDIENTE (TARDÍO)"),'Efectos y supuestos'!$B$8,0)</f>
        <v>-6.3E-2</v>
      </c>
      <c r="H758" s="14">
        <f t="shared" si="11"/>
        <v>28.029077999999998</v>
      </c>
    </row>
    <row r="759" spans="1:8" x14ac:dyDescent="0.35">
      <c r="A759" s="24" t="s">
        <v>140</v>
      </c>
      <c r="B759" s="29">
        <v>46006</v>
      </c>
      <c r="C759" s="24" t="s">
        <v>478</v>
      </c>
      <c r="D759" s="24" t="s">
        <v>456</v>
      </c>
      <c r="E759" s="25">
        <v>16.649999999999999</v>
      </c>
      <c r="F759" s="26">
        <v>80.099999999999994</v>
      </c>
      <c r="G759" s="30">
        <f>IF(OR(D759="TARDIO",D759="PENDIENTE (TARDÍO)"),'Efectos y supuestos'!$B$8,0)</f>
        <v>-6.3E-2</v>
      </c>
      <c r="H759" s="14">
        <f t="shared" si="11"/>
        <v>84.020894999999982</v>
      </c>
    </row>
    <row r="760" spans="1:8" x14ac:dyDescent="0.35">
      <c r="A760" s="24" t="s">
        <v>141</v>
      </c>
      <c r="B760" s="29">
        <v>46006</v>
      </c>
      <c r="C760" s="24" t="s">
        <v>478</v>
      </c>
      <c r="D760" s="24" t="s">
        <v>456</v>
      </c>
      <c r="E760" s="25">
        <v>4.45</v>
      </c>
      <c r="F760" s="26">
        <v>61.4</v>
      </c>
      <c r="G760" s="30">
        <f>IF(OR(D760="TARDIO",D760="PENDIENTE (TARDÍO)"),'Efectos y supuestos'!$B$8,0)</f>
        <v>-6.3E-2</v>
      </c>
      <c r="H760" s="14">
        <f t="shared" si="11"/>
        <v>17.21349</v>
      </c>
    </row>
    <row r="761" spans="1:8" x14ac:dyDescent="0.35">
      <c r="A761" s="24" t="s">
        <v>107</v>
      </c>
      <c r="B761" s="29">
        <v>46249</v>
      </c>
      <c r="C761" s="24" t="s">
        <v>478</v>
      </c>
      <c r="D761" s="24" t="s">
        <v>456</v>
      </c>
      <c r="E761" s="25">
        <v>1.3</v>
      </c>
      <c r="F761" s="26">
        <v>105</v>
      </c>
      <c r="G761" s="30">
        <f>IF(OR(D761="TARDIO",D761="PENDIENTE (TARDÍO)"),'Efectos y supuestos'!$B$8,0)</f>
        <v>-6.3E-2</v>
      </c>
      <c r="H761" s="14">
        <f t="shared" si="11"/>
        <v>8.5995000000000008</v>
      </c>
    </row>
    <row r="762" spans="1:8" x14ac:dyDescent="0.35">
      <c r="A762" s="24" t="s">
        <v>441</v>
      </c>
      <c r="B762" s="29">
        <v>46188</v>
      </c>
      <c r="C762" s="24" t="s">
        <v>478</v>
      </c>
      <c r="D762" s="24" t="s">
        <v>456</v>
      </c>
      <c r="E762" s="25">
        <v>14.07</v>
      </c>
      <c r="F762" s="26">
        <v>103.2</v>
      </c>
      <c r="G762" s="30">
        <f>IF(OR(D762="TARDIO",D762="PENDIENTE (TARDÍO)"),'Efectos y supuestos'!$B$8,0)</f>
        <v>-6.3E-2</v>
      </c>
      <c r="H762" s="14">
        <f t="shared" ref="H762:H825" si="12">-G762*F762*E762</f>
        <v>91.477512000000004</v>
      </c>
    </row>
    <row r="763" spans="1:8" x14ac:dyDescent="0.35">
      <c r="A763" s="24" t="s">
        <v>444</v>
      </c>
      <c r="B763" s="29">
        <v>46188</v>
      </c>
      <c r="C763" s="24" t="s">
        <v>478</v>
      </c>
      <c r="D763" s="24" t="s">
        <v>456</v>
      </c>
      <c r="E763" s="25">
        <v>7.45</v>
      </c>
      <c r="F763" s="26">
        <v>105</v>
      </c>
      <c r="G763" s="30">
        <f>IF(OR(D763="TARDIO",D763="PENDIENTE (TARDÍO)"),'Efectos y supuestos'!$B$8,0)</f>
        <v>-6.3E-2</v>
      </c>
      <c r="H763" s="14">
        <f t="shared" si="12"/>
        <v>49.281750000000002</v>
      </c>
    </row>
    <row r="764" spans="1:8" x14ac:dyDescent="0.35">
      <c r="A764" s="24" t="s">
        <v>624</v>
      </c>
      <c r="B764" s="29">
        <v>46006</v>
      </c>
      <c r="C764" s="24" t="s">
        <v>478</v>
      </c>
      <c r="D764" s="24" t="s">
        <v>456</v>
      </c>
      <c r="E764" s="25">
        <v>13.74</v>
      </c>
      <c r="F764" s="26">
        <v>109</v>
      </c>
      <c r="G764" s="30">
        <f>IF(OR(D764="TARDIO",D764="PENDIENTE (TARDÍO)"),'Efectos y supuestos'!$B$8,0)</f>
        <v>-6.3E-2</v>
      </c>
      <c r="H764" s="14">
        <f t="shared" si="12"/>
        <v>94.352580000000003</v>
      </c>
    </row>
    <row r="765" spans="1:8" x14ac:dyDescent="0.35">
      <c r="A765" s="24" t="s">
        <v>625</v>
      </c>
      <c r="B765" s="29">
        <v>45976</v>
      </c>
      <c r="C765" s="24" t="s">
        <v>478</v>
      </c>
      <c r="D765" s="24" t="s">
        <v>456</v>
      </c>
      <c r="E765" s="25">
        <v>2.58</v>
      </c>
      <c r="F765" s="26">
        <v>72.400000000000006</v>
      </c>
      <c r="G765" s="30">
        <f>IF(OR(D765="TARDIO",D765="PENDIENTE (TARDÍO)"),'Efectos y supuestos'!$B$8,0)</f>
        <v>-6.3E-2</v>
      </c>
      <c r="H765" s="14">
        <f t="shared" si="12"/>
        <v>11.767896000000002</v>
      </c>
    </row>
    <row r="766" spans="1:8" x14ac:dyDescent="0.35">
      <c r="A766" s="24" t="s">
        <v>353</v>
      </c>
      <c r="B766" s="29">
        <v>46218</v>
      </c>
      <c r="C766" s="24" t="s">
        <v>478</v>
      </c>
      <c r="D766" s="24" t="s">
        <v>456</v>
      </c>
      <c r="E766" s="25">
        <v>11.05</v>
      </c>
      <c r="F766" s="26">
        <v>105</v>
      </c>
      <c r="G766" s="30">
        <f>IF(OR(D766="TARDIO",D766="PENDIENTE (TARDÍO)"),'Efectos y supuestos'!$B$8,0)</f>
        <v>-6.3E-2</v>
      </c>
      <c r="H766" s="14">
        <f t="shared" si="12"/>
        <v>73.09575000000001</v>
      </c>
    </row>
    <row r="767" spans="1:8" x14ac:dyDescent="0.35">
      <c r="A767" s="24" t="s">
        <v>626</v>
      </c>
      <c r="B767" s="29">
        <v>45976</v>
      </c>
      <c r="C767" s="24" t="s">
        <v>478</v>
      </c>
      <c r="D767" s="24" t="s">
        <v>456</v>
      </c>
      <c r="E767" s="25">
        <v>4.66</v>
      </c>
      <c r="F767" s="26">
        <v>108</v>
      </c>
      <c r="G767" s="30">
        <f>IF(OR(D767="TARDIO",D767="PENDIENTE (TARDÍO)"),'Efectos y supuestos'!$B$8,0)</f>
        <v>-6.3E-2</v>
      </c>
      <c r="H767" s="14">
        <f t="shared" si="12"/>
        <v>31.706640000000004</v>
      </c>
    </row>
    <row r="768" spans="1:8" x14ac:dyDescent="0.35">
      <c r="A768" s="24" t="s">
        <v>447</v>
      </c>
      <c r="B768" s="29">
        <v>46188</v>
      </c>
      <c r="C768" s="24" t="s">
        <v>478</v>
      </c>
      <c r="D768" s="24" t="s">
        <v>456</v>
      </c>
      <c r="E768" s="25">
        <v>10.61</v>
      </c>
      <c r="F768" s="26">
        <v>105</v>
      </c>
      <c r="G768" s="30">
        <f>IF(OR(D768="TARDIO",D768="PENDIENTE (TARDÍO)"),'Efectos y supuestos'!$B$8,0)</f>
        <v>-6.3E-2</v>
      </c>
      <c r="H768" s="14">
        <f t="shared" si="12"/>
        <v>70.185149999999993</v>
      </c>
    </row>
    <row r="769" spans="1:8" x14ac:dyDescent="0.35">
      <c r="A769" s="24" t="s">
        <v>627</v>
      </c>
      <c r="B769" s="29">
        <v>45976</v>
      </c>
      <c r="C769" s="24" t="s">
        <v>478</v>
      </c>
      <c r="D769" s="24" t="s">
        <v>456</v>
      </c>
      <c r="E769" s="25">
        <v>2.98</v>
      </c>
      <c r="F769" s="26">
        <v>97.2</v>
      </c>
      <c r="G769" s="30">
        <f>IF(OR(D769="TARDIO",D769="PENDIENTE (TARDÍO)"),'Efectos y supuestos'!$B$8,0)</f>
        <v>-6.3E-2</v>
      </c>
      <c r="H769" s="14">
        <f t="shared" si="12"/>
        <v>18.248328000000001</v>
      </c>
    </row>
    <row r="770" spans="1:8" x14ac:dyDescent="0.35">
      <c r="A770" s="24" t="s">
        <v>449</v>
      </c>
      <c r="B770" s="29">
        <v>46188</v>
      </c>
      <c r="C770" s="24" t="s">
        <v>478</v>
      </c>
      <c r="D770" s="24" t="s">
        <v>456</v>
      </c>
      <c r="E770" s="25">
        <v>9.4700000000000006</v>
      </c>
      <c r="F770" s="26">
        <v>105</v>
      </c>
      <c r="G770" s="30">
        <f>IF(OR(D770="TARDIO",D770="PENDIENTE (TARDÍO)"),'Efectos y supuestos'!$B$8,0)</f>
        <v>-6.3E-2</v>
      </c>
      <c r="H770" s="14">
        <f t="shared" si="12"/>
        <v>62.644050000000007</v>
      </c>
    </row>
    <row r="771" spans="1:8" x14ac:dyDescent="0.35">
      <c r="A771" s="24" t="s">
        <v>365</v>
      </c>
      <c r="B771" s="29">
        <v>46218</v>
      </c>
      <c r="C771" s="24" t="s">
        <v>478</v>
      </c>
      <c r="D771" s="24" t="s">
        <v>456</v>
      </c>
      <c r="E771" s="25">
        <v>7.4</v>
      </c>
      <c r="F771" s="26">
        <v>105</v>
      </c>
      <c r="G771" s="30">
        <f>IF(OR(D771="TARDIO",D771="PENDIENTE (TARDÍO)"),'Efectos y supuestos'!$B$8,0)</f>
        <v>-6.3E-2</v>
      </c>
      <c r="H771" s="14">
        <f t="shared" si="12"/>
        <v>48.951000000000001</v>
      </c>
    </row>
    <row r="772" spans="1:8" x14ac:dyDescent="0.35">
      <c r="A772" s="24" t="s">
        <v>628</v>
      </c>
      <c r="B772" s="29">
        <v>45976</v>
      </c>
      <c r="C772" s="24" t="s">
        <v>480</v>
      </c>
      <c r="D772" s="24" t="s">
        <v>456</v>
      </c>
      <c r="E772" s="25">
        <v>10.52</v>
      </c>
      <c r="F772" s="26">
        <v>126.1</v>
      </c>
      <c r="G772" s="30">
        <f>IF(OR(D772="TARDIO",D772="PENDIENTE (TARDÍO)"),'Efectos y supuestos'!$B$8,0)</f>
        <v>-6.3E-2</v>
      </c>
      <c r="H772" s="14">
        <f t="shared" si="12"/>
        <v>83.574035999999992</v>
      </c>
    </row>
    <row r="773" spans="1:8" x14ac:dyDescent="0.35">
      <c r="A773" s="24" t="s">
        <v>629</v>
      </c>
      <c r="B773" s="29">
        <v>45976</v>
      </c>
      <c r="C773" s="24" t="s">
        <v>480</v>
      </c>
      <c r="D773" s="24" t="s">
        <v>456</v>
      </c>
      <c r="E773" s="25">
        <v>5.38</v>
      </c>
      <c r="F773" s="26">
        <v>94.5</v>
      </c>
      <c r="G773" s="30">
        <f>IF(OR(D773="TARDIO",D773="PENDIENTE (TARDÍO)"),'Efectos y supuestos'!$B$8,0)</f>
        <v>-6.3E-2</v>
      </c>
      <c r="H773" s="14">
        <f t="shared" si="12"/>
        <v>32.029829999999997</v>
      </c>
    </row>
    <row r="774" spans="1:8" x14ac:dyDescent="0.35">
      <c r="A774" s="24" t="s">
        <v>150</v>
      </c>
      <c r="B774" s="29">
        <v>45976</v>
      </c>
      <c r="C774" s="24" t="s">
        <v>480</v>
      </c>
      <c r="D774" s="24" t="s">
        <v>456</v>
      </c>
      <c r="E774" s="25">
        <v>15.3</v>
      </c>
      <c r="F774" s="26">
        <v>120.2</v>
      </c>
      <c r="G774" s="30">
        <f>IF(OR(D774="TARDIO",D774="PENDIENTE (TARDÍO)"),'Efectos y supuestos'!$B$8,0)</f>
        <v>-6.3E-2</v>
      </c>
      <c r="H774" s="14">
        <f t="shared" si="12"/>
        <v>115.86078000000001</v>
      </c>
    </row>
    <row r="775" spans="1:8" x14ac:dyDescent="0.35">
      <c r="A775" s="24" t="s">
        <v>373</v>
      </c>
      <c r="B775" s="29">
        <v>46218</v>
      </c>
      <c r="C775" s="24" t="s">
        <v>478</v>
      </c>
      <c r="D775" s="24" t="s">
        <v>456</v>
      </c>
      <c r="E775" s="25">
        <v>9.0500000000000007</v>
      </c>
      <c r="F775" s="26">
        <v>105</v>
      </c>
      <c r="G775" s="30">
        <f>IF(OR(D775="TARDIO",D775="PENDIENTE (TARDÍO)"),'Efectos y supuestos'!$B$8,0)</f>
        <v>-6.3E-2</v>
      </c>
      <c r="H775" s="14">
        <f t="shared" si="12"/>
        <v>59.865750000000006</v>
      </c>
    </row>
    <row r="776" spans="1:8" x14ac:dyDescent="0.35">
      <c r="A776" s="24" t="s">
        <v>379</v>
      </c>
      <c r="B776" s="29">
        <v>46280</v>
      </c>
      <c r="C776" s="24" t="s">
        <v>478</v>
      </c>
      <c r="D776" s="24" t="s">
        <v>630</v>
      </c>
      <c r="E776" s="25">
        <v>1.9</v>
      </c>
      <c r="F776" s="26">
        <v>105</v>
      </c>
      <c r="G776" s="30">
        <f>IF(OR(D776="TARDIO",D776="PENDIENTE (TARDÍO)"),'Efectos y supuestos'!$B$8,0)</f>
        <v>0</v>
      </c>
      <c r="H776" s="14">
        <f t="shared" si="12"/>
        <v>0</v>
      </c>
    </row>
    <row r="777" spans="1:8" x14ac:dyDescent="0.35">
      <c r="A777" s="24" t="s">
        <v>381</v>
      </c>
      <c r="B777" s="29">
        <v>46300</v>
      </c>
      <c r="C777" s="24" t="s">
        <v>478</v>
      </c>
      <c r="D777" s="24" t="s">
        <v>630</v>
      </c>
      <c r="E777" s="25">
        <v>3.77</v>
      </c>
      <c r="F777" s="26">
        <v>105</v>
      </c>
      <c r="G777" s="30">
        <f>IF(OR(D777="TARDIO",D777="PENDIENTE (TARDÍO)"),'Efectos y supuestos'!$B$8,0)</f>
        <v>0</v>
      </c>
      <c r="H777" s="14">
        <f t="shared" si="12"/>
        <v>0</v>
      </c>
    </row>
    <row r="778" spans="1:8" x14ac:dyDescent="0.35">
      <c r="A778" s="24" t="s">
        <v>382</v>
      </c>
      <c r="B778" s="29">
        <v>46280</v>
      </c>
      <c r="C778" s="24" t="s">
        <v>478</v>
      </c>
      <c r="D778" s="24" t="s">
        <v>630</v>
      </c>
      <c r="E778" s="25">
        <v>2.88</v>
      </c>
      <c r="F778" s="26">
        <v>105</v>
      </c>
      <c r="G778" s="30">
        <f>IF(OR(D778="TARDIO",D778="PENDIENTE (TARDÍO)"),'Efectos y supuestos'!$B$8,0)</f>
        <v>0</v>
      </c>
      <c r="H778" s="14">
        <f t="shared" si="12"/>
        <v>0</v>
      </c>
    </row>
    <row r="779" spans="1:8" x14ac:dyDescent="0.35">
      <c r="A779" s="24" t="s">
        <v>384</v>
      </c>
      <c r="B779" s="29">
        <v>46280</v>
      </c>
      <c r="C779" s="24" t="s">
        <v>478</v>
      </c>
      <c r="D779" s="24" t="s">
        <v>630</v>
      </c>
      <c r="E779" s="25">
        <v>23.54</v>
      </c>
      <c r="F779" s="26">
        <v>105</v>
      </c>
      <c r="G779" s="30">
        <f>IF(OR(D779="TARDIO",D779="PENDIENTE (TARDÍO)"),'Efectos y supuestos'!$B$8,0)</f>
        <v>0</v>
      </c>
      <c r="H779" s="14">
        <f t="shared" si="12"/>
        <v>0</v>
      </c>
    </row>
    <row r="780" spans="1:8" x14ac:dyDescent="0.35">
      <c r="A780" s="24" t="s">
        <v>80</v>
      </c>
      <c r="B780" s="29">
        <v>46303</v>
      </c>
      <c r="C780" s="24" t="s">
        <v>478</v>
      </c>
      <c r="D780" s="24" t="s">
        <v>630</v>
      </c>
      <c r="E780" s="25">
        <v>5.26</v>
      </c>
      <c r="F780" s="26">
        <v>105</v>
      </c>
      <c r="G780" s="30">
        <f>IF(OR(D780="TARDIO",D780="PENDIENTE (TARDÍO)"),'Efectos y supuestos'!$B$8,0)</f>
        <v>0</v>
      </c>
      <c r="H780" s="14">
        <f t="shared" si="12"/>
        <v>0</v>
      </c>
    </row>
    <row r="781" spans="1:8" x14ac:dyDescent="0.35">
      <c r="A781" s="24" t="s">
        <v>387</v>
      </c>
      <c r="B781" s="29">
        <v>46315</v>
      </c>
      <c r="C781" s="24" t="s">
        <v>478</v>
      </c>
      <c r="D781" s="24" t="s">
        <v>630</v>
      </c>
      <c r="E781" s="25">
        <v>14.45</v>
      </c>
      <c r="F781" s="26">
        <v>123.8</v>
      </c>
      <c r="G781" s="30">
        <f>IF(OR(D781="TARDIO",D781="PENDIENTE (TARDÍO)"),'Efectos y supuestos'!$B$8,0)</f>
        <v>0</v>
      </c>
      <c r="H781" s="14">
        <f t="shared" si="12"/>
        <v>0</v>
      </c>
    </row>
    <row r="782" spans="1:8" x14ac:dyDescent="0.35">
      <c r="A782" s="24" t="s">
        <v>388</v>
      </c>
      <c r="B782" s="29">
        <v>46280</v>
      </c>
      <c r="C782" s="24" t="s">
        <v>478</v>
      </c>
      <c r="D782" s="24" t="s">
        <v>630</v>
      </c>
      <c r="E782" s="25">
        <v>16.32</v>
      </c>
      <c r="F782" s="26">
        <v>105</v>
      </c>
      <c r="G782" s="30">
        <f>IF(OR(D782="TARDIO",D782="PENDIENTE (TARDÍO)"),'Efectos y supuestos'!$B$8,0)</f>
        <v>0</v>
      </c>
      <c r="H782" s="14">
        <f t="shared" si="12"/>
        <v>0</v>
      </c>
    </row>
    <row r="783" spans="1:8" x14ac:dyDescent="0.35">
      <c r="A783" s="24" t="s">
        <v>390</v>
      </c>
      <c r="B783" s="29">
        <v>46314</v>
      </c>
      <c r="C783" s="24" t="s">
        <v>478</v>
      </c>
      <c r="D783" s="24" t="s">
        <v>630</v>
      </c>
      <c r="E783" s="25">
        <v>13.37</v>
      </c>
      <c r="F783" s="26">
        <v>125.3</v>
      </c>
      <c r="G783" s="30">
        <f>IF(OR(D783="TARDIO",D783="PENDIENTE (TARDÍO)"),'Efectos y supuestos'!$B$8,0)</f>
        <v>0</v>
      </c>
      <c r="H783" s="14">
        <f t="shared" si="12"/>
        <v>0</v>
      </c>
    </row>
    <row r="784" spans="1:8" x14ac:dyDescent="0.35">
      <c r="A784" s="24" t="s">
        <v>91</v>
      </c>
      <c r="B784" s="29">
        <v>46280</v>
      </c>
      <c r="C784" s="24" t="s">
        <v>478</v>
      </c>
      <c r="D784" s="24" t="s">
        <v>630</v>
      </c>
      <c r="E784" s="25">
        <v>14.22</v>
      </c>
      <c r="F784" s="26">
        <v>105</v>
      </c>
      <c r="G784" s="30">
        <f>IF(OR(D784="TARDIO",D784="PENDIENTE (TARDÍO)"),'Efectos y supuestos'!$B$8,0)</f>
        <v>0</v>
      </c>
      <c r="H784" s="14">
        <f t="shared" si="12"/>
        <v>0</v>
      </c>
    </row>
    <row r="785" spans="1:8" x14ac:dyDescent="0.35">
      <c r="A785" s="24" t="s">
        <v>210</v>
      </c>
      <c r="B785" s="29">
        <v>46300</v>
      </c>
      <c r="C785" s="24" t="s">
        <v>478</v>
      </c>
      <c r="D785" s="24" t="s">
        <v>630</v>
      </c>
      <c r="E785" s="25">
        <v>17.670000000000002</v>
      </c>
      <c r="F785" s="26">
        <v>105</v>
      </c>
      <c r="G785" s="30">
        <f>IF(OR(D785="TARDIO",D785="PENDIENTE (TARDÍO)"),'Efectos y supuestos'!$B$8,0)</f>
        <v>0</v>
      </c>
      <c r="H785" s="14">
        <f t="shared" si="12"/>
        <v>0</v>
      </c>
    </row>
    <row r="786" spans="1:8" x14ac:dyDescent="0.35">
      <c r="A786" s="24" t="s">
        <v>92</v>
      </c>
      <c r="B786" s="29">
        <v>46303</v>
      </c>
      <c r="C786" s="24" t="s">
        <v>478</v>
      </c>
      <c r="D786" s="24" t="s">
        <v>630</v>
      </c>
      <c r="E786" s="25">
        <v>17.11</v>
      </c>
      <c r="F786" s="26">
        <v>105</v>
      </c>
      <c r="G786" s="30">
        <f>IF(OR(D786="TARDIO",D786="PENDIENTE (TARDÍO)"),'Efectos y supuestos'!$B$8,0)</f>
        <v>0</v>
      </c>
      <c r="H786" s="14">
        <f t="shared" si="12"/>
        <v>0</v>
      </c>
    </row>
    <row r="787" spans="1:8" x14ac:dyDescent="0.35">
      <c r="A787" s="24" t="s">
        <v>93</v>
      </c>
      <c r="B787" s="29">
        <v>46302</v>
      </c>
      <c r="C787" s="24" t="s">
        <v>478</v>
      </c>
      <c r="D787" s="24" t="s">
        <v>630</v>
      </c>
      <c r="E787" s="25">
        <v>17.14</v>
      </c>
      <c r="F787" s="26">
        <v>105</v>
      </c>
      <c r="G787" s="30">
        <f>IF(OR(D787="TARDIO",D787="PENDIENTE (TARDÍO)"),'Efectos y supuestos'!$B$8,0)</f>
        <v>0</v>
      </c>
      <c r="H787" s="14">
        <f t="shared" si="12"/>
        <v>0</v>
      </c>
    </row>
    <row r="788" spans="1:8" x14ac:dyDescent="0.35">
      <c r="A788" s="24" t="s">
        <v>458</v>
      </c>
      <c r="B788" s="29">
        <v>46300</v>
      </c>
      <c r="C788" s="24" t="s">
        <v>478</v>
      </c>
      <c r="D788" s="24" t="s">
        <v>630</v>
      </c>
      <c r="E788" s="25">
        <v>5.23</v>
      </c>
      <c r="F788" s="26">
        <v>105</v>
      </c>
      <c r="G788" s="30">
        <f>IF(OR(D788="TARDIO",D788="PENDIENTE (TARDÍO)"),'Efectos y supuestos'!$B$8,0)</f>
        <v>0</v>
      </c>
      <c r="H788" s="14">
        <f t="shared" si="12"/>
        <v>0</v>
      </c>
    </row>
    <row r="789" spans="1:8" x14ac:dyDescent="0.35">
      <c r="A789" s="24" t="s">
        <v>459</v>
      </c>
      <c r="B789" s="29">
        <v>46303</v>
      </c>
      <c r="C789" s="24" t="s">
        <v>478</v>
      </c>
      <c r="D789" s="24" t="s">
        <v>630</v>
      </c>
      <c r="E789" s="25">
        <v>8.7799999999999994</v>
      </c>
      <c r="F789" s="26">
        <v>105</v>
      </c>
      <c r="G789" s="30">
        <f>IF(OR(D789="TARDIO",D789="PENDIENTE (TARDÍO)"),'Efectos y supuestos'!$B$8,0)</f>
        <v>0</v>
      </c>
      <c r="H789" s="14">
        <f t="shared" si="12"/>
        <v>0</v>
      </c>
    </row>
    <row r="790" spans="1:8" x14ac:dyDescent="0.35">
      <c r="A790" s="24" t="s">
        <v>460</v>
      </c>
      <c r="B790" s="29">
        <v>46300</v>
      </c>
      <c r="C790" s="24" t="s">
        <v>478</v>
      </c>
      <c r="D790" s="24" t="s">
        <v>630</v>
      </c>
      <c r="E790" s="25">
        <v>8.82</v>
      </c>
      <c r="F790" s="26">
        <v>105</v>
      </c>
      <c r="G790" s="30">
        <f>IF(OR(D790="TARDIO",D790="PENDIENTE (TARDÍO)"),'Efectos y supuestos'!$B$8,0)</f>
        <v>0</v>
      </c>
      <c r="H790" s="14">
        <f t="shared" si="12"/>
        <v>0</v>
      </c>
    </row>
    <row r="791" spans="1:8" x14ac:dyDescent="0.35">
      <c r="A791" s="24" t="s">
        <v>463</v>
      </c>
      <c r="B791" s="29">
        <v>46280</v>
      </c>
      <c r="C791" s="24" t="s">
        <v>478</v>
      </c>
      <c r="D791" s="24" t="s">
        <v>630</v>
      </c>
      <c r="E791" s="25">
        <v>6.09</v>
      </c>
      <c r="F791" s="26">
        <v>105</v>
      </c>
      <c r="G791" s="30">
        <f>IF(OR(D791="TARDIO",D791="PENDIENTE (TARDÍO)"),'Efectos y supuestos'!$B$8,0)</f>
        <v>0</v>
      </c>
      <c r="H791" s="14">
        <f t="shared" si="12"/>
        <v>0</v>
      </c>
    </row>
    <row r="792" spans="1:8" x14ac:dyDescent="0.35">
      <c r="A792" s="24" t="s">
        <v>221</v>
      </c>
      <c r="B792" s="29">
        <v>46280</v>
      </c>
      <c r="C792" s="24" t="s">
        <v>478</v>
      </c>
      <c r="D792" s="24" t="s">
        <v>630</v>
      </c>
      <c r="E792" s="25">
        <v>5.03</v>
      </c>
      <c r="F792" s="26">
        <v>105</v>
      </c>
      <c r="G792" s="30">
        <f>IF(OR(D792="TARDIO",D792="PENDIENTE (TARDÍO)"),'Efectos y supuestos'!$B$8,0)</f>
        <v>0</v>
      </c>
      <c r="H792" s="14">
        <f t="shared" si="12"/>
        <v>0</v>
      </c>
    </row>
    <row r="793" spans="1:8" x14ac:dyDescent="0.35">
      <c r="A793" s="24" t="s">
        <v>222</v>
      </c>
      <c r="B793" s="29">
        <v>46280</v>
      </c>
      <c r="C793" s="24" t="s">
        <v>478</v>
      </c>
      <c r="D793" s="24" t="s">
        <v>630</v>
      </c>
      <c r="E793" s="25">
        <v>4.25</v>
      </c>
      <c r="F793" s="26">
        <v>105</v>
      </c>
      <c r="G793" s="30">
        <f>IF(OR(D793="TARDIO",D793="PENDIENTE (TARDÍO)"),'Efectos y supuestos'!$B$8,0)</f>
        <v>0</v>
      </c>
      <c r="H793" s="14">
        <f t="shared" si="12"/>
        <v>0</v>
      </c>
    </row>
    <row r="794" spans="1:8" x14ac:dyDescent="0.35">
      <c r="A794" s="24" t="s">
        <v>464</v>
      </c>
      <c r="B794" s="29">
        <v>46280</v>
      </c>
      <c r="C794" s="24" t="s">
        <v>478</v>
      </c>
      <c r="D794" s="24" t="s">
        <v>630</v>
      </c>
      <c r="E794" s="25">
        <v>4.6100000000000003</v>
      </c>
      <c r="F794" s="26">
        <v>105</v>
      </c>
      <c r="G794" s="30">
        <f>IF(OR(D794="TARDIO",D794="PENDIENTE (TARDÍO)"),'Efectos y supuestos'!$B$8,0)</f>
        <v>0</v>
      </c>
      <c r="H794" s="14">
        <f t="shared" si="12"/>
        <v>0</v>
      </c>
    </row>
    <row r="795" spans="1:8" x14ac:dyDescent="0.35">
      <c r="A795" s="24" t="s">
        <v>465</v>
      </c>
      <c r="B795" s="29">
        <v>46303</v>
      </c>
      <c r="C795" s="24" t="s">
        <v>478</v>
      </c>
      <c r="D795" s="24" t="s">
        <v>630</v>
      </c>
      <c r="E795" s="25">
        <v>3.3</v>
      </c>
      <c r="F795" s="26">
        <v>105</v>
      </c>
      <c r="G795" s="30">
        <f>IF(OR(D795="TARDIO",D795="PENDIENTE (TARDÍO)"),'Efectos y supuestos'!$B$8,0)</f>
        <v>0</v>
      </c>
      <c r="H795" s="14">
        <f t="shared" si="12"/>
        <v>0</v>
      </c>
    </row>
    <row r="796" spans="1:8" x14ac:dyDescent="0.35">
      <c r="A796" s="24" t="s">
        <v>251</v>
      </c>
      <c r="B796" s="29">
        <v>46280</v>
      </c>
      <c r="C796" s="24" t="s">
        <v>478</v>
      </c>
      <c r="D796" s="24" t="s">
        <v>630</v>
      </c>
      <c r="E796" s="25">
        <v>15.7</v>
      </c>
      <c r="F796" s="26">
        <v>105</v>
      </c>
      <c r="G796" s="30">
        <f>IF(OR(D796="TARDIO",D796="PENDIENTE (TARDÍO)"),'Efectos y supuestos'!$B$8,0)</f>
        <v>0</v>
      </c>
      <c r="H796" s="14">
        <f t="shared" si="12"/>
        <v>0</v>
      </c>
    </row>
    <row r="797" spans="1:8" x14ac:dyDescent="0.35">
      <c r="A797" s="24" t="s">
        <v>257</v>
      </c>
      <c r="B797" s="29">
        <v>46280</v>
      </c>
      <c r="C797" s="24" t="s">
        <v>478</v>
      </c>
      <c r="D797" s="24" t="s">
        <v>630</v>
      </c>
      <c r="E797" s="25">
        <v>5.98</v>
      </c>
      <c r="F797" s="26">
        <v>105</v>
      </c>
      <c r="G797" s="30">
        <f>IF(OR(D797="TARDIO",D797="PENDIENTE (TARDÍO)"),'Efectos y supuestos'!$B$8,0)</f>
        <v>0</v>
      </c>
      <c r="H797" s="14">
        <f t="shared" si="12"/>
        <v>0</v>
      </c>
    </row>
    <row r="798" spans="1:8" x14ac:dyDescent="0.35">
      <c r="A798" s="24" t="s">
        <v>98</v>
      </c>
      <c r="B798" s="29">
        <v>46307</v>
      </c>
      <c r="C798" s="24" t="s">
        <v>478</v>
      </c>
      <c r="D798" s="24" t="s">
        <v>630</v>
      </c>
      <c r="E798" s="25">
        <v>11.71</v>
      </c>
      <c r="F798" s="26">
        <v>105</v>
      </c>
      <c r="G798" s="30">
        <f>IF(OR(D798="TARDIO",D798="PENDIENTE (TARDÍO)"),'Efectos y supuestos'!$B$8,0)</f>
        <v>0</v>
      </c>
      <c r="H798" s="14">
        <f t="shared" si="12"/>
        <v>0</v>
      </c>
    </row>
    <row r="799" spans="1:8" x14ac:dyDescent="0.35">
      <c r="A799" s="24" t="s">
        <v>99</v>
      </c>
      <c r="B799" s="29">
        <v>46308</v>
      </c>
      <c r="C799" s="24" t="s">
        <v>478</v>
      </c>
      <c r="D799" s="24" t="s">
        <v>630</v>
      </c>
      <c r="E799" s="25">
        <v>10.210000000000001</v>
      </c>
      <c r="F799" s="26">
        <v>105</v>
      </c>
      <c r="G799" s="30">
        <f>IF(OR(D799="TARDIO",D799="PENDIENTE (TARDÍO)"),'Efectos y supuestos'!$B$8,0)</f>
        <v>0</v>
      </c>
      <c r="H799" s="14">
        <f t="shared" si="12"/>
        <v>0</v>
      </c>
    </row>
    <row r="800" spans="1:8" x14ac:dyDescent="0.35">
      <c r="A800" s="24" t="s">
        <v>271</v>
      </c>
      <c r="B800" s="29">
        <v>46301</v>
      </c>
      <c r="C800" s="24" t="s">
        <v>478</v>
      </c>
      <c r="D800" s="24" t="s">
        <v>630</v>
      </c>
      <c r="E800" s="25">
        <v>9.26</v>
      </c>
      <c r="F800" s="26">
        <v>105</v>
      </c>
      <c r="G800" s="30">
        <f>IF(OR(D800="TARDIO",D800="PENDIENTE (TARDÍO)"),'Efectos y supuestos'!$B$8,0)</f>
        <v>0</v>
      </c>
      <c r="H800" s="14">
        <f t="shared" si="12"/>
        <v>0</v>
      </c>
    </row>
    <row r="801" spans="1:8" x14ac:dyDescent="0.35">
      <c r="A801" s="24" t="s">
        <v>396</v>
      </c>
      <c r="B801" s="29">
        <v>46280</v>
      </c>
      <c r="C801" s="24" t="s">
        <v>478</v>
      </c>
      <c r="D801" s="24" t="s">
        <v>630</v>
      </c>
      <c r="E801" s="25">
        <v>16.75</v>
      </c>
      <c r="F801" s="26">
        <v>105</v>
      </c>
      <c r="G801" s="30">
        <f>IF(OR(D801="TARDIO",D801="PENDIENTE (TARDÍO)"),'Efectos y supuestos'!$B$8,0)</f>
        <v>0</v>
      </c>
      <c r="H801" s="14">
        <f t="shared" si="12"/>
        <v>0</v>
      </c>
    </row>
    <row r="802" spans="1:8" x14ac:dyDescent="0.35">
      <c r="A802" s="24" t="s">
        <v>276</v>
      </c>
      <c r="B802" s="29">
        <v>46280</v>
      </c>
      <c r="C802" s="24" t="s">
        <v>478</v>
      </c>
      <c r="D802" s="24" t="s">
        <v>630</v>
      </c>
      <c r="E802" s="25">
        <v>10.76</v>
      </c>
      <c r="F802" s="26">
        <v>105</v>
      </c>
      <c r="G802" s="30">
        <f>IF(OR(D802="TARDIO",D802="PENDIENTE (TARDÍO)"),'Efectos y supuestos'!$B$8,0)</f>
        <v>0</v>
      </c>
      <c r="H802" s="14">
        <f t="shared" si="12"/>
        <v>0</v>
      </c>
    </row>
    <row r="803" spans="1:8" x14ac:dyDescent="0.35">
      <c r="A803" s="24" t="s">
        <v>277</v>
      </c>
      <c r="B803" s="29">
        <v>46280</v>
      </c>
      <c r="C803" s="24" t="s">
        <v>478</v>
      </c>
      <c r="D803" s="24" t="s">
        <v>630</v>
      </c>
      <c r="E803" s="25">
        <v>5.61</v>
      </c>
      <c r="F803" s="26">
        <v>105</v>
      </c>
      <c r="G803" s="30">
        <f>IF(OR(D803="TARDIO",D803="PENDIENTE (TARDÍO)"),'Efectos y supuestos'!$B$8,0)</f>
        <v>0</v>
      </c>
      <c r="H803" s="14">
        <f t="shared" si="12"/>
        <v>0</v>
      </c>
    </row>
    <row r="804" spans="1:8" x14ac:dyDescent="0.35">
      <c r="A804" s="24" t="s">
        <v>289</v>
      </c>
      <c r="B804" s="29">
        <v>46312</v>
      </c>
      <c r="C804" s="24" t="s">
        <v>478</v>
      </c>
      <c r="D804" s="24" t="s">
        <v>630</v>
      </c>
      <c r="E804" s="25">
        <v>3.09</v>
      </c>
      <c r="F804" s="26">
        <v>106.4</v>
      </c>
      <c r="G804" s="30">
        <f>IF(OR(D804="TARDIO",D804="PENDIENTE (TARDÍO)"),'Efectos y supuestos'!$B$8,0)</f>
        <v>0</v>
      </c>
      <c r="H804" s="14">
        <f t="shared" si="12"/>
        <v>0</v>
      </c>
    </row>
    <row r="805" spans="1:8" x14ac:dyDescent="0.35">
      <c r="A805" s="24" t="s">
        <v>291</v>
      </c>
      <c r="B805" s="29">
        <v>46280</v>
      </c>
      <c r="C805" s="24" t="s">
        <v>478</v>
      </c>
      <c r="D805" s="24" t="s">
        <v>630</v>
      </c>
      <c r="E805" s="25">
        <v>11.97</v>
      </c>
      <c r="F805" s="26">
        <v>105</v>
      </c>
      <c r="G805" s="30">
        <f>IF(OR(D805="TARDIO",D805="PENDIENTE (TARDÍO)"),'Efectos y supuestos'!$B$8,0)</f>
        <v>0</v>
      </c>
      <c r="H805" s="14">
        <f t="shared" si="12"/>
        <v>0</v>
      </c>
    </row>
    <row r="806" spans="1:8" x14ac:dyDescent="0.35">
      <c r="A806" s="24" t="s">
        <v>397</v>
      </c>
      <c r="B806" s="29">
        <v>46310</v>
      </c>
      <c r="C806" s="24" t="s">
        <v>478</v>
      </c>
      <c r="D806" s="24" t="s">
        <v>630</v>
      </c>
      <c r="E806" s="25">
        <v>3.93</v>
      </c>
      <c r="F806" s="26">
        <v>105</v>
      </c>
      <c r="G806" s="30">
        <f>IF(OR(D806="TARDIO",D806="PENDIENTE (TARDÍO)"),'Efectos y supuestos'!$B$8,0)</f>
        <v>0</v>
      </c>
      <c r="H806" s="14">
        <f t="shared" si="12"/>
        <v>0</v>
      </c>
    </row>
    <row r="807" spans="1:8" x14ac:dyDescent="0.35">
      <c r="A807" s="24" t="s">
        <v>398</v>
      </c>
      <c r="B807" s="29">
        <v>46280</v>
      </c>
      <c r="C807" s="24" t="s">
        <v>478</v>
      </c>
      <c r="D807" s="24" t="s">
        <v>630</v>
      </c>
      <c r="E807" s="25">
        <v>5.92</v>
      </c>
      <c r="F807" s="26">
        <v>105</v>
      </c>
      <c r="G807" s="30">
        <f>IF(OR(D807="TARDIO",D807="PENDIENTE (TARDÍO)"),'Efectos y supuestos'!$B$8,0)</f>
        <v>0</v>
      </c>
      <c r="H807" s="14">
        <f t="shared" si="12"/>
        <v>0</v>
      </c>
    </row>
    <row r="808" spans="1:8" x14ac:dyDescent="0.35">
      <c r="A808" s="24" t="s">
        <v>399</v>
      </c>
      <c r="B808" s="29">
        <v>46310</v>
      </c>
      <c r="C808" s="24" t="s">
        <v>478</v>
      </c>
      <c r="D808" s="24" t="s">
        <v>630</v>
      </c>
      <c r="E808" s="25">
        <v>2.35</v>
      </c>
      <c r="F808" s="26">
        <v>105</v>
      </c>
      <c r="G808" s="30">
        <f>IF(OR(D808="TARDIO",D808="PENDIENTE (TARDÍO)"),'Efectos y supuestos'!$B$8,0)</f>
        <v>0</v>
      </c>
      <c r="H808" s="14">
        <f t="shared" si="12"/>
        <v>0</v>
      </c>
    </row>
    <row r="809" spans="1:8" x14ac:dyDescent="0.35">
      <c r="A809" s="24" t="s">
        <v>400</v>
      </c>
      <c r="B809" s="29">
        <v>46301</v>
      </c>
      <c r="C809" s="24" t="s">
        <v>478</v>
      </c>
      <c r="D809" s="24" t="s">
        <v>630</v>
      </c>
      <c r="E809" s="25">
        <v>3.35</v>
      </c>
      <c r="F809" s="26">
        <v>105</v>
      </c>
      <c r="G809" s="30">
        <f>IF(OR(D809="TARDIO",D809="PENDIENTE (TARDÍO)"),'Efectos y supuestos'!$B$8,0)</f>
        <v>0</v>
      </c>
      <c r="H809" s="14">
        <f t="shared" si="12"/>
        <v>0</v>
      </c>
    </row>
    <row r="810" spans="1:8" x14ac:dyDescent="0.35">
      <c r="A810" s="24" t="s">
        <v>401</v>
      </c>
      <c r="B810" s="29">
        <v>46280</v>
      </c>
      <c r="C810" s="24" t="s">
        <v>478</v>
      </c>
      <c r="D810" s="24" t="s">
        <v>630</v>
      </c>
      <c r="E810" s="25">
        <v>6.5</v>
      </c>
      <c r="F810" s="26">
        <v>105</v>
      </c>
      <c r="G810" s="30">
        <f>IF(OR(D810="TARDIO",D810="PENDIENTE (TARDÍO)"),'Efectos y supuestos'!$B$8,0)</f>
        <v>0</v>
      </c>
      <c r="H810" s="14">
        <f t="shared" si="12"/>
        <v>0</v>
      </c>
    </row>
    <row r="811" spans="1:8" x14ac:dyDescent="0.35">
      <c r="A811" s="24" t="s">
        <v>631</v>
      </c>
      <c r="B811" s="29">
        <v>46305</v>
      </c>
      <c r="C811" s="24" t="s">
        <v>478</v>
      </c>
      <c r="D811" s="24" t="s">
        <v>630</v>
      </c>
      <c r="E811" s="25">
        <v>14.47</v>
      </c>
      <c r="F811" s="26">
        <v>105</v>
      </c>
      <c r="G811" s="30">
        <f>IF(OR(D811="TARDIO",D811="PENDIENTE (TARDÍO)"),'Efectos y supuestos'!$B$8,0)</f>
        <v>0</v>
      </c>
      <c r="H811" s="14">
        <f t="shared" si="12"/>
        <v>0</v>
      </c>
    </row>
    <row r="812" spans="1:8" x14ac:dyDescent="0.35">
      <c r="A812" s="24" t="s">
        <v>306</v>
      </c>
      <c r="B812" s="29">
        <v>46314</v>
      </c>
      <c r="C812" s="24" t="s">
        <v>478</v>
      </c>
      <c r="D812" s="24" t="s">
        <v>630</v>
      </c>
      <c r="E812" s="25">
        <v>18.489999999999998</v>
      </c>
      <c r="F812" s="26">
        <v>122.3</v>
      </c>
      <c r="G812" s="30">
        <f>IF(OR(D812="TARDIO",D812="PENDIENTE (TARDÍO)"),'Efectos y supuestos'!$B$8,0)</f>
        <v>0</v>
      </c>
      <c r="H812" s="14">
        <f t="shared" si="12"/>
        <v>0</v>
      </c>
    </row>
    <row r="813" spans="1:8" x14ac:dyDescent="0.35">
      <c r="A813" s="24" t="s">
        <v>403</v>
      </c>
      <c r="B813" s="29">
        <v>46280</v>
      </c>
      <c r="C813" s="24" t="s">
        <v>478</v>
      </c>
      <c r="D813" s="24" t="s">
        <v>630</v>
      </c>
      <c r="E813" s="25">
        <v>10.37</v>
      </c>
      <c r="F813" s="26">
        <v>105</v>
      </c>
      <c r="G813" s="30">
        <f>IF(OR(D813="TARDIO",D813="PENDIENTE (TARDÍO)"),'Efectos y supuestos'!$B$8,0)</f>
        <v>0</v>
      </c>
      <c r="H813" s="14">
        <f t="shared" si="12"/>
        <v>0</v>
      </c>
    </row>
    <row r="814" spans="1:8" x14ac:dyDescent="0.35">
      <c r="A814" s="24" t="s">
        <v>103</v>
      </c>
      <c r="B814" s="29">
        <v>46300</v>
      </c>
      <c r="C814" s="24" t="s">
        <v>478</v>
      </c>
      <c r="D814" s="24" t="s">
        <v>630</v>
      </c>
      <c r="E814" s="25">
        <v>4</v>
      </c>
      <c r="F814" s="26">
        <v>105</v>
      </c>
      <c r="G814" s="30">
        <f>IF(OR(D814="TARDIO",D814="PENDIENTE (TARDÍO)"),'Efectos y supuestos'!$B$8,0)</f>
        <v>0</v>
      </c>
      <c r="H814" s="14">
        <f t="shared" si="12"/>
        <v>0</v>
      </c>
    </row>
    <row r="815" spans="1:8" x14ac:dyDescent="0.35">
      <c r="A815" s="24" t="s">
        <v>104</v>
      </c>
      <c r="B815" s="29">
        <v>46300</v>
      </c>
      <c r="C815" s="24" t="s">
        <v>478</v>
      </c>
      <c r="D815" s="24" t="s">
        <v>630</v>
      </c>
      <c r="E815" s="25">
        <v>1.8</v>
      </c>
      <c r="F815" s="26">
        <v>105</v>
      </c>
      <c r="G815" s="30">
        <f>IF(OR(D815="TARDIO",D815="PENDIENTE (TARDÍO)"),'Efectos y supuestos'!$B$8,0)</f>
        <v>0</v>
      </c>
      <c r="H815" s="14">
        <f t="shared" si="12"/>
        <v>0</v>
      </c>
    </row>
    <row r="816" spans="1:8" x14ac:dyDescent="0.35">
      <c r="A816" s="24" t="s">
        <v>434</v>
      </c>
      <c r="B816" s="29">
        <v>46300</v>
      </c>
      <c r="C816" s="24" t="s">
        <v>478</v>
      </c>
      <c r="D816" s="24" t="s">
        <v>630</v>
      </c>
      <c r="E816" s="25">
        <v>22.27</v>
      </c>
      <c r="F816" s="26">
        <v>105</v>
      </c>
      <c r="G816" s="30">
        <f>IF(OR(D816="TARDIO",D816="PENDIENTE (TARDÍO)"),'Efectos y supuestos'!$B$8,0)</f>
        <v>0</v>
      </c>
      <c r="H816" s="14">
        <f t="shared" si="12"/>
        <v>0</v>
      </c>
    </row>
    <row r="817" spans="1:8" x14ac:dyDescent="0.35">
      <c r="A817" s="24" t="s">
        <v>435</v>
      </c>
      <c r="B817" s="29">
        <v>46315</v>
      </c>
      <c r="C817" s="24" t="s">
        <v>478</v>
      </c>
      <c r="D817" s="24" t="s">
        <v>630</v>
      </c>
      <c r="E817" s="25">
        <v>12.1</v>
      </c>
      <c r="F817" s="26">
        <v>142.80000000000001</v>
      </c>
      <c r="G817" s="30">
        <f>IF(OR(D817="TARDIO",D817="PENDIENTE (TARDÍO)"),'Efectos y supuestos'!$B$8,0)</f>
        <v>0</v>
      </c>
      <c r="H817" s="14">
        <f t="shared" si="12"/>
        <v>0</v>
      </c>
    </row>
    <row r="818" spans="1:8" x14ac:dyDescent="0.35">
      <c r="A818" s="24" t="s">
        <v>632</v>
      </c>
      <c r="B818" s="29">
        <v>46315</v>
      </c>
      <c r="C818" s="24" t="s">
        <v>478</v>
      </c>
      <c r="D818" s="24" t="s">
        <v>630</v>
      </c>
      <c r="E818" s="25">
        <v>5.08</v>
      </c>
      <c r="F818" s="26">
        <v>112.8</v>
      </c>
      <c r="G818" s="30">
        <f>IF(OR(D818="TARDIO",D818="PENDIENTE (TARDÍO)"),'Efectos y supuestos'!$B$8,0)</f>
        <v>0</v>
      </c>
      <c r="H818" s="14">
        <f t="shared" si="12"/>
        <v>0</v>
      </c>
    </row>
    <row r="819" spans="1:8" x14ac:dyDescent="0.35">
      <c r="A819" s="24" t="s">
        <v>338</v>
      </c>
      <c r="B819" s="29">
        <v>46280</v>
      </c>
      <c r="C819" s="24" t="s">
        <v>478</v>
      </c>
      <c r="D819" s="24" t="s">
        <v>630</v>
      </c>
      <c r="E819" s="25">
        <v>10.76</v>
      </c>
      <c r="F819" s="26">
        <v>105</v>
      </c>
      <c r="G819" s="30">
        <f>IF(OR(D819="TARDIO",D819="PENDIENTE (TARDÍO)"),'Efectos y supuestos'!$B$8,0)</f>
        <v>0</v>
      </c>
      <c r="H819" s="14">
        <f t="shared" si="12"/>
        <v>0</v>
      </c>
    </row>
    <row r="820" spans="1:8" x14ac:dyDescent="0.35">
      <c r="A820" s="24" t="s">
        <v>470</v>
      </c>
      <c r="B820" s="29">
        <v>46307</v>
      </c>
      <c r="C820" s="24" t="s">
        <v>478</v>
      </c>
      <c r="D820" s="24" t="s">
        <v>630</v>
      </c>
      <c r="E820" s="25">
        <v>17.95</v>
      </c>
      <c r="F820" s="26">
        <v>105</v>
      </c>
      <c r="G820" s="30">
        <f>IF(OR(D820="TARDIO",D820="PENDIENTE (TARDÍO)"),'Efectos y supuestos'!$B$8,0)</f>
        <v>0</v>
      </c>
      <c r="H820" s="14">
        <f t="shared" si="12"/>
        <v>0</v>
      </c>
    </row>
    <row r="821" spans="1:8" x14ac:dyDescent="0.35">
      <c r="A821" s="24" t="s">
        <v>439</v>
      </c>
      <c r="B821" s="29">
        <v>46303</v>
      </c>
      <c r="C821" s="24" t="s">
        <v>478</v>
      </c>
      <c r="D821" s="24" t="s">
        <v>630</v>
      </c>
      <c r="E821" s="25">
        <v>7.49</v>
      </c>
      <c r="F821" s="26">
        <v>105</v>
      </c>
      <c r="G821" s="30">
        <f>IF(OR(D821="TARDIO",D821="PENDIENTE (TARDÍO)"),'Efectos y supuestos'!$B$8,0)</f>
        <v>0</v>
      </c>
      <c r="H821" s="14">
        <f t="shared" si="12"/>
        <v>0</v>
      </c>
    </row>
    <row r="822" spans="1:8" x14ac:dyDescent="0.35">
      <c r="A822" s="24" t="s">
        <v>440</v>
      </c>
      <c r="B822" s="29">
        <v>46303</v>
      </c>
      <c r="C822" s="24" t="s">
        <v>478</v>
      </c>
      <c r="D822" s="24" t="s">
        <v>630</v>
      </c>
      <c r="E822" s="25">
        <v>9.36</v>
      </c>
      <c r="F822" s="26">
        <v>105</v>
      </c>
      <c r="G822" s="30">
        <f>IF(OR(D822="TARDIO",D822="PENDIENTE (TARDÍO)"),'Efectos y supuestos'!$B$8,0)</f>
        <v>0</v>
      </c>
      <c r="H822" s="14">
        <f t="shared" si="12"/>
        <v>0</v>
      </c>
    </row>
    <row r="823" spans="1:8" x14ac:dyDescent="0.35">
      <c r="A823" s="24" t="s">
        <v>442</v>
      </c>
      <c r="B823" s="29">
        <v>46300</v>
      </c>
      <c r="C823" s="24" t="s">
        <v>478</v>
      </c>
      <c r="D823" s="24" t="s">
        <v>630</v>
      </c>
      <c r="E823" s="25">
        <v>4.41</v>
      </c>
      <c r="F823" s="26">
        <v>105</v>
      </c>
      <c r="G823" s="30">
        <f>IF(OR(D823="TARDIO",D823="PENDIENTE (TARDÍO)"),'Efectos y supuestos'!$B$8,0)</f>
        <v>0</v>
      </c>
      <c r="H823" s="14">
        <f t="shared" si="12"/>
        <v>0</v>
      </c>
    </row>
    <row r="824" spans="1:8" x14ac:dyDescent="0.35">
      <c r="A824" s="24" t="s">
        <v>108</v>
      </c>
      <c r="B824" s="29">
        <v>46303</v>
      </c>
      <c r="C824" s="24" t="s">
        <v>478</v>
      </c>
      <c r="D824" s="24" t="s">
        <v>630</v>
      </c>
      <c r="E824" s="25">
        <v>1.35</v>
      </c>
      <c r="F824" s="26">
        <v>105</v>
      </c>
      <c r="G824" s="30">
        <f>IF(OR(D824="TARDIO",D824="PENDIENTE (TARDÍO)"),'Efectos y supuestos'!$B$8,0)</f>
        <v>0</v>
      </c>
      <c r="H824" s="14">
        <f t="shared" si="12"/>
        <v>0</v>
      </c>
    </row>
    <row r="825" spans="1:8" x14ac:dyDescent="0.35">
      <c r="A825" s="24" t="s">
        <v>109</v>
      </c>
      <c r="B825" s="29">
        <v>46303</v>
      </c>
      <c r="C825" s="24" t="s">
        <v>478</v>
      </c>
      <c r="D825" s="24" t="s">
        <v>630</v>
      </c>
      <c r="E825" s="25">
        <v>5.89</v>
      </c>
      <c r="F825" s="26">
        <v>105</v>
      </c>
      <c r="G825" s="30">
        <f>IF(OR(D825="TARDIO",D825="PENDIENTE (TARDÍO)"),'Efectos y supuestos'!$B$8,0)</f>
        <v>0</v>
      </c>
      <c r="H825" s="14">
        <f t="shared" si="12"/>
        <v>0</v>
      </c>
    </row>
    <row r="826" spans="1:8" x14ac:dyDescent="0.35">
      <c r="A826" s="24" t="s">
        <v>110</v>
      </c>
      <c r="B826" s="29">
        <v>46303</v>
      </c>
      <c r="C826" s="24" t="s">
        <v>478</v>
      </c>
      <c r="D826" s="24" t="s">
        <v>630</v>
      </c>
      <c r="E826" s="25">
        <v>6.19</v>
      </c>
      <c r="F826" s="26">
        <v>105</v>
      </c>
      <c r="G826" s="30">
        <f>IF(OR(D826="TARDIO",D826="PENDIENTE (TARDÍO)"),'Efectos y supuestos'!$B$8,0)</f>
        <v>0</v>
      </c>
      <c r="H826" s="14">
        <f t="shared" ref="H826:H889" si="13">-G826*F826*E826</f>
        <v>0</v>
      </c>
    </row>
    <row r="827" spans="1:8" x14ac:dyDescent="0.35">
      <c r="A827" s="24" t="s">
        <v>443</v>
      </c>
      <c r="B827" s="29">
        <v>46303</v>
      </c>
      <c r="C827" s="24" t="s">
        <v>478</v>
      </c>
      <c r="D827" s="24" t="s">
        <v>630</v>
      </c>
      <c r="E827" s="25">
        <v>1.82</v>
      </c>
      <c r="F827" s="26">
        <v>105</v>
      </c>
      <c r="G827" s="30">
        <f>IF(OR(D827="TARDIO",D827="PENDIENTE (TARDÍO)"),'Efectos y supuestos'!$B$8,0)</f>
        <v>0</v>
      </c>
      <c r="H827" s="14">
        <f t="shared" si="13"/>
        <v>0</v>
      </c>
    </row>
    <row r="828" spans="1:8" x14ac:dyDescent="0.35">
      <c r="A828" s="24" t="s">
        <v>111</v>
      </c>
      <c r="B828" s="29">
        <v>46300</v>
      </c>
      <c r="C828" s="24" t="s">
        <v>478</v>
      </c>
      <c r="D828" s="24" t="s">
        <v>630</v>
      </c>
      <c r="E828" s="25">
        <v>20.83</v>
      </c>
      <c r="F828" s="26">
        <v>105</v>
      </c>
      <c r="G828" s="30">
        <f>IF(OR(D828="TARDIO",D828="PENDIENTE (TARDÍO)"),'Efectos y supuestos'!$B$8,0)</f>
        <v>0</v>
      </c>
      <c r="H828" s="14">
        <f t="shared" si="13"/>
        <v>0</v>
      </c>
    </row>
    <row r="829" spans="1:8" x14ac:dyDescent="0.35">
      <c r="A829" s="24" t="s">
        <v>445</v>
      </c>
      <c r="B829" s="29">
        <v>46308</v>
      </c>
      <c r="C829" s="24" t="s">
        <v>478</v>
      </c>
      <c r="D829" s="24" t="s">
        <v>630</v>
      </c>
      <c r="E829" s="25">
        <v>4.1500000000000004</v>
      </c>
      <c r="F829" s="26">
        <v>105</v>
      </c>
      <c r="G829" s="30">
        <f>IF(OR(D829="TARDIO",D829="PENDIENTE (TARDÍO)"),'Efectos y supuestos'!$B$8,0)</f>
        <v>0</v>
      </c>
      <c r="H829" s="14">
        <f t="shared" si="13"/>
        <v>0</v>
      </c>
    </row>
    <row r="830" spans="1:8" x14ac:dyDescent="0.35">
      <c r="A830" s="24" t="s">
        <v>471</v>
      </c>
      <c r="B830" s="29">
        <v>46311</v>
      </c>
      <c r="C830" s="24" t="s">
        <v>478</v>
      </c>
      <c r="D830" s="24" t="s">
        <v>630</v>
      </c>
      <c r="E830" s="25">
        <v>6.32</v>
      </c>
      <c r="F830" s="26">
        <v>105</v>
      </c>
      <c r="G830" s="30">
        <f>IF(OR(D830="TARDIO",D830="PENDIENTE (TARDÍO)"),'Efectos y supuestos'!$B$8,0)</f>
        <v>0</v>
      </c>
      <c r="H830" s="14">
        <f t="shared" si="13"/>
        <v>0</v>
      </c>
    </row>
    <row r="831" spans="1:8" x14ac:dyDescent="0.35">
      <c r="A831" s="24" t="s">
        <v>404</v>
      </c>
      <c r="B831" s="29">
        <v>46280</v>
      </c>
      <c r="C831" s="24" t="s">
        <v>478</v>
      </c>
      <c r="D831" s="24" t="s">
        <v>630</v>
      </c>
      <c r="E831" s="25">
        <v>10.55</v>
      </c>
      <c r="F831" s="26">
        <v>105</v>
      </c>
      <c r="G831" s="30">
        <f>IF(OR(D831="TARDIO",D831="PENDIENTE (TARDÍO)"),'Efectos y supuestos'!$B$8,0)</f>
        <v>0</v>
      </c>
      <c r="H831" s="14">
        <f t="shared" si="13"/>
        <v>0</v>
      </c>
    </row>
    <row r="832" spans="1:8" x14ac:dyDescent="0.35">
      <c r="A832" s="24" t="s">
        <v>405</v>
      </c>
      <c r="B832" s="29">
        <v>46308</v>
      </c>
      <c r="C832" s="24" t="s">
        <v>478</v>
      </c>
      <c r="D832" s="24" t="s">
        <v>630</v>
      </c>
      <c r="E832" s="25">
        <v>5.17</v>
      </c>
      <c r="F832" s="26">
        <v>105</v>
      </c>
      <c r="G832" s="30">
        <f>IF(OR(D832="TARDIO",D832="PENDIENTE (TARDÍO)"),'Efectos y supuestos'!$B$8,0)</f>
        <v>0</v>
      </c>
      <c r="H832" s="14">
        <f t="shared" si="13"/>
        <v>0</v>
      </c>
    </row>
    <row r="833" spans="1:8" x14ac:dyDescent="0.35">
      <c r="A833" s="24" t="s">
        <v>354</v>
      </c>
      <c r="B833" s="29">
        <v>46280</v>
      </c>
      <c r="C833" s="24" t="s">
        <v>478</v>
      </c>
      <c r="D833" s="24" t="s">
        <v>630</v>
      </c>
      <c r="E833" s="25">
        <v>15.35</v>
      </c>
      <c r="F833" s="26">
        <v>105</v>
      </c>
      <c r="G833" s="30">
        <f>IF(OR(D833="TARDIO",D833="PENDIENTE (TARDÍO)"),'Efectos y supuestos'!$B$8,0)</f>
        <v>0</v>
      </c>
      <c r="H833" s="14">
        <f t="shared" si="13"/>
        <v>0</v>
      </c>
    </row>
    <row r="834" spans="1:8" x14ac:dyDescent="0.35">
      <c r="A834" s="24" t="s">
        <v>355</v>
      </c>
      <c r="B834" s="29">
        <v>46280</v>
      </c>
      <c r="C834" s="24" t="s">
        <v>478</v>
      </c>
      <c r="D834" s="24" t="s">
        <v>630</v>
      </c>
      <c r="E834" s="25">
        <v>11.66</v>
      </c>
      <c r="F834" s="26">
        <v>105</v>
      </c>
      <c r="G834" s="30">
        <f>IF(OR(D834="TARDIO",D834="PENDIENTE (TARDÍO)"),'Efectos y supuestos'!$B$8,0)</f>
        <v>0</v>
      </c>
      <c r="H834" s="14">
        <f t="shared" si="13"/>
        <v>0</v>
      </c>
    </row>
    <row r="835" spans="1:8" x14ac:dyDescent="0.35">
      <c r="A835" s="24" t="s">
        <v>633</v>
      </c>
      <c r="B835" s="29">
        <v>46280</v>
      </c>
      <c r="C835" s="24" t="s">
        <v>478</v>
      </c>
      <c r="D835" s="24" t="s">
        <v>630</v>
      </c>
      <c r="E835" s="25">
        <v>8.5500000000000007</v>
      </c>
      <c r="F835" s="26">
        <v>105</v>
      </c>
      <c r="G835" s="30">
        <f>IF(OR(D835="TARDIO",D835="PENDIENTE (TARDÍO)"),'Efectos y supuestos'!$B$8,0)</f>
        <v>0</v>
      </c>
      <c r="H835" s="14">
        <f t="shared" si="13"/>
        <v>0</v>
      </c>
    </row>
    <row r="836" spans="1:8" x14ac:dyDescent="0.35">
      <c r="A836" s="24" t="s">
        <v>634</v>
      </c>
      <c r="B836" s="29">
        <v>46310</v>
      </c>
      <c r="C836" s="24" t="s">
        <v>478</v>
      </c>
      <c r="D836" s="24" t="s">
        <v>630</v>
      </c>
      <c r="E836" s="25">
        <v>8.5399999999999991</v>
      </c>
      <c r="F836" s="26">
        <v>105</v>
      </c>
      <c r="G836" s="30">
        <f>IF(OR(D836="TARDIO",D836="PENDIENTE (TARDÍO)"),'Efectos y supuestos'!$B$8,0)</f>
        <v>0</v>
      </c>
      <c r="H836" s="14">
        <f t="shared" si="13"/>
        <v>0</v>
      </c>
    </row>
    <row r="837" spans="1:8" x14ac:dyDescent="0.35">
      <c r="A837" s="24" t="s">
        <v>635</v>
      </c>
      <c r="B837" s="29">
        <v>46310</v>
      </c>
      <c r="C837" s="24" t="s">
        <v>478</v>
      </c>
      <c r="D837" s="24" t="s">
        <v>630</v>
      </c>
      <c r="E837" s="25">
        <v>14.26</v>
      </c>
      <c r="F837" s="26">
        <v>105</v>
      </c>
      <c r="G837" s="30">
        <f>IF(OR(D837="TARDIO",D837="PENDIENTE (TARDÍO)"),'Efectos y supuestos'!$B$8,0)</f>
        <v>0</v>
      </c>
      <c r="H837" s="14">
        <f t="shared" si="13"/>
        <v>0</v>
      </c>
    </row>
    <row r="838" spans="1:8" x14ac:dyDescent="0.35">
      <c r="A838" s="24" t="s">
        <v>448</v>
      </c>
      <c r="B838" s="29">
        <v>46280</v>
      </c>
      <c r="C838" s="24" t="s">
        <v>478</v>
      </c>
      <c r="D838" s="24" t="s">
        <v>630</v>
      </c>
      <c r="E838" s="25">
        <v>7.42</v>
      </c>
      <c r="F838" s="26">
        <v>105</v>
      </c>
      <c r="G838" s="30">
        <f>IF(OR(D838="TARDIO",D838="PENDIENTE (TARDÍO)"),'Efectos y supuestos'!$B$8,0)</f>
        <v>0</v>
      </c>
      <c r="H838" s="14">
        <f t="shared" si="13"/>
        <v>0</v>
      </c>
    </row>
    <row r="839" spans="1:8" x14ac:dyDescent="0.35">
      <c r="A839" s="24" t="s">
        <v>636</v>
      </c>
      <c r="B839" s="29">
        <v>46280</v>
      </c>
      <c r="C839" s="24" t="s">
        <v>478</v>
      </c>
      <c r="D839" s="24" t="s">
        <v>630</v>
      </c>
      <c r="E839" s="25">
        <v>1.69</v>
      </c>
      <c r="F839" s="26">
        <v>105</v>
      </c>
      <c r="G839" s="30">
        <f>IF(OR(D839="TARDIO",D839="PENDIENTE (TARDÍO)"),'Efectos y supuestos'!$B$8,0)</f>
        <v>0</v>
      </c>
      <c r="H839" s="14">
        <f t="shared" si="13"/>
        <v>0</v>
      </c>
    </row>
    <row r="840" spans="1:8" x14ac:dyDescent="0.35">
      <c r="A840" s="24" t="s">
        <v>637</v>
      </c>
      <c r="B840" s="29">
        <v>46280</v>
      </c>
      <c r="C840" s="24" t="s">
        <v>478</v>
      </c>
      <c r="D840" s="24" t="s">
        <v>630</v>
      </c>
      <c r="E840" s="25">
        <v>1.94</v>
      </c>
      <c r="F840" s="26">
        <v>105</v>
      </c>
      <c r="G840" s="30">
        <f>IF(OR(D840="TARDIO",D840="PENDIENTE (TARDÍO)"),'Efectos y supuestos'!$B$8,0)</f>
        <v>0</v>
      </c>
      <c r="H840" s="14">
        <f t="shared" si="13"/>
        <v>0</v>
      </c>
    </row>
    <row r="841" spans="1:8" x14ac:dyDescent="0.35">
      <c r="A841" s="24" t="s">
        <v>638</v>
      </c>
      <c r="B841" s="29">
        <v>46280</v>
      </c>
      <c r="C841" s="24" t="s">
        <v>478</v>
      </c>
      <c r="D841" s="24" t="s">
        <v>630</v>
      </c>
      <c r="E841" s="25">
        <v>9.49</v>
      </c>
      <c r="F841" s="26">
        <v>105</v>
      </c>
      <c r="G841" s="30">
        <f>IF(OR(D841="TARDIO",D841="PENDIENTE (TARDÍO)"),'Efectos y supuestos'!$B$8,0)</f>
        <v>0</v>
      </c>
      <c r="H841" s="14">
        <f t="shared" si="13"/>
        <v>0</v>
      </c>
    </row>
    <row r="842" spans="1:8" x14ac:dyDescent="0.35">
      <c r="A842" s="24" t="s">
        <v>451</v>
      </c>
      <c r="B842" s="29">
        <v>46312</v>
      </c>
      <c r="C842" s="24" t="s">
        <v>478</v>
      </c>
      <c r="D842" s="24" t="s">
        <v>630</v>
      </c>
      <c r="E842" s="25">
        <v>17.28</v>
      </c>
      <c r="F842" s="26">
        <v>129.5</v>
      </c>
      <c r="G842" s="30">
        <f>IF(OR(D842="TARDIO",D842="PENDIENTE (TARDÍO)"),'Efectos y supuestos'!$B$8,0)</f>
        <v>0</v>
      </c>
      <c r="H842" s="14">
        <f t="shared" si="13"/>
        <v>0</v>
      </c>
    </row>
    <row r="843" spans="1:8" x14ac:dyDescent="0.35">
      <c r="A843" s="24" t="s">
        <v>452</v>
      </c>
      <c r="B843" s="29">
        <v>46311</v>
      </c>
      <c r="C843" s="24" t="s">
        <v>478</v>
      </c>
      <c r="D843" s="24" t="s">
        <v>630</v>
      </c>
      <c r="E843" s="25">
        <v>21.72</v>
      </c>
      <c r="F843" s="26">
        <v>105</v>
      </c>
      <c r="G843" s="30">
        <f>IF(OR(D843="TARDIO",D843="PENDIENTE (TARDÍO)"),'Efectos y supuestos'!$B$8,0)</f>
        <v>0</v>
      </c>
      <c r="H843" s="14">
        <f t="shared" si="13"/>
        <v>0</v>
      </c>
    </row>
    <row r="844" spans="1:8" x14ac:dyDescent="0.35">
      <c r="A844" s="24" t="s">
        <v>406</v>
      </c>
      <c r="B844" s="29">
        <v>46280</v>
      </c>
      <c r="C844" s="24" t="s">
        <v>478</v>
      </c>
      <c r="D844" s="24" t="s">
        <v>630</v>
      </c>
      <c r="E844" s="25">
        <v>7.82</v>
      </c>
      <c r="F844" s="26">
        <v>105</v>
      </c>
      <c r="G844" s="30">
        <f>IF(OR(D844="TARDIO",D844="PENDIENTE (TARDÍO)"),'Efectos y supuestos'!$B$8,0)</f>
        <v>0</v>
      </c>
      <c r="H844" s="14">
        <f t="shared" si="13"/>
        <v>0</v>
      </c>
    </row>
    <row r="845" spans="1:8" x14ac:dyDescent="0.35">
      <c r="A845" s="8" t="s">
        <v>639</v>
      </c>
      <c r="B845" s="9"/>
      <c r="C845" s="9"/>
      <c r="D845" s="9"/>
      <c r="E845" s="10">
        <f>SUMIFS(E378:E844,G378:G844,"&lt;0")</f>
        <v>906.96999999999991</v>
      </c>
      <c r="F845" s="9"/>
      <c r="G845" s="9"/>
      <c r="H845" s="10">
        <f>SUM(H378:H844)</f>
        <v>5885.5699980000009</v>
      </c>
    </row>
    <row r="846" spans="1:8" x14ac:dyDescent="0.35">
      <c r="A846" s="2" t="s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9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10" customWidth="1"/>
    <col min="2" max="2" width="11" customWidth="1"/>
    <col min="3" max="3" width="20" customWidth="1"/>
    <col min="4" max="4" width="13" customWidth="1"/>
    <col min="5" max="5" width="9" customWidth="1"/>
    <col min="6" max="6" width="8" customWidth="1"/>
    <col min="7" max="7" width="9" customWidth="1"/>
    <col min="8" max="8" width="11" customWidth="1"/>
  </cols>
  <sheetData>
    <row r="1" spans="1:8" ht="18" x14ac:dyDescent="0.4">
      <c r="A1" s="1" t="s">
        <v>641</v>
      </c>
    </row>
    <row r="2" spans="1:8" x14ac:dyDescent="0.35">
      <c r="A2" s="2" t="s">
        <v>642</v>
      </c>
    </row>
    <row r="4" spans="1:8" ht="40" customHeight="1" x14ac:dyDescent="0.35">
      <c r="A4" s="3" t="s">
        <v>73</v>
      </c>
      <c r="B4" s="3" t="s">
        <v>159</v>
      </c>
      <c r="C4" s="3" t="s">
        <v>643</v>
      </c>
      <c r="D4" s="3" t="s">
        <v>644</v>
      </c>
      <c r="E4" s="3" t="s">
        <v>75</v>
      </c>
      <c r="F4" s="3" t="s">
        <v>162</v>
      </c>
      <c r="G4" s="3" t="s">
        <v>645</v>
      </c>
      <c r="H4" s="3" t="s">
        <v>79</v>
      </c>
    </row>
    <row r="5" spans="1:8" x14ac:dyDescent="0.35">
      <c r="A5" s="20" t="s">
        <v>646</v>
      </c>
    </row>
    <row r="6" spans="1:8" x14ac:dyDescent="0.35">
      <c r="A6" s="24" t="s">
        <v>379</v>
      </c>
      <c r="B6" s="29">
        <v>45945</v>
      </c>
      <c r="C6" s="24" t="s">
        <v>647</v>
      </c>
      <c r="D6" s="21">
        <v>48</v>
      </c>
      <c r="E6" s="25">
        <v>1.9</v>
      </c>
      <c r="F6" s="26">
        <v>88.968421052631584</v>
      </c>
      <c r="G6" s="30">
        <f>IF(C6="sin control",'Efectos y supuestos'!$B$11,'Efectos y supuestos'!$B$9*MAX(0,D6-'Efectos y supuestos'!$B$10)/30)</f>
        <v>0</v>
      </c>
      <c r="H6" s="14">
        <f t="shared" ref="H6:H69" si="0">-G6*F6*E6</f>
        <v>0</v>
      </c>
    </row>
    <row r="7" spans="1:8" x14ac:dyDescent="0.35">
      <c r="A7" s="24" t="s">
        <v>381</v>
      </c>
      <c r="B7" s="29">
        <v>45945</v>
      </c>
      <c r="C7" s="24" t="s">
        <v>647</v>
      </c>
      <c r="D7" s="21">
        <v>51</v>
      </c>
      <c r="E7" s="25">
        <v>3.77</v>
      </c>
      <c r="F7" s="26">
        <v>90</v>
      </c>
      <c r="G7" s="30">
        <f>IF(C7="sin control",'Efectos y supuestos'!$B$11,'Efectos y supuestos'!$B$9*MAX(0,D7-'Efectos y supuestos'!$B$10)/30)</f>
        <v>0</v>
      </c>
      <c r="H7" s="14">
        <f t="shared" si="0"/>
        <v>0</v>
      </c>
    </row>
    <row r="8" spans="1:8" x14ac:dyDescent="0.35">
      <c r="A8" s="24" t="s">
        <v>408</v>
      </c>
      <c r="B8" s="29">
        <v>45823</v>
      </c>
      <c r="C8" s="24" t="s">
        <v>647</v>
      </c>
      <c r="D8" s="21">
        <v>18</v>
      </c>
      <c r="E8" s="25">
        <v>14.02</v>
      </c>
      <c r="F8" s="26">
        <v>96.619115549215408</v>
      </c>
      <c r="G8" s="30">
        <f>IF(C8="sin control",'Efectos y supuestos'!$B$11,'Efectos y supuestos'!$B$9*MAX(0,D8-'Efectos y supuestos'!$B$10)/30)</f>
        <v>0</v>
      </c>
      <c r="H8" s="14">
        <f t="shared" si="0"/>
        <v>0</v>
      </c>
    </row>
    <row r="9" spans="1:8" x14ac:dyDescent="0.35">
      <c r="A9" s="24" t="s">
        <v>168</v>
      </c>
      <c r="B9" s="29">
        <v>45853</v>
      </c>
      <c r="C9" s="24" t="s">
        <v>647</v>
      </c>
      <c r="D9" s="21">
        <v>64</v>
      </c>
      <c r="E9" s="25">
        <v>6.91</v>
      </c>
      <c r="F9" s="26">
        <v>102.82344428364689</v>
      </c>
      <c r="G9" s="30">
        <f>IF(C9="sin control",'Efectos y supuestos'!$B$11,'Efectos y supuestos'!$B$9*MAX(0,D9-'Efectos y supuestos'!$B$10)/30)</f>
        <v>0</v>
      </c>
      <c r="H9" s="14">
        <f t="shared" si="0"/>
        <v>0</v>
      </c>
    </row>
    <row r="10" spans="1:8" x14ac:dyDescent="0.35">
      <c r="A10" s="24" t="s">
        <v>382</v>
      </c>
      <c r="B10" s="29">
        <v>45915</v>
      </c>
      <c r="C10" s="24" t="s">
        <v>647</v>
      </c>
      <c r="D10" s="21">
        <v>56</v>
      </c>
      <c r="E10" s="25">
        <v>2.88</v>
      </c>
      <c r="F10" s="26">
        <v>84.982638888888886</v>
      </c>
      <c r="G10" s="30">
        <f>IF(C10="sin control",'Efectos y supuestos'!$B$11,'Efectos y supuestos'!$B$9*MAX(0,D10-'Efectos y supuestos'!$B$10)/30)</f>
        <v>0</v>
      </c>
      <c r="H10" s="14">
        <f t="shared" si="0"/>
        <v>0</v>
      </c>
    </row>
    <row r="11" spans="1:8" x14ac:dyDescent="0.35">
      <c r="A11" s="24" t="s">
        <v>410</v>
      </c>
      <c r="B11" s="29">
        <v>45884</v>
      </c>
      <c r="C11" s="24" t="s">
        <v>647</v>
      </c>
      <c r="D11" s="21">
        <v>-1</v>
      </c>
      <c r="E11" s="25">
        <v>12.74</v>
      </c>
      <c r="F11" s="26">
        <v>118.89481946624799</v>
      </c>
      <c r="G11" s="30">
        <f>IF(C11="sin control",'Efectos y supuestos'!$B$11,'Efectos y supuestos'!$B$9*MAX(0,D11-'Efectos y supuestos'!$B$10)/30)</f>
        <v>0</v>
      </c>
      <c r="H11" s="14">
        <f t="shared" si="0"/>
        <v>0</v>
      </c>
    </row>
    <row r="12" spans="1:8" x14ac:dyDescent="0.35">
      <c r="A12" s="24" t="s">
        <v>383</v>
      </c>
      <c r="B12" s="29">
        <v>45915</v>
      </c>
      <c r="C12" s="24" t="s">
        <v>647</v>
      </c>
      <c r="D12" s="21">
        <v>61</v>
      </c>
      <c r="E12" s="25">
        <v>10.72</v>
      </c>
      <c r="F12" s="26">
        <v>126.9738805970149</v>
      </c>
      <c r="G12" s="30">
        <f>IF(C12="sin control",'Efectos y supuestos'!$B$11,'Efectos y supuestos'!$B$9*MAX(0,D12-'Efectos y supuestos'!$B$10)/30)</f>
        <v>0</v>
      </c>
      <c r="H12" s="14">
        <f t="shared" si="0"/>
        <v>0</v>
      </c>
    </row>
    <row r="13" spans="1:8" x14ac:dyDescent="0.35">
      <c r="A13" s="24" t="s">
        <v>384</v>
      </c>
      <c r="B13" s="29">
        <v>45915</v>
      </c>
      <c r="C13" s="24" t="s">
        <v>647</v>
      </c>
      <c r="D13" s="21">
        <v>37</v>
      </c>
      <c r="E13" s="25">
        <v>23.54</v>
      </c>
      <c r="F13" s="26">
        <v>101.4770603228547</v>
      </c>
      <c r="G13" s="30">
        <f>IF(C13="sin control",'Efectos y supuestos'!$B$11,'Efectos y supuestos'!$B$9*MAX(0,D13-'Efectos y supuestos'!$B$10)/30)</f>
        <v>0</v>
      </c>
      <c r="H13" s="14">
        <f t="shared" si="0"/>
        <v>0</v>
      </c>
    </row>
    <row r="14" spans="1:8" x14ac:dyDescent="0.35">
      <c r="A14" s="24" t="s">
        <v>172</v>
      </c>
      <c r="B14" s="29">
        <v>45823</v>
      </c>
      <c r="C14" s="24" t="s">
        <v>647</v>
      </c>
      <c r="D14" s="21">
        <v>44</v>
      </c>
      <c r="E14" s="25">
        <v>6.59</v>
      </c>
      <c r="F14" s="26">
        <v>104.40971168437029</v>
      </c>
      <c r="G14" s="30">
        <f>IF(C14="sin control",'Efectos y supuestos'!$B$11,'Efectos y supuestos'!$B$9*MAX(0,D14-'Efectos y supuestos'!$B$10)/30)</f>
        <v>0</v>
      </c>
      <c r="H14" s="14">
        <f t="shared" si="0"/>
        <v>0</v>
      </c>
    </row>
    <row r="15" spans="1:8" x14ac:dyDescent="0.35">
      <c r="A15" s="24" t="s">
        <v>173</v>
      </c>
      <c r="B15" s="29">
        <v>45703</v>
      </c>
      <c r="C15" s="24" t="s">
        <v>647</v>
      </c>
      <c r="D15" s="21">
        <v>74</v>
      </c>
      <c r="E15" s="25">
        <v>10.65</v>
      </c>
      <c r="F15" s="26">
        <v>155.12018779342719</v>
      </c>
      <c r="G15" s="30">
        <f>IF(C15="sin control",'Efectos y supuestos'!$B$11,'Efectos y supuestos'!$B$9*MAX(0,D15-'Efectos y supuestos'!$B$10)/30)</f>
        <v>0</v>
      </c>
      <c r="H15" s="14">
        <f t="shared" si="0"/>
        <v>0</v>
      </c>
    </row>
    <row r="16" spans="1:8" x14ac:dyDescent="0.35">
      <c r="A16" s="24" t="s">
        <v>385</v>
      </c>
      <c r="B16" s="29">
        <v>45915</v>
      </c>
      <c r="C16" s="24" t="s">
        <v>647</v>
      </c>
      <c r="D16" s="21">
        <v>38</v>
      </c>
      <c r="E16" s="25">
        <v>23.48</v>
      </c>
      <c r="F16" s="26">
        <v>145.16482112436111</v>
      </c>
      <c r="G16" s="30">
        <f>IF(C16="sin control",'Efectos y supuestos'!$B$11,'Efectos y supuestos'!$B$9*MAX(0,D16-'Efectos y supuestos'!$B$10)/30)</f>
        <v>0</v>
      </c>
      <c r="H16" s="14">
        <f t="shared" si="0"/>
        <v>0</v>
      </c>
    </row>
    <row r="17" spans="1:8" x14ac:dyDescent="0.35">
      <c r="A17" s="24" t="s">
        <v>80</v>
      </c>
      <c r="B17" s="29">
        <v>45915</v>
      </c>
      <c r="C17" s="24" t="s">
        <v>647</v>
      </c>
      <c r="D17" s="21">
        <v>46</v>
      </c>
      <c r="E17" s="25">
        <v>5.26</v>
      </c>
      <c r="F17" s="26">
        <v>130.66</v>
      </c>
      <c r="G17" s="30">
        <f>IF(C17="sin control",'Efectos y supuestos'!$B$11,'Efectos y supuestos'!$B$9*MAX(0,D17-'Efectos y supuestos'!$B$10)/30)</f>
        <v>0</v>
      </c>
      <c r="H17" s="14">
        <f t="shared" si="0"/>
        <v>0</v>
      </c>
    </row>
    <row r="18" spans="1:8" x14ac:dyDescent="0.35">
      <c r="A18" s="24" t="s">
        <v>174</v>
      </c>
      <c r="B18" s="29">
        <v>45853</v>
      </c>
      <c r="C18" s="24" t="s">
        <v>647</v>
      </c>
      <c r="D18" s="21">
        <v>44</v>
      </c>
      <c r="E18" s="25">
        <v>10.57</v>
      </c>
      <c r="F18" s="26">
        <v>107.79848628193</v>
      </c>
      <c r="G18" s="30">
        <f>IF(C18="sin control",'Efectos y supuestos'!$B$11,'Efectos y supuestos'!$B$9*MAX(0,D18-'Efectos y supuestos'!$B$10)/30)</f>
        <v>0</v>
      </c>
      <c r="H18" s="14">
        <f t="shared" si="0"/>
        <v>0</v>
      </c>
    </row>
    <row r="19" spans="1:8" x14ac:dyDescent="0.35">
      <c r="A19" s="24" t="s">
        <v>82</v>
      </c>
      <c r="B19" s="29">
        <v>45853</v>
      </c>
      <c r="C19" s="24" t="s">
        <v>647</v>
      </c>
      <c r="D19" s="21">
        <v>64</v>
      </c>
      <c r="E19" s="25">
        <v>19.25</v>
      </c>
      <c r="F19" s="26">
        <v>110.8088311688312</v>
      </c>
      <c r="G19" s="30">
        <f>IF(C19="sin control",'Efectos y supuestos'!$B$11,'Efectos y supuestos'!$B$9*MAX(0,D19-'Efectos y supuestos'!$B$10)/30)</f>
        <v>0</v>
      </c>
      <c r="H19" s="14">
        <f t="shared" si="0"/>
        <v>0</v>
      </c>
    </row>
    <row r="20" spans="1:8" x14ac:dyDescent="0.35">
      <c r="A20" s="24" t="s">
        <v>175</v>
      </c>
      <c r="B20" s="29">
        <v>45884</v>
      </c>
      <c r="C20" s="24" t="s">
        <v>647</v>
      </c>
      <c r="D20" s="21">
        <v>35</v>
      </c>
      <c r="E20" s="25">
        <v>4.43</v>
      </c>
      <c r="F20" s="26">
        <v>104.9097065462754</v>
      </c>
      <c r="G20" s="30">
        <f>IF(C20="sin control",'Efectos y supuestos'!$B$11,'Efectos y supuestos'!$B$9*MAX(0,D20-'Efectos y supuestos'!$B$10)/30)</f>
        <v>0</v>
      </c>
      <c r="H20" s="14">
        <f t="shared" si="0"/>
        <v>0</v>
      </c>
    </row>
    <row r="21" spans="1:8" x14ac:dyDescent="0.35">
      <c r="A21" s="24" t="s">
        <v>176</v>
      </c>
      <c r="B21" s="29">
        <v>45823</v>
      </c>
      <c r="C21" s="24" t="s">
        <v>647</v>
      </c>
      <c r="D21" s="21">
        <v>66</v>
      </c>
      <c r="E21" s="25">
        <v>7.97</v>
      </c>
      <c r="F21" s="26">
        <v>91.974905897114184</v>
      </c>
      <c r="G21" s="30">
        <f>IF(C21="sin control",'Efectos y supuestos'!$B$11,'Efectos y supuestos'!$B$9*MAX(0,D21-'Efectos y supuestos'!$B$10)/30)</f>
        <v>0</v>
      </c>
      <c r="H21" s="14">
        <f t="shared" si="0"/>
        <v>0</v>
      </c>
    </row>
    <row r="22" spans="1:8" x14ac:dyDescent="0.35">
      <c r="A22" s="24" t="s">
        <v>387</v>
      </c>
      <c r="B22" s="29">
        <v>45945</v>
      </c>
      <c r="C22" s="24" t="s">
        <v>647</v>
      </c>
      <c r="D22" s="21">
        <v>43</v>
      </c>
      <c r="E22" s="25">
        <v>14.45</v>
      </c>
      <c r="F22" s="26">
        <v>108.16</v>
      </c>
      <c r="G22" s="30">
        <f>IF(C22="sin control",'Efectos y supuestos'!$B$11,'Efectos y supuestos'!$B$9*MAX(0,D22-'Efectos y supuestos'!$B$10)/30)</f>
        <v>0</v>
      </c>
      <c r="H22" s="14">
        <f t="shared" si="0"/>
        <v>0</v>
      </c>
    </row>
    <row r="23" spans="1:8" x14ac:dyDescent="0.35">
      <c r="A23" s="24" t="s">
        <v>388</v>
      </c>
      <c r="B23" s="29">
        <v>45915</v>
      </c>
      <c r="C23" s="24" t="s">
        <v>647</v>
      </c>
      <c r="D23" s="21">
        <v>49</v>
      </c>
      <c r="E23" s="25">
        <v>14.8</v>
      </c>
      <c r="F23" s="26">
        <v>110.6175675675676</v>
      </c>
      <c r="G23" s="30">
        <f>IF(C23="sin control",'Efectos y supuestos'!$B$11,'Efectos y supuestos'!$B$9*MAX(0,D23-'Efectos y supuestos'!$B$10)/30)</f>
        <v>0</v>
      </c>
      <c r="H23" s="14">
        <f t="shared" si="0"/>
        <v>0</v>
      </c>
    </row>
    <row r="24" spans="1:8" x14ac:dyDescent="0.35">
      <c r="A24" s="24" t="s">
        <v>177</v>
      </c>
      <c r="B24" s="29">
        <v>45762</v>
      </c>
      <c r="C24" s="24" t="s">
        <v>647</v>
      </c>
      <c r="D24" s="21">
        <v>74</v>
      </c>
      <c r="E24" s="25">
        <v>5.56</v>
      </c>
      <c r="F24" s="26">
        <v>139.73741007194249</v>
      </c>
      <c r="G24" s="30">
        <f>IF(C24="sin control",'Efectos y supuestos'!$B$11,'Efectos y supuestos'!$B$9*MAX(0,D24-'Efectos y supuestos'!$B$10)/30)</f>
        <v>0</v>
      </c>
      <c r="H24" s="14">
        <f t="shared" si="0"/>
        <v>0</v>
      </c>
    </row>
    <row r="25" spans="1:8" x14ac:dyDescent="0.35">
      <c r="A25" s="24" t="s">
        <v>411</v>
      </c>
      <c r="B25" s="29">
        <v>45641</v>
      </c>
      <c r="C25" s="24" t="s">
        <v>648</v>
      </c>
      <c r="D25" s="21">
        <v>98</v>
      </c>
      <c r="E25" s="25">
        <v>10.36</v>
      </c>
      <c r="F25" s="26">
        <v>113.4855212355212</v>
      </c>
      <c r="G25" s="30">
        <f>IF(C25="sin control",'Efectos y supuestos'!$B$11,'Efectos y supuestos'!$B$9*MAX(0,D25-'Efectos y supuestos'!$B$10)/30)</f>
        <v>-3.8933333333333333E-3</v>
      </c>
      <c r="H25" s="14">
        <f t="shared" si="0"/>
        <v>4.5774309333333321</v>
      </c>
    </row>
    <row r="26" spans="1:8" x14ac:dyDescent="0.35">
      <c r="A26" s="24" t="s">
        <v>179</v>
      </c>
      <c r="B26" s="29">
        <v>45853</v>
      </c>
      <c r="C26" s="24" t="s">
        <v>647</v>
      </c>
      <c r="D26" s="21">
        <v>64</v>
      </c>
      <c r="E26" s="25">
        <v>5.18</v>
      </c>
      <c r="F26" s="26">
        <v>76.181467181467184</v>
      </c>
      <c r="G26" s="30">
        <f>IF(C26="sin control",'Efectos y supuestos'!$B$11,'Efectos y supuestos'!$B$9*MAX(0,D26-'Efectos y supuestos'!$B$10)/30)</f>
        <v>0</v>
      </c>
      <c r="H26" s="14">
        <f t="shared" si="0"/>
        <v>0</v>
      </c>
    </row>
    <row r="27" spans="1:8" x14ac:dyDescent="0.35">
      <c r="A27" s="24" t="s">
        <v>180</v>
      </c>
      <c r="B27" s="29">
        <v>45762</v>
      </c>
      <c r="C27" s="24" t="s">
        <v>647</v>
      </c>
      <c r="D27" s="21">
        <v>74</v>
      </c>
      <c r="E27" s="25">
        <v>9.1999999999999993</v>
      </c>
      <c r="F27" s="26">
        <v>113.3902173913044</v>
      </c>
      <c r="G27" s="30">
        <f>IF(C27="sin control",'Efectos y supuestos'!$B$11,'Efectos y supuestos'!$B$9*MAX(0,D27-'Efectos y supuestos'!$B$10)/30)</f>
        <v>0</v>
      </c>
      <c r="H27" s="14">
        <f t="shared" si="0"/>
        <v>0</v>
      </c>
    </row>
    <row r="28" spans="1:8" x14ac:dyDescent="0.35">
      <c r="A28" s="24" t="s">
        <v>455</v>
      </c>
      <c r="B28" s="29">
        <v>45641</v>
      </c>
      <c r="C28" s="24" t="s">
        <v>648</v>
      </c>
      <c r="D28" s="21">
        <v>98</v>
      </c>
      <c r="E28" s="25">
        <v>9.32</v>
      </c>
      <c r="F28" s="26">
        <v>104.6416309012876</v>
      </c>
      <c r="G28" s="30">
        <f>IF(C28="sin control",'Efectos y supuestos'!$B$11,'Efectos y supuestos'!$B$9*MAX(0,D28-'Efectos y supuestos'!$B$10)/30)</f>
        <v>-3.8933333333333333E-3</v>
      </c>
      <c r="H28" s="14">
        <f t="shared" si="0"/>
        <v>3.7970122666666679</v>
      </c>
    </row>
    <row r="29" spans="1:8" x14ac:dyDescent="0.35">
      <c r="A29" s="24" t="s">
        <v>457</v>
      </c>
      <c r="B29" s="29">
        <v>45703</v>
      </c>
      <c r="C29" s="24" t="s">
        <v>647</v>
      </c>
      <c r="D29" s="21">
        <v>101</v>
      </c>
      <c r="E29" s="25">
        <v>5.52</v>
      </c>
      <c r="F29" s="26">
        <v>123.0634057971015</v>
      </c>
      <c r="G29" s="30">
        <f>IF(C29="sin control",'Efectos y supuestos'!$B$11,'Efectos y supuestos'!$B$9*MAX(0,D29-'Efectos y supuestos'!$B$10)/30)</f>
        <v>-5.3533333333333332E-3</v>
      </c>
      <c r="H29" s="14">
        <f t="shared" si="0"/>
        <v>3.6365728666666679</v>
      </c>
    </row>
    <row r="30" spans="1:8" x14ac:dyDescent="0.35">
      <c r="A30" s="24" t="s">
        <v>181</v>
      </c>
      <c r="B30" s="29">
        <v>45884</v>
      </c>
      <c r="C30" s="24" t="s">
        <v>647</v>
      </c>
      <c r="D30" s="21">
        <v>64</v>
      </c>
      <c r="E30" s="25">
        <v>4.6500000000000004</v>
      </c>
      <c r="F30" s="26">
        <v>87.683870967741939</v>
      </c>
      <c r="G30" s="30">
        <f>IF(C30="sin control",'Efectos y supuestos'!$B$11,'Efectos y supuestos'!$B$9*MAX(0,D30-'Efectos y supuestos'!$B$10)/30)</f>
        <v>0</v>
      </c>
      <c r="H30" s="14">
        <f t="shared" si="0"/>
        <v>0</v>
      </c>
    </row>
    <row r="31" spans="1:8" x14ac:dyDescent="0.35">
      <c r="A31" s="24" t="s">
        <v>182</v>
      </c>
      <c r="B31" s="29">
        <v>45641</v>
      </c>
      <c r="C31" s="24" t="s">
        <v>648</v>
      </c>
      <c r="D31" s="21">
        <v>45</v>
      </c>
      <c r="E31" s="25">
        <v>14.11</v>
      </c>
      <c r="F31" s="26">
        <v>117.0439404677534</v>
      </c>
      <c r="G31" s="30">
        <f>IF(C31="sin control",'Efectos y supuestos'!$B$11,'Efectos y supuestos'!$B$9*MAX(0,D31-'Efectos y supuestos'!$B$10)/30)</f>
        <v>0</v>
      </c>
      <c r="H31" s="14">
        <f t="shared" si="0"/>
        <v>0</v>
      </c>
    </row>
    <row r="32" spans="1:8" x14ac:dyDescent="0.35">
      <c r="A32" s="24" t="s">
        <v>183</v>
      </c>
      <c r="B32" s="29">
        <v>45580</v>
      </c>
      <c r="C32" s="24" t="s">
        <v>648</v>
      </c>
      <c r="D32" s="21">
        <v>45</v>
      </c>
      <c r="E32" s="25">
        <v>5.72</v>
      </c>
      <c r="F32" s="26">
        <v>116.8024475524476</v>
      </c>
      <c r="G32" s="30">
        <f>IF(C32="sin control",'Efectos y supuestos'!$B$11,'Efectos y supuestos'!$B$9*MAX(0,D32-'Efectos y supuestos'!$B$10)/30)</f>
        <v>0</v>
      </c>
      <c r="H32" s="14">
        <f t="shared" si="0"/>
        <v>0</v>
      </c>
    </row>
    <row r="33" spans="1:8" x14ac:dyDescent="0.35">
      <c r="A33" s="24" t="s">
        <v>184</v>
      </c>
      <c r="B33" s="29">
        <v>45580</v>
      </c>
      <c r="C33" s="24" t="s">
        <v>648</v>
      </c>
      <c r="D33" s="21">
        <v>45</v>
      </c>
      <c r="E33" s="25">
        <v>5.51</v>
      </c>
      <c r="F33" s="26">
        <v>88.235934664246827</v>
      </c>
      <c r="G33" s="30">
        <f>IF(C33="sin control",'Efectos y supuestos'!$B$11,'Efectos y supuestos'!$B$9*MAX(0,D33-'Efectos y supuestos'!$B$10)/30)</f>
        <v>0</v>
      </c>
      <c r="H33" s="14">
        <f t="shared" si="0"/>
        <v>0</v>
      </c>
    </row>
    <row r="34" spans="1:8" x14ac:dyDescent="0.35">
      <c r="A34" s="24" t="s">
        <v>185</v>
      </c>
      <c r="B34" s="29">
        <v>45580</v>
      </c>
      <c r="C34" s="24" t="s">
        <v>648</v>
      </c>
      <c r="D34" s="21">
        <v>45</v>
      </c>
      <c r="E34" s="25">
        <v>5.81</v>
      </c>
      <c r="F34" s="26">
        <v>104.4130808950086</v>
      </c>
      <c r="G34" s="30">
        <f>IF(C34="sin control",'Efectos y supuestos'!$B$11,'Efectos y supuestos'!$B$9*MAX(0,D34-'Efectos y supuestos'!$B$10)/30)</f>
        <v>0</v>
      </c>
      <c r="H34" s="14">
        <f t="shared" si="0"/>
        <v>0</v>
      </c>
    </row>
    <row r="35" spans="1:8" x14ac:dyDescent="0.35">
      <c r="A35" s="24" t="s">
        <v>186</v>
      </c>
      <c r="B35" s="29">
        <v>45519</v>
      </c>
      <c r="C35" s="24" t="s">
        <v>648</v>
      </c>
      <c r="D35" s="21">
        <v>85</v>
      </c>
      <c r="E35" s="25">
        <v>20.170000000000002</v>
      </c>
      <c r="F35" s="26">
        <v>140.50470996529501</v>
      </c>
      <c r="G35" s="30">
        <f>IF(C35="sin control",'Efectos y supuestos'!$B$11,'Efectos y supuestos'!$B$9*MAX(0,D35-'Efectos y supuestos'!$B$10)/30)</f>
        <v>0</v>
      </c>
      <c r="H35" s="14">
        <f t="shared" si="0"/>
        <v>0</v>
      </c>
    </row>
    <row r="36" spans="1:8" x14ac:dyDescent="0.35">
      <c r="A36" s="24" t="s">
        <v>83</v>
      </c>
      <c r="B36" s="29">
        <v>45884</v>
      </c>
      <c r="C36" s="24" t="s">
        <v>647</v>
      </c>
      <c r="D36" s="21">
        <v>64</v>
      </c>
      <c r="E36" s="25">
        <v>14.42</v>
      </c>
      <c r="F36" s="26">
        <v>110.0894590846047</v>
      </c>
      <c r="G36" s="30">
        <f>IF(C36="sin control",'Efectos y supuestos'!$B$11,'Efectos y supuestos'!$B$9*MAX(0,D36-'Efectos y supuestos'!$B$10)/30)</f>
        <v>0</v>
      </c>
      <c r="H36" s="14">
        <f t="shared" si="0"/>
        <v>0</v>
      </c>
    </row>
    <row r="37" spans="1:8" x14ac:dyDescent="0.35">
      <c r="A37" s="24" t="s">
        <v>84</v>
      </c>
      <c r="B37" s="29">
        <v>45884</v>
      </c>
      <c r="C37" s="24" t="s">
        <v>647</v>
      </c>
      <c r="D37" s="21">
        <v>64</v>
      </c>
      <c r="E37" s="25">
        <v>3.72</v>
      </c>
      <c r="F37" s="26">
        <v>102.760752688172</v>
      </c>
      <c r="G37" s="30">
        <f>IF(C37="sin control",'Efectos y supuestos'!$B$11,'Efectos y supuestos'!$B$9*MAX(0,D37-'Efectos y supuestos'!$B$10)/30)</f>
        <v>0</v>
      </c>
      <c r="H37" s="14">
        <f t="shared" si="0"/>
        <v>0</v>
      </c>
    </row>
    <row r="38" spans="1:8" x14ac:dyDescent="0.35">
      <c r="A38" s="24" t="s">
        <v>187</v>
      </c>
      <c r="B38" s="29">
        <v>45853</v>
      </c>
      <c r="C38" s="24" t="s">
        <v>647</v>
      </c>
      <c r="D38" s="21">
        <v>73</v>
      </c>
      <c r="E38" s="25">
        <v>8.9700000000000006</v>
      </c>
      <c r="F38" s="26">
        <v>94.265328874024519</v>
      </c>
      <c r="G38" s="30">
        <f>IF(C38="sin control",'Efectos y supuestos'!$B$11,'Efectos y supuestos'!$B$9*MAX(0,D38-'Efectos y supuestos'!$B$10)/30)</f>
        <v>0</v>
      </c>
      <c r="H38" s="14">
        <f t="shared" si="0"/>
        <v>0</v>
      </c>
    </row>
    <row r="39" spans="1:8" x14ac:dyDescent="0.35">
      <c r="A39" s="24" t="s">
        <v>85</v>
      </c>
      <c r="B39" s="29">
        <v>45580</v>
      </c>
      <c r="C39" s="24" t="s">
        <v>648</v>
      </c>
      <c r="D39" s="21">
        <v>62</v>
      </c>
      <c r="E39" s="25">
        <v>8.94</v>
      </c>
      <c r="F39" s="26">
        <v>119.3255033557047</v>
      </c>
      <c r="G39" s="30">
        <f>IF(C39="sin control",'Efectos y supuestos'!$B$11,'Efectos y supuestos'!$B$9*MAX(0,D39-'Efectos y supuestos'!$B$10)/30)</f>
        <v>0</v>
      </c>
      <c r="H39" s="14">
        <f t="shared" si="0"/>
        <v>0</v>
      </c>
    </row>
    <row r="40" spans="1:8" x14ac:dyDescent="0.35">
      <c r="A40" s="24" t="s">
        <v>389</v>
      </c>
      <c r="B40" s="29">
        <v>45884</v>
      </c>
      <c r="C40" s="24" t="s">
        <v>647</v>
      </c>
      <c r="D40" s="21">
        <v>91</v>
      </c>
      <c r="E40" s="25">
        <v>3.58</v>
      </c>
      <c r="F40" s="26">
        <v>102.25698324022351</v>
      </c>
      <c r="G40" s="30">
        <f>IF(C40="sin control",'Efectos y supuestos'!$B$11,'Efectos y supuestos'!$B$9*MAX(0,D40-'Efectos y supuestos'!$B$10)/30)</f>
        <v>-4.8666666666666666E-4</v>
      </c>
      <c r="H40" s="14">
        <f t="shared" si="0"/>
        <v>0.17815893333333341</v>
      </c>
    </row>
    <row r="41" spans="1:8" x14ac:dyDescent="0.35">
      <c r="A41" s="24" t="s">
        <v>188</v>
      </c>
      <c r="B41" s="29">
        <v>45731</v>
      </c>
      <c r="C41" s="24" t="s">
        <v>647</v>
      </c>
      <c r="D41" s="21">
        <v>13</v>
      </c>
      <c r="E41" s="25">
        <v>1.64</v>
      </c>
      <c r="F41" s="26">
        <v>118.5487804878049</v>
      </c>
      <c r="G41" s="30">
        <f>IF(C41="sin control",'Efectos y supuestos'!$B$11,'Efectos y supuestos'!$B$9*MAX(0,D41-'Efectos y supuestos'!$B$10)/30)</f>
        <v>0</v>
      </c>
      <c r="H41" s="14">
        <f t="shared" si="0"/>
        <v>0</v>
      </c>
    </row>
    <row r="42" spans="1:8" x14ac:dyDescent="0.35">
      <c r="A42" s="24" t="s">
        <v>189</v>
      </c>
      <c r="B42" s="29">
        <v>45762</v>
      </c>
      <c r="C42" s="24" t="s">
        <v>647</v>
      </c>
      <c r="D42" s="21">
        <v>30</v>
      </c>
      <c r="E42" s="25">
        <v>8.9700000000000006</v>
      </c>
      <c r="F42" s="26">
        <v>88.994425863991069</v>
      </c>
      <c r="G42" s="30">
        <f>IF(C42="sin control",'Efectos y supuestos'!$B$11,'Efectos y supuestos'!$B$9*MAX(0,D42-'Efectos y supuestos'!$B$10)/30)</f>
        <v>0</v>
      </c>
      <c r="H42" s="14">
        <f t="shared" si="0"/>
        <v>0</v>
      </c>
    </row>
    <row r="43" spans="1:8" x14ac:dyDescent="0.35">
      <c r="A43" s="24" t="s">
        <v>190</v>
      </c>
      <c r="B43" s="29">
        <v>45884</v>
      </c>
      <c r="C43" s="24" t="s">
        <v>647</v>
      </c>
      <c r="D43" s="21">
        <v>103</v>
      </c>
      <c r="E43" s="25">
        <v>7.29</v>
      </c>
      <c r="F43" s="26">
        <v>144.80658436213989</v>
      </c>
      <c r="G43" s="30">
        <f>IF(C43="sin control",'Efectos y supuestos'!$B$11,'Efectos y supuestos'!$B$9*MAX(0,D43-'Efectos y supuestos'!$B$10)/30)</f>
        <v>-6.3266666666666662E-3</v>
      </c>
      <c r="H43" s="14">
        <f t="shared" si="0"/>
        <v>6.6786823999999987</v>
      </c>
    </row>
    <row r="44" spans="1:8" x14ac:dyDescent="0.35">
      <c r="A44" s="24" t="s">
        <v>191</v>
      </c>
      <c r="B44" s="29">
        <v>45519</v>
      </c>
      <c r="C44" s="24" t="s">
        <v>648</v>
      </c>
      <c r="D44" s="21">
        <v>70</v>
      </c>
      <c r="E44" s="25">
        <v>6.74</v>
      </c>
      <c r="F44" s="26">
        <v>100.14836795252219</v>
      </c>
      <c r="G44" s="30">
        <f>IF(C44="sin control",'Efectos y supuestos'!$B$11,'Efectos y supuestos'!$B$9*MAX(0,D44-'Efectos y supuestos'!$B$10)/30)</f>
        <v>0</v>
      </c>
      <c r="H44" s="14">
        <f t="shared" si="0"/>
        <v>0</v>
      </c>
    </row>
    <row r="45" spans="1:8" x14ac:dyDescent="0.35">
      <c r="A45" s="24" t="s">
        <v>192</v>
      </c>
      <c r="B45" s="29">
        <v>45884</v>
      </c>
      <c r="C45" s="24" t="s">
        <v>647</v>
      </c>
      <c r="D45" s="21">
        <v>85</v>
      </c>
      <c r="E45" s="25">
        <v>5.74</v>
      </c>
      <c r="F45" s="26">
        <v>95.395470383275267</v>
      </c>
      <c r="G45" s="30">
        <f>IF(C45="sin control",'Efectos y supuestos'!$B$11,'Efectos y supuestos'!$B$9*MAX(0,D45-'Efectos y supuestos'!$B$10)/30)</f>
        <v>0</v>
      </c>
      <c r="H45" s="14">
        <f t="shared" si="0"/>
        <v>0</v>
      </c>
    </row>
    <row r="46" spans="1:8" x14ac:dyDescent="0.35">
      <c r="A46" s="24" t="s">
        <v>193</v>
      </c>
      <c r="B46" s="29">
        <v>45884</v>
      </c>
      <c r="C46" s="24" t="s">
        <v>647</v>
      </c>
      <c r="D46" s="21">
        <v>85</v>
      </c>
      <c r="E46" s="25">
        <v>6.73</v>
      </c>
      <c r="F46" s="26">
        <v>95.884101040118864</v>
      </c>
      <c r="G46" s="30">
        <f>IF(C46="sin control",'Efectos y supuestos'!$B$11,'Efectos y supuestos'!$B$9*MAX(0,D46-'Efectos y supuestos'!$B$10)/30)</f>
        <v>0</v>
      </c>
      <c r="H46" s="14">
        <f t="shared" si="0"/>
        <v>0</v>
      </c>
    </row>
    <row r="47" spans="1:8" x14ac:dyDescent="0.35">
      <c r="A47" s="24" t="s">
        <v>194</v>
      </c>
      <c r="B47" s="29">
        <v>45823</v>
      </c>
      <c r="C47" s="24" t="s">
        <v>647</v>
      </c>
      <c r="D47" s="21">
        <v>78</v>
      </c>
      <c r="E47" s="25">
        <v>7.92</v>
      </c>
      <c r="F47" s="26">
        <v>104.29671717171721</v>
      </c>
      <c r="G47" s="30">
        <f>IF(C47="sin control",'Efectos y supuestos'!$B$11,'Efectos y supuestos'!$B$9*MAX(0,D47-'Efectos y supuestos'!$B$10)/30)</f>
        <v>0</v>
      </c>
      <c r="H47" s="14">
        <f t="shared" si="0"/>
        <v>0</v>
      </c>
    </row>
    <row r="48" spans="1:8" x14ac:dyDescent="0.35">
      <c r="A48" s="24" t="s">
        <v>195</v>
      </c>
      <c r="B48" s="29">
        <v>45853</v>
      </c>
      <c r="C48" s="24" t="s">
        <v>647</v>
      </c>
      <c r="D48" s="21">
        <v>86</v>
      </c>
      <c r="E48" s="25">
        <v>7.72</v>
      </c>
      <c r="F48" s="26">
        <v>99.549222797927456</v>
      </c>
      <c r="G48" s="30">
        <f>IF(C48="sin control",'Efectos y supuestos'!$B$11,'Efectos y supuestos'!$B$9*MAX(0,D48-'Efectos y supuestos'!$B$10)/30)</f>
        <v>0</v>
      </c>
      <c r="H48" s="14">
        <f t="shared" si="0"/>
        <v>0</v>
      </c>
    </row>
    <row r="49" spans="1:8" x14ac:dyDescent="0.35">
      <c r="A49" s="24" t="s">
        <v>196</v>
      </c>
      <c r="B49" s="29">
        <v>45762</v>
      </c>
      <c r="C49" s="24" t="s">
        <v>647</v>
      </c>
      <c r="D49" s="21">
        <v>74</v>
      </c>
      <c r="E49" s="25">
        <v>8.07</v>
      </c>
      <c r="F49" s="26">
        <v>108.9752168525403</v>
      </c>
      <c r="G49" s="30">
        <f>IF(C49="sin control",'Efectos y supuestos'!$B$11,'Efectos y supuestos'!$B$9*MAX(0,D49-'Efectos y supuestos'!$B$10)/30)</f>
        <v>0</v>
      </c>
      <c r="H49" s="14">
        <f t="shared" si="0"/>
        <v>0</v>
      </c>
    </row>
    <row r="50" spans="1:8" x14ac:dyDescent="0.35">
      <c r="A50" s="24" t="s">
        <v>86</v>
      </c>
      <c r="B50" s="29">
        <v>45884</v>
      </c>
      <c r="C50" s="24" t="s">
        <v>647</v>
      </c>
      <c r="D50" s="21">
        <v>63</v>
      </c>
      <c r="E50" s="25">
        <v>8.41</v>
      </c>
      <c r="F50" s="26">
        <v>100.99167657550539</v>
      </c>
      <c r="G50" s="30">
        <f>IF(C50="sin control",'Efectos y supuestos'!$B$11,'Efectos y supuestos'!$B$9*MAX(0,D50-'Efectos y supuestos'!$B$10)/30)</f>
        <v>0</v>
      </c>
      <c r="H50" s="14">
        <f t="shared" si="0"/>
        <v>0</v>
      </c>
    </row>
    <row r="51" spans="1:8" x14ac:dyDescent="0.35">
      <c r="A51" s="24" t="s">
        <v>593</v>
      </c>
      <c r="B51" s="29">
        <v>45853</v>
      </c>
      <c r="C51" s="24" t="s">
        <v>647</v>
      </c>
      <c r="D51" s="21">
        <v>85</v>
      </c>
      <c r="E51" s="25">
        <v>10.36</v>
      </c>
      <c r="F51" s="26">
        <v>130.8137065637066</v>
      </c>
      <c r="G51" s="30">
        <f>IF(C51="sin control",'Efectos y supuestos'!$B$11,'Efectos y supuestos'!$B$9*MAX(0,D51-'Efectos y supuestos'!$B$10)/30)</f>
        <v>0</v>
      </c>
      <c r="H51" s="14">
        <f t="shared" si="0"/>
        <v>0</v>
      </c>
    </row>
    <row r="52" spans="1:8" x14ac:dyDescent="0.35">
      <c r="A52" s="24" t="s">
        <v>197</v>
      </c>
      <c r="B52" s="29">
        <v>45823</v>
      </c>
      <c r="C52" s="24" t="s">
        <v>647</v>
      </c>
      <c r="D52" s="21">
        <v>78</v>
      </c>
      <c r="E52" s="25">
        <v>10.74</v>
      </c>
      <c r="F52" s="26">
        <v>119.4869646182495</v>
      </c>
      <c r="G52" s="30">
        <f>IF(C52="sin control",'Efectos y supuestos'!$B$11,'Efectos y supuestos'!$B$9*MAX(0,D52-'Efectos y supuestos'!$B$10)/30)</f>
        <v>0</v>
      </c>
      <c r="H52" s="14">
        <f t="shared" si="0"/>
        <v>0</v>
      </c>
    </row>
    <row r="53" spans="1:8" x14ac:dyDescent="0.35">
      <c r="A53" s="24" t="s">
        <v>489</v>
      </c>
      <c r="B53" s="29">
        <v>45853</v>
      </c>
      <c r="C53" s="24" t="s">
        <v>647</v>
      </c>
      <c r="D53" s="21">
        <v>85</v>
      </c>
      <c r="E53" s="25">
        <v>9.02</v>
      </c>
      <c r="F53" s="26">
        <v>98.574279379157431</v>
      </c>
      <c r="G53" s="30">
        <f>IF(C53="sin control",'Efectos y supuestos'!$B$11,'Efectos y supuestos'!$B$9*MAX(0,D53-'Efectos y supuestos'!$B$10)/30)</f>
        <v>0</v>
      </c>
      <c r="H53" s="14">
        <f t="shared" si="0"/>
        <v>0</v>
      </c>
    </row>
    <row r="54" spans="1:8" x14ac:dyDescent="0.35">
      <c r="A54" s="24" t="s">
        <v>490</v>
      </c>
      <c r="B54" s="29">
        <v>45853</v>
      </c>
      <c r="C54" s="24" t="s">
        <v>647</v>
      </c>
      <c r="D54" s="21">
        <v>84</v>
      </c>
      <c r="E54" s="25">
        <v>8.2799999999999994</v>
      </c>
      <c r="F54" s="26">
        <v>100.01690821256039</v>
      </c>
      <c r="G54" s="30">
        <f>IF(C54="sin control",'Efectos y supuestos'!$B$11,'Efectos y supuestos'!$B$9*MAX(0,D54-'Efectos y supuestos'!$B$10)/30)</f>
        <v>0</v>
      </c>
      <c r="H54" s="14">
        <f t="shared" si="0"/>
        <v>0</v>
      </c>
    </row>
    <row r="55" spans="1:8" x14ac:dyDescent="0.35">
      <c r="A55" s="24" t="s">
        <v>491</v>
      </c>
      <c r="B55" s="29">
        <v>45853</v>
      </c>
      <c r="C55" s="24" t="s">
        <v>647</v>
      </c>
      <c r="D55" s="21">
        <v>84</v>
      </c>
      <c r="E55" s="25">
        <v>7.97</v>
      </c>
      <c r="F55" s="26">
        <v>93.422835633626107</v>
      </c>
      <c r="G55" s="30">
        <f>IF(C55="sin control",'Efectos y supuestos'!$B$11,'Efectos y supuestos'!$B$9*MAX(0,D55-'Efectos y supuestos'!$B$10)/30)</f>
        <v>0</v>
      </c>
      <c r="H55" s="14">
        <f t="shared" si="0"/>
        <v>0</v>
      </c>
    </row>
    <row r="56" spans="1:8" x14ac:dyDescent="0.35">
      <c r="A56" s="24" t="s">
        <v>198</v>
      </c>
      <c r="B56" s="29">
        <v>45884</v>
      </c>
      <c r="C56" s="24" t="s">
        <v>647</v>
      </c>
      <c r="D56" s="21">
        <v>91</v>
      </c>
      <c r="E56" s="25">
        <v>7.57</v>
      </c>
      <c r="F56" s="26">
        <v>99.974900924702766</v>
      </c>
      <c r="G56" s="30">
        <f>IF(C56="sin control",'Efectos y supuestos'!$B$11,'Efectos y supuestos'!$B$9*MAX(0,D56-'Efectos y supuestos'!$B$10)/30)</f>
        <v>-4.8666666666666666E-4</v>
      </c>
      <c r="H56" s="14">
        <f t="shared" si="0"/>
        <v>0.36831419999999998</v>
      </c>
    </row>
    <row r="57" spans="1:8" x14ac:dyDescent="0.35">
      <c r="A57" s="24" t="s">
        <v>199</v>
      </c>
      <c r="B57" s="29">
        <v>45853</v>
      </c>
      <c r="C57" s="24" t="s">
        <v>647</v>
      </c>
      <c r="D57" s="21">
        <v>86</v>
      </c>
      <c r="E57" s="25">
        <v>11.44</v>
      </c>
      <c r="F57" s="26">
        <v>105.88548951048951</v>
      </c>
      <c r="G57" s="30">
        <f>IF(C57="sin control",'Efectos y supuestos'!$B$11,'Efectos y supuestos'!$B$9*MAX(0,D57-'Efectos y supuestos'!$B$10)/30)</f>
        <v>0</v>
      </c>
      <c r="H57" s="14">
        <f t="shared" si="0"/>
        <v>0</v>
      </c>
    </row>
    <row r="58" spans="1:8" x14ac:dyDescent="0.35">
      <c r="A58" s="24" t="s">
        <v>87</v>
      </c>
      <c r="B58" s="29">
        <v>45823</v>
      </c>
      <c r="C58" s="24" t="s">
        <v>647</v>
      </c>
      <c r="D58" s="21">
        <v>79</v>
      </c>
      <c r="E58" s="25">
        <v>10.18</v>
      </c>
      <c r="F58" s="26">
        <v>94.231827111984288</v>
      </c>
      <c r="G58" s="30">
        <f>IF(C58="sin control",'Efectos y supuestos'!$B$11,'Efectos y supuestos'!$B$9*MAX(0,D58-'Efectos y supuestos'!$B$10)/30)</f>
        <v>0</v>
      </c>
      <c r="H58" s="14">
        <f t="shared" si="0"/>
        <v>0</v>
      </c>
    </row>
    <row r="59" spans="1:8" x14ac:dyDescent="0.35">
      <c r="A59" s="24" t="s">
        <v>202</v>
      </c>
      <c r="B59" s="29">
        <v>45823</v>
      </c>
      <c r="C59" s="24" t="s">
        <v>647</v>
      </c>
      <c r="D59" s="21">
        <v>88</v>
      </c>
      <c r="E59" s="25">
        <v>10.18</v>
      </c>
      <c r="F59" s="26">
        <v>85.764243614931246</v>
      </c>
      <c r="G59" s="30">
        <f>IF(C59="sin control",'Efectos y supuestos'!$B$11,'Efectos y supuestos'!$B$9*MAX(0,D59-'Efectos y supuestos'!$B$10)/30)</f>
        <v>0</v>
      </c>
      <c r="H59" s="14">
        <f t="shared" si="0"/>
        <v>0</v>
      </c>
    </row>
    <row r="60" spans="1:8" x14ac:dyDescent="0.35">
      <c r="A60" s="24" t="s">
        <v>88</v>
      </c>
      <c r="B60" s="29">
        <v>45823</v>
      </c>
      <c r="C60" s="24" t="s">
        <v>647</v>
      </c>
      <c r="D60" s="21">
        <v>74</v>
      </c>
      <c r="E60" s="25">
        <v>4.74</v>
      </c>
      <c r="F60" s="26">
        <v>99.816455696202524</v>
      </c>
      <c r="G60" s="30">
        <f>IF(C60="sin control",'Efectos y supuestos'!$B$11,'Efectos y supuestos'!$B$9*MAX(0,D60-'Efectos y supuestos'!$B$10)/30)</f>
        <v>0</v>
      </c>
      <c r="H60" s="14">
        <f t="shared" si="0"/>
        <v>0</v>
      </c>
    </row>
    <row r="61" spans="1:8" x14ac:dyDescent="0.35">
      <c r="A61" s="24" t="s">
        <v>554</v>
      </c>
      <c r="B61" s="29">
        <v>46006</v>
      </c>
      <c r="C61" s="24" t="s">
        <v>649</v>
      </c>
      <c r="D61" s="21"/>
      <c r="E61" s="25">
        <v>6.19</v>
      </c>
      <c r="F61" s="26">
        <v>166.2633279483037</v>
      </c>
      <c r="G61" s="30">
        <f>IF(C61="sin control",'Efectos y supuestos'!$B$11,'Efectos y supuestos'!$B$9*MAX(0,D61-'Efectos y supuestos'!$B$10)/30)</f>
        <v>-5.2400000000000002E-2</v>
      </c>
      <c r="H61" s="14">
        <f t="shared" si="0"/>
        <v>53.928507999999994</v>
      </c>
    </row>
    <row r="62" spans="1:8" x14ac:dyDescent="0.35">
      <c r="A62" s="24" t="s">
        <v>89</v>
      </c>
      <c r="B62" s="29">
        <v>45550</v>
      </c>
      <c r="C62" s="24" t="s">
        <v>648</v>
      </c>
      <c r="D62" s="21">
        <v>98</v>
      </c>
      <c r="E62" s="25">
        <v>1.93</v>
      </c>
      <c r="F62" s="26">
        <v>111.2227979274611</v>
      </c>
      <c r="G62" s="30">
        <f>IF(C62="sin control",'Efectos y supuestos'!$B$11,'Efectos y supuestos'!$B$9*MAX(0,D62-'Efectos y supuestos'!$B$10)/30)</f>
        <v>-3.8933333333333333E-3</v>
      </c>
      <c r="H62" s="14">
        <f t="shared" si="0"/>
        <v>0.83574293333333294</v>
      </c>
    </row>
    <row r="63" spans="1:8" x14ac:dyDescent="0.35">
      <c r="A63" s="24" t="s">
        <v>203</v>
      </c>
      <c r="B63" s="29">
        <v>45823</v>
      </c>
      <c r="C63" s="24" t="s">
        <v>647</v>
      </c>
      <c r="D63" s="21">
        <v>80</v>
      </c>
      <c r="E63" s="25">
        <v>4.3899999999999997</v>
      </c>
      <c r="F63" s="26">
        <v>145.24145785876991</v>
      </c>
      <c r="G63" s="30">
        <f>IF(C63="sin control",'Efectos y supuestos'!$B$11,'Efectos y supuestos'!$B$9*MAX(0,D63-'Efectos y supuestos'!$B$10)/30)</f>
        <v>0</v>
      </c>
      <c r="H63" s="14">
        <f t="shared" si="0"/>
        <v>0</v>
      </c>
    </row>
    <row r="64" spans="1:8" x14ac:dyDescent="0.35">
      <c r="A64" s="24" t="s">
        <v>205</v>
      </c>
      <c r="B64" s="29">
        <v>45823</v>
      </c>
      <c r="C64" s="24" t="s">
        <v>647</v>
      </c>
      <c r="D64" s="21">
        <v>80</v>
      </c>
      <c r="E64" s="25">
        <v>6.67</v>
      </c>
      <c r="F64" s="26">
        <v>101.4392803598201</v>
      </c>
      <c r="G64" s="30">
        <f>IF(C64="sin control",'Efectos y supuestos'!$B$11,'Efectos y supuestos'!$B$9*MAX(0,D64-'Efectos y supuestos'!$B$10)/30)</f>
        <v>0</v>
      </c>
      <c r="H64" s="14">
        <f t="shared" si="0"/>
        <v>0</v>
      </c>
    </row>
    <row r="65" spans="1:8" x14ac:dyDescent="0.35">
      <c r="A65" s="24" t="s">
        <v>206</v>
      </c>
      <c r="B65" s="29">
        <v>45823</v>
      </c>
      <c r="C65" s="24" t="s">
        <v>647</v>
      </c>
      <c r="D65" s="21">
        <v>80</v>
      </c>
      <c r="E65" s="25">
        <v>2.79</v>
      </c>
      <c r="F65" s="26">
        <v>153.61290322580641</v>
      </c>
      <c r="G65" s="30">
        <f>IF(C65="sin control",'Efectos y supuestos'!$B$11,'Efectos y supuestos'!$B$9*MAX(0,D65-'Efectos y supuestos'!$B$10)/30)</f>
        <v>0</v>
      </c>
      <c r="H65" s="14">
        <f t="shared" si="0"/>
        <v>0</v>
      </c>
    </row>
    <row r="66" spans="1:8" x14ac:dyDescent="0.35">
      <c r="A66" s="24" t="s">
        <v>390</v>
      </c>
      <c r="B66" s="29">
        <v>45945</v>
      </c>
      <c r="C66" s="24" t="s">
        <v>647</v>
      </c>
      <c r="D66" s="21">
        <v>35</v>
      </c>
      <c r="E66" s="25">
        <v>13.37</v>
      </c>
      <c r="F66" s="26">
        <v>128.02000000000001</v>
      </c>
      <c r="G66" s="30">
        <f>IF(C66="sin control",'Efectos y supuestos'!$B$11,'Efectos y supuestos'!$B$9*MAX(0,D66-'Efectos y supuestos'!$B$10)/30)</f>
        <v>0</v>
      </c>
      <c r="H66" s="14">
        <f t="shared" si="0"/>
        <v>0</v>
      </c>
    </row>
    <row r="67" spans="1:8" x14ac:dyDescent="0.35">
      <c r="A67" s="24" t="s">
        <v>90</v>
      </c>
      <c r="B67" s="29">
        <v>45884</v>
      </c>
      <c r="C67" s="24" t="s">
        <v>647</v>
      </c>
      <c r="D67" s="21">
        <v>68</v>
      </c>
      <c r="E67" s="25">
        <v>7.28</v>
      </c>
      <c r="F67" s="26">
        <v>115.0398351648352</v>
      </c>
      <c r="G67" s="30">
        <f>IF(C67="sin control",'Efectos y supuestos'!$B$11,'Efectos y supuestos'!$B$9*MAX(0,D67-'Efectos y supuestos'!$B$10)/30)</f>
        <v>0</v>
      </c>
      <c r="H67" s="14">
        <f t="shared" si="0"/>
        <v>0</v>
      </c>
    </row>
    <row r="68" spans="1:8" x14ac:dyDescent="0.35">
      <c r="A68" s="24" t="s">
        <v>207</v>
      </c>
      <c r="B68" s="29">
        <v>45853</v>
      </c>
      <c r="C68" s="24" t="s">
        <v>647</v>
      </c>
      <c r="D68" s="21">
        <v>62</v>
      </c>
      <c r="E68" s="25">
        <v>4.07</v>
      </c>
      <c r="F68" s="26">
        <v>104.76904176904181</v>
      </c>
      <c r="G68" s="30">
        <f>IF(C68="sin control",'Efectos y supuestos'!$B$11,'Efectos y supuestos'!$B$9*MAX(0,D68-'Efectos y supuestos'!$B$10)/30)</f>
        <v>0</v>
      </c>
      <c r="H68" s="14">
        <f t="shared" si="0"/>
        <v>0</v>
      </c>
    </row>
    <row r="69" spans="1:8" x14ac:dyDescent="0.35">
      <c r="A69" s="24" t="s">
        <v>208</v>
      </c>
      <c r="B69" s="29">
        <v>45762</v>
      </c>
      <c r="C69" s="24" t="s">
        <v>647</v>
      </c>
      <c r="D69" s="21">
        <v>59</v>
      </c>
      <c r="E69" s="25">
        <v>18.809999999999999</v>
      </c>
      <c r="F69" s="26">
        <v>136.6092503987241</v>
      </c>
      <c r="G69" s="30">
        <f>IF(C69="sin control",'Efectos y supuestos'!$B$11,'Efectos y supuestos'!$B$9*MAX(0,D69-'Efectos y supuestos'!$B$10)/30)</f>
        <v>0</v>
      </c>
      <c r="H69" s="14">
        <f t="shared" si="0"/>
        <v>0</v>
      </c>
    </row>
    <row r="70" spans="1:8" x14ac:dyDescent="0.35">
      <c r="A70" s="24" t="s">
        <v>91</v>
      </c>
      <c r="B70" s="29">
        <v>45915</v>
      </c>
      <c r="C70" s="24" t="s">
        <v>647</v>
      </c>
      <c r="D70" s="21">
        <v>79</v>
      </c>
      <c r="E70" s="25">
        <v>14.22</v>
      </c>
      <c r="F70" s="26">
        <v>92.924050632911403</v>
      </c>
      <c r="G70" s="30">
        <f>IF(C70="sin control",'Efectos y supuestos'!$B$11,'Efectos y supuestos'!$B$9*MAX(0,D70-'Efectos y supuestos'!$B$10)/30)</f>
        <v>0</v>
      </c>
      <c r="H70" s="14">
        <f t="shared" ref="H70:H133" si="1">-G70*F70*E70</f>
        <v>0</v>
      </c>
    </row>
    <row r="71" spans="1:8" x14ac:dyDescent="0.35">
      <c r="A71" s="24" t="s">
        <v>209</v>
      </c>
      <c r="B71" s="29">
        <v>45731</v>
      </c>
      <c r="C71" s="24" t="s">
        <v>647</v>
      </c>
      <c r="D71" s="21">
        <v>59</v>
      </c>
      <c r="E71" s="25">
        <v>19.21</v>
      </c>
      <c r="F71" s="26">
        <v>127.25559604372719</v>
      </c>
      <c r="G71" s="30">
        <f>IF(C71="sin control",'Efectos y supuestos'!$B$11,'Efectos y supuestos'!$B$9*MAX(0,D71-'Efectos y supuestos'!$B$10)/30)</f>
        <v>0</v>
      </c>
      <c r="H71" s="14">
        <f t="shared" si="1"/>
        <v>0</v>
      </c>
    </row>
    <row r="72" spans="1:8" x14ac:dyDescent="0.35">
      <c r="A72" s="24" t="s">
        <v>210</v>
      </c>
      <c r="B72" s="29">
        <v>45915</v>
      </c>
      <c r="C72" s="24" t="s">
        <v>647</v>
      </c>
      <c r="D72" s="21">
        <v>130</v>
      </c>
      <c r="E72" s="25">
        <v>17.670000000000002</v>
      </c>
      <c r="F72" s="26">
        <v>92.53</v>
      </c>
      <c r="G72" s="30">
        <f>IF(C72="sin control",'Efectos y supuestos'!$B$11,'Efectos y supuestos'!$B$9*MAX(0,D72-'Efectos y supuestos'!$B$10)/30)</f>
        <v>-1.9466666666666667E-2</v>
      </c>
      <c r="H72" s="14">
        <f t="shared" si="1"/>
        <v>31.828099280000004</v>
      </c>
    </row>
    <row r="73" spans="1:8" x14ac:dyDescent="0.35">
      <c r="A73" s="24" t="s">
        <v>412</v>
      </c>
      <c r="B73" s="29">
        <v>45823</v>
      </c>
      <c r="C73" s="24" t="s">
        <v>647</v>
      </c>
      <c r="D73" s="21">
        <v>104</v>
      </c>
      <c r="E73" s="25">
        <v>11.68</v>
      </c>
      <c r="F73" s="26">
        <v>120.93065068493151</v>
      </c>
      <c r="G73" s="30">
        <f>IF(C73="sin control",'Efectos y supuestos'!$B$11,'Efectos y supuestos'!$B$9*MAX(0,D73-'Efectos y supuestos'!$B$10)/30)</f>
        <v>-6.8133333333333336E-3</v>
      </c>
      <c r="H73" s="14">
        <f t="shared" si="1"/>
        <v>9.6236289333333325</v>
      </c>
    </row>
    <row r="74" spans="1:8" x14ac:dyDescent="0.35">
      <c r="A74" s="24" t="s">
        <v>92</v>
      </c>
      <c r="B74" s="29">
        <v>45915</v>
      </c>
      <c r="C74" s="24" t="s">
        <v>649</v>
      </c>
      <c r="D74" s="21"/>
      <c r="E74" s="25">
        <v>17.11</v>
      </c>
      <c r="F74" s="26">
        <v>59.74</v>
      </c>
      <c r="G74" s="30">
        <f>IF(C74="sin control",'Efectos y supuestos'!$B$11,'Efectos y supuestos'!$B$9*MAX(0,D74-'Efectos y supuestos'!$B$10)/30)</f>
        <v>-5.2400000000000002E-2</v>
      </c>
      <c r="H74" s="14">
        <f t="shared" si="1"/>
        <v>53.56073336</v>
      </c>
    </row>
    <row r="75" spans="1:8" x14ac:dyDescent="0.35">
      <c r="A75" s="24" t="s">
        <v>413</v>
      </c>
      <c r="B75" s="29">
        <v>45853</v>
      </c>
      <c r="C75" s="24" t="s">
        <v>647</v>
      </c>
      <c r="D75" s="21">
        <v>79</v>
      </c>
      <c r="E75" s="25">
        <v>20.22</v>
      </c>
      <c r="F75" s="26">
        <v>94.486152324431259</v>
      </c>
      <c r="G75" s="30">
        <f>IF(C75="sin control",'Efectos y supuestos'!$B$11,'Efectos y supuestos'!$B$9*MAX(0,D75-'Efectos y supuestos'!$B$10)/30)</f>
        <v>0</v>
      </c>
      <c r="H75" s="14">
        <f t="shared" si="1"/>
        <v>0</v>
      </c>
    </row>
    <row r="76" spans="1:8" x14ac:dyDescent="0.35">
      <c r="A76" s="24" t="s">
        <v>211</v>
      </c>
      <c r="B76" s="29">
        <v>45884</v>
      </c>
      <c r="C76" s="24" t="s">
        <v>647</v>
      </c>
      <c r="D76" s="21">
        <v>89</v>
      </c>
      <c r="E76" s="25">
        <v>17.34</v>
      </c>
      <c r="F76" s="26">
        <v>87.566320645905421</v>
      </c>
      <c r="G76" s="30">
        <f>IF(C76="sin control",'Efectos y supuestos'!$B$11,'Efectos y supuestos'!$B$9*MAX(0,D76-'Efectos y supuestos'!$B$10)/30)</f>
        <v>0</v>
      </c>
      <c r="H76" s="14">
        <f t="shared" si="1"/>
        <v>0</v>
      </c>
    </row>
    <row r="77" spans="1:8" x14ac:dyDescent="0.35">
      <c r="A77" s="24" t="s">
        <v>212</v>
      </c>
      <c r="B77" s="29">
        <v>45611</v>
      </c>
      <c r="C77" s="24" t="s">
        <v>648</v>
      </c>
      <c r="D77" s="21">
        <v>91</v>
      </c>
      <c r="E77" s="25">
        <v>17.850000000000001</v>
      </c>
      <c r="F77" s="26">
        <v>114.63753501400561</v>
      </c>
      <c r="G77" s="30">
        <f>IF(C77="sin control",'Efectos y supuestos'!$B$11,'Efectos y supuestos'!$B$9*MAX(0,D77-'Efectos y supuestos'!$B$10)/30)</f>
        <v>-4.8666666666666666E-4</v>
      </c>
      <c r="H77" s="14">
        <f t="shared" si="1"/>
        <v>0.99585626666666682</v>
      </c>
    </row>
    <row r="78" spans="1:8" x14ac:dyDescent="0.35">
      <c r="A78" s="24" t="s">
        <v>391</v>
      </c>
      <c r="B78" s="29">
        <v>45915</v>
      </c>
      <c r="C78" s="24" t="s">
        <v>647</v>
      </c>
      <c r="D78" s="21">
        <v>59</v>
      </c>
      <c r="E78" s="25">
        <v>6.39</v>
      </c>
      <c r="F78" s="26">
        <v>107.0892018779343</v>
      </c>
      <c r="G78" s="30">
        <f>IF(C78="sin control",'Efectos y supuestos'!$B$11,'Efectos y supuestos'!$B$9*MAX(0,D78-'Efectos y supuestos'!$B$10)/30)</f>
        <v>0</v>
      </c>
      <c r="H78" s="14">
        <f t="shared" si="1"/>
        <v>0</v>
      </c>
    </row>
    <row r="79" spans="1:8" x14ac:dyDescent="0.35">
      <c r="A79" s="24" t="s">
        <v>213</v>
      </c>
      <c r="B79" s="29">
        <v>45884</v>
      </c>
      <c r="C79" s="24" t="s">
        <v>647</v>
      </c>
      <c r="D79" s="21">
        <v>55</v>
      </c>
      <c r="E79" s="25">
        <v>11.1</v>
      </c>
      <c r="F79" s="26">
        <v>94.943243243243231</v>
      </c>
      <c r="G79" s="30">
        <f>IF(C79="sin control",'Efectos y supuestos'!$B$11,'Efectos y supuestos'!$B$9*MAX(0,D79-'Efectos y supuestos'!$B$10)/30)</f>
        <v>0</v>
      </c>
      <c r="H79" s="14">
        <f t="shared" si="1"/>
        <v>0</v>
      </c>
    </row>
    <row r="80" spans="1:8" x14ac:dyDescent="0.35">
      <c r="A80" s="24" t="s">
        <v>214</v>
      </c>
      <c r="B80" s="29">
        <v>45884</v>
      </c>
      <c r="C80" s="24" t="s">
        <v>647</v>
      </c>
      <c r="D80" s="21">
        <v>75</v>
      </c>
      <c r="E80" s="25">
        <v>17.559999999999999</v>
      </c>
      <c r="F80" s="26">
        <v>97.019362186788172</v>
      </c>
      <c r="G80" s="30">
        <f>IF(C80="sin control",'Efectos y supuestos'!$B$11,'Efectos y supuestos'!$B$9*MAX(0,D80-'Efectos y supuestos'!$B$10)/30)</f>
        <v>0</v>
      </c>
      <c r="H80" s="14">
        <f t="shared" si="1"/>
        <v>0</v>
      </c>
    </row>
    <row r="81" spans="1:8" x14ac:dyDescent="0.35">
      <c r="A81" s="24" t="s">
        <v>93</v>
      </c>
      <c r="B81" s="29">
        <v>45915</v>
      </c>
      <c r="C81" s="24" t="s">
        <v>647</v>
      </c>
      <c r="D81" s="21">
        <v>112</v>
      </c>
      <c r="E81" s="25">
        <v>17.14</v>
      </c>
      <c r="F81" s="26">
        <v>108.18</v>
      </c>
      <c r="G81" s="30">
        <f>IF(C81="sin control",'Efectos y supuestos'!$B$11,'Efectos y supuestos'!$B$9*MAX(0,D81-'Efectos y supuestos'!$B$10)/30)</f>
        <v>-1.0706666666666666E-2</v>
      </c>
      <c r="H81" s="14">
        <f t="shared" si="1"/>
        <v>19.852357008000002</v>
      </c>
    </row>
    <row r="82" spans="1:8" x14ac:dyDescent="0.35">
      <c r="A82" s="24" t="s">
        <v>215</v>
      </c>
      <c r="B82" s="29">
        <v>45884</v>
      </c>
      <c r="C82" s="24" t="s">
        <v>647</v>
      </c>
      <c r="D82" s="21">
        <v>102</v>
      </c>
      <c r="E82" s="25">
        <v>5.24</v>
      </c>
      <c r="F82" s="26">
        <v>101.45610687022899</v>
      </c>
      <c r="G82" s="30">
        <f>IF(C82="sin control",'Efectos y supuestos'!$B$11,'Efectos y supuestos'!$B$9*MAX(0,D82-'Efectos y supuestos'!$B$10)/30)</f>
        <v>-5.8399999999999997E-3</v>
      </c>
      <c r="H82" s="14">
        <f t="shared" si="1"/>
        <v>3.1047191999999995</v>
      </c>
    </row>
    <row r="83" spans="1:8" x14ac:dyDescent="0.35">
      <c r="A83" s="24" t="s">
        <v>458</v>
      </c>
      <c r="B83" s="29">
        <v>45915</v>
      </c>
      <c r="C83" s="24" t="s">
        <v>648</v>
      </c>
      <c r="D83" s="21">
        <v>143</v>
      </c>
      <c r="E83" s="25">
        <v>5.23</v>
      </c>
      <c r="F83" s="26">
        <v>89.46</v>
      </c>
      <c r="G83" s="30">
        <f>IF(C83="sin control",'Efectos y supuestos'!$B$11,'Efectos y supuestos'!$B$9*MAX(0,D83-'Efectos y supuestos'!$B$10)/30)</f>
        <v>-2.5793333333333335E-2</v>
      </c>
      <c r="H83" s="14">
        <f t="shared" si="1"/>
        <v>12.068076468000001</v>
      </c>
    </row>
    <row r="84" spans="1:8" x14ac:dyDescent="0.35">
      <c r="A84" s="24" t="s">
        <v>459</v>
      </c>
      <c r="B84" s="29">
        <v>45945</v>
      </c>
      <c r="C84" s="24" t="s">
        <v>647</v>
      </c>
      <c r="D84" s="21">
        <v>83</v>
      </c>
      <c r="E84" s="25">
        <v>8.7799999999999994</v>
      </c>
      <c r="F84" s="26">
        <v>93.08</v>
      </c>
      <c r="G84" s="30">
        <f>IF(C84="sin control",'Efectos y supuestos'!$B$11,'Efectos y supuestos'!$B$9*MAX(0,D84-'Efectos y supuestos'!$B$10)/30)</f>
        <v>0</v>
      </c>
      <c r="H84" s="14">
        <f t="shared" si="1"/>
        <v>0</v>
      </c>
    </row>
    <row r="85" spans="1:8" x14ac:dyDescent="0.35">
      <c r="A85" s="24" t="s">
        <v>415</v>
      </c>
      <c r="B85" s="29">
        <v>45731</v>
      </c>
      <c r="C85" s="24" t="s">
        <v>647</v>
      </c>
      <c r="D85" s="21">
        <v>66</v>
      </c>
      <c r="E85" s="25">
        <v>3.98</v>
      </c>
      <c r="F85" s="26">
        <v>88.69095477386935</v>
      </c>
      <c r="G85" s="30">
        <f>IF(C85="sin control",'Efectos y supuestos'!$B$11,'Efectos y supuestos'!$B$9*MAX(0,D85-'Efectos y supuestos'!$B$10)/30)</f>
        <v>0</v>
      </c>
      <c r="H85" s="14">
        <f t="shared" si="1"/>
        <v>0</v>
      </c>
    </row>
    <row r="86" spans="1:8" x14ac:dyDescent="0.35">
      <c r="A86" s="24" t="s">
        <v>216</v>
      </c>
      <c r="B86" s="29">
        <v>45853</v>
      </c>
      <c r="C86" s="24" t="s">
        <v>647</v>
      </c>
      <c r="D86" s="21">
        <v>86</v>
      </c>
      <c r="E86" s="25">
        <v>17.72</v>
      </c>
      <c r="F86" s="26">
        <v>102.5423250564334</v>
      </c>
      <c r="G86" s="30">
        <f>IF(C86="sin control",'Efectos y supuestos'!$B$11,'Efectos y supuestos'!$B$9*MAX(0,D86-'Efectos y supuestos'!$B$10)/30)</f>
        <v>0</v>
      </c>
      <c r="H86" s="14">
        <f t="shared" si="1"/>
        <v>0</v>
      </c>
    </row>
    <row r="87" spans="1:8" x14ac:dyDescent="0.35">
      <c r="A87" s="24" t="s">
        <v>217</v>
      </c>
      <c r="B87" s="29">
        <v>45672</v>
      </c>
      <c r="C87" s="24" t="s">
        <v>647</v>
      </c>
      <c r="D87" s="21">
        <v>73</v>
      </c>
      <c r="E87" s="25">
        <v>17.59</v>
      </c>
      <c r="F87" s="26">
        <v>131.525298465037</v>
      </c>
      <c r="G87" s="30">
        <f>IF(C87="sin control",'Efectos y supuestos'!$B$11,'Efectos y supuestos'!$B$9*MAX(0,D87-'Efectos y supuestos'!$B$10)/30)</f>
        <v>0</v>
      </c>
      <c r="H87" s="14">
        <f t="shared" si="1"/>
        <v>0</v>
      </c>
    </row>
    <row r="88" spans="1:8" x14ac:dyDescent="0.35">
      <c r="A88" s="24" t="s">
        <v>416</v>
      </c>
      <c r="B88" s="29">
        <v>45703</v>
      </c>
      <c r="C88" s="24" t="s">
        <v>647</v>
      </c>
      <c r="D88" s="21">
        <v>86</v>
      </c>
      <c r="E88" s="25">
        <v>8.52</v>
      </c>
      <c r="F88" s="26">
        <v>111.9600938967136</v>
      </c>
      <c r="G88" s="30">
        <f>IF(C88="sin control",'Efectos y supuestos'!$B$11,'Efectos y supuestos'!$B$9*MAX(0,D88-'Efectos y supuestos'!$B$10)/30)</f>
        <v>0</v>
      </c>
      <c r="H88" s="14">
        <f t="shared" si="1"/>
        <v>0</v>
      </c>
    </row>
    <row r="89" spans="1:8" x14ac:dyDescent="0.35">
      <c r="A89" s="24" t="s">
        <v>460</v>
      </c>
      <c r="B89" s="29">
        <v>45915</v>
      </c>
      <c r="C89" s="24" t="s">
        <v>648</v>
      </c>
      <c r="D89" s="21">
        <v>143</v>
      </c>
      <c r="E89" s="25">
        <v>8.82</v>
      </c>
      <c r="F89" s="26">
        <v>98.37</v>
      </c>
      <c r="G89" s="30">
        <f>IF(C89="sin control",'Efectos y supuestos'!$B$11,'Efectos y supuestos'!$B$9*MAX(0,D89-'Efectos y supuestos'!$B$10)/30)</f>
        <v>-2.5793333333333335E-2</v>
      </c>
      <c r="H89" s="14">
        <f t="shared" si="1"/>
        <v>22.378899564000001</v>
      </c>
    </row>
    <row r="90" spans="1:8" x14ac:dyDescent="0.35">
      <c r="A90" s="24" t="s">
        <v>570</v>
      </c>
      <c r="B90" s="29">
        <v>45853</v>
      </c>
      <c r="C90" s="24" t="s">
        <v>647</v>
      </c>
      <c r="D90" s="21">
        <v>88</v>
      </c>
      <c r="E90" s="25">
        <v>9.94</v>
      </c>
      <c r="F90" s="26">
        <v>117.5261569416499</v>
      </c>
      <c r="G90" s="30">
        <f>IF(C90="sin control",'Efectos y supuestos'!$B$11,'Efectos y supuestos'!$B$9*MAX(0,D90-'Efectos y supuestos'!$B$10)/30)</f>
        <v>0</v>
      </c>
      <c r="H90" s="14">
        <f t="shared" si="1"/>
        <v>0</v>
      </c>
    </row>
    <row r="91" spans="1:8" x14ac:dyDescent="0.35">
      <c r="A91" s="24" t="s">
        <v>571</v>
      </c>
      <c r="B91" s="29">
        <v>45853</v>
      </c>
      <c r="C91" s="24" t="s">
        <v>647</v>
      </c>
      <c r="D91" s="21">
        <v>88</v>
      </c>
      <c r="E91" s="25">
        <v>1.97</v>
      </c>
      <c r="F91" s="26">
        <v>114.4619289340102</v>
      </c>
      <c r="G91" s="30">
        <f>IF(C91="sin control",'Efectos y supuestos'!$B$11,'Efectos y supuestos'!$B$9*MAX(0,D91-'Efectos y supuestos'!$B$10)/30)</f>
        <v>0</v>
      </c>
      <c r="H91" s="14">
        <f t="shared" si="1"/>
        <v>0</v>
      </c>
    </row>
    <row r="92" spans="1:8" x14ac:dyDescent="0.35">
      <c r="A92" s="24" t="s">
        <v>218</v>
      </c>
      <c r="B92" s="29">
        <v>45731</v>
      </c>
      <c r="C92" s="24" t="s">
        <v>647</v>
      </c>
      <c r="D92" s="21">
        <v>66</v>
      </c>
      <c r="E92" s="25">
        <v>7.52</v>
      </c>
      <c r="F92" s="26">
        <v>83.047872340425528</v>
      </c>
      <c r="G92" s="30">
        <f>IF(C92="sin control",'Efectos y supuestos'!$B$11,'Efectos y supuestos'!$B$9*MAX(0,D92-'Efectos y supuestos'!$B$10)/30)</f>
        <v>0</v>
      </c>
      <c r="H92" s="14">
        <f t="shared" si="1"/>
        <v>0</v>
      </c>
    </row>
    <row r="93" spans="1:8" x14ac:dyDescent="0.35">
      <c r="A93" s="24" t="s">
        <v>219</v>
      </c>
      <c r="B93" s="29">
        <v>45884</v>
      </c>
      <c r="C93" s="24" t="s">
        <v>647</v>
      </c>
      <c r="D93" s="21">
        <v>71</v>
      </c>
      <c r="E93" s="25">
        <v>5.59</v>
      </c>
      <c r="F93" s="26">
        <v>123.0983899821109</v>
      </c>
      <c r="G93" s="30">
        <f>IF(C93="sin control",'Efectos y supuestos'!$B$11,'Efectos y supuestos'!$B$9*MAX(0,D93-'Efectos y supuestos'!$B$10)/30)</f>
        <v>0</v>
      </c>
      <c r="H93" s="14">
        <f t="shared" si="1"/>
        <v>0</v>
      </c>
    </row>
    <row r="94" spans="1:8" x14ac:dyDescent="0.35">
      <c r="A94" s="24" t="s">
        <v>461</v>
      </c>
      <c r="B94" s="29">
        <v>45703</v>
      </c>
      <c r="C94" s="24" t="s">
        <v>647</v>
      </c>
      <c r="D94" s="21">
        <v>83</v>
      </c>
      <c r="E94" s="25">
        <v>5.53</v>
      </c>
      <c r="F94" s="26">
        <v>103.4900542495479</v>
      </c>
      <c r="G94" s="30">
        <f>IF(C94="sin control",'Efectos y supuestos'!$B$11,'Efectos y supuestos'!$B$9*MAX(0,D94-'Efectos y supuestos'!$B$10)/30)</f>
        <v>0</v>
      </c>
      <c r="H94" s="14">
        <f t="shared" si="1"/>
        <v>0</v>
      </c>
    </row>
    <row r="95" spans="1:8" x14ac:dyDescent="0.35">
      <c r="A95" s="24" t="s">
        <v>462</v>
      </c>
      <c r="B95" s="29">
        <v>45703</v>
      </c>
      <c r="C95" s="24" t="s">
        <v>647</v>
      </c>
      <c r="D95" s="21">
        <v>83</v>
      </c>
      <c r="E95" s="25">
        <v>5.94</v>
      </c>
      <c r="F95" s="26">
        <v>125.0740740740741</v>
      </c>
      <c r="G95" s="30">
        <f>IF(C95="sin control",'Efectos y supuestos'!$B$11,'Efectos y supuestos'!$B$9*MAX(0,D95-'Efectos y supuestos'!$B$10)/30)</f>
        <v>0</v>
      </c>
      <c r="H95" s="14">
        <f t="shared" si="1"/>
        <v>0</v>
      </c>
    </row>
    <row r="96" spans="1:8" x14ac:dyDescent="0.35">
      <c r="A96" s="24" t="s">
        <v>463</v>
      </c>
      <c r="B96" s="29">
        <v>45915</v>
      </c>
      <c r="C96" s="24" t="s">
        <v>648</v>
      </c>
      <c r="D96" s="21">
        <v>186</v>
      </c>
      <c r="E96" s="25">
        <v>6.09</v>
      </c>
      <c r="F96" s="26">
        <v>95.027914614121514</v>
      </c>
      <c r="G96" s="30">
        <f>IF(C96="sin control",'Efectos y supuestos'!$B$11,'Efectos y supuestos'!$B$9*MAX(0,D96-'Efectos y supuestos'!$B$10)/30)</f>
        <v>-4.6719999999999998E-2</v>
      </c>
      <c r="H96" s="14">
        <f t="shared" si="1"/>
        <v>27.037798399999996</v>
      </c>
    </row>
    <row r="97" spans="1:8" x14ac:dyDescent="0.35">
      <c r="A97" s="24" t="s">
        <v>417</v>
      </c>
      <c r="B97" s="29">
        <v>45731</v>
      </c>
      <c r="C97" s="24" t="s">
        <v>649</v>
      </c>
      <c r="D97" s="21"/>
      <c r="E97" s="25">
        <v>1.84</v>
      </c>
      <c r="F97" s="26">
        <v>140.53260869565219</v>
      </c>
      <c r="G97" s="30">
        <f>IF(C97="sin control",'Efectos y supuestos'!$B$11,'Efectos y supuestos'!$B$9*MAX(0,D97-'Efectos y supuestos'!$B$10)/30)</f>
        <v>-5.2400000000000002E-2</v>
      </c>
      <c r="H97" s="14">
        <f t="shared" si="1"/>
        <v>13.549592000000002</v>
      </c>
    </row>
    <row r="98" spans="1:8" x14ac:dyDescent="0.35">
      <c r="A98" s="24" t="s">
        <v>220</v>
      </c>
      <c r="B98" s="29">
        <v>45884</v>
      </c>
      <c r="C98" s="24" t="s">
        <v>647</v>
      </c>
      <c r="D98" s="21">
        <v>63</v>
      </c>
      <c r="E98" s="25">
        <v>10.82</v>
      </c>
      <c r="F98" s="26">
        <v>114.77634011090571</v>
      </c>
      <c r="G98" s="30">
        <f>IF(C98="sin control",'Efectos y supuestos'!$B$11,'Efectos y supuestos'!$B$9*MAX(0,D98-'Efectos y supuestos'!$B$10)/30)</f>
        <v>0</v>
      </c>
      <c r="H98" s="14">
        <f t="shared" si="1"/>
        <v>0</v>
      </c>
    </row>
    <row r="99" spans="1:8" x14ac:dyDescent="0.35">
      <c r="A99" s="24" t="s">
        <v>221</v>
      </c>
      <c r="B99" s="29">
        <v>45915</v>
      </c>
      <c r="C99" s="24" t="s">
        <v>647</v>
      </c>
      <c r="D99" s="21">
        <v>53</v>
      </c>
      <c r="E99" s="25">
        <v>5.03</v>
      </c>
      <c r="F99" s="26">
        <v>111.53876739562619</v>
      </c>
      <c r="G99" s="30">
        <f>IF(C99="sin control",'Efectos y supuestos'!$B$11,'Efectos y supuestos'!$B$9*MAX(0,D99-'Efectos y supuestos'!$B$10)/30)</f>
        <v>0</v>
      </c>
      <c r="H99" s="14">
        <f t="shared" si="1"/>
        <v>0</v>
      </c>
    </row>
    <row r="100" spans="1:8" x14ac:dyDescent="0.35">
      <c r="A100" s="24" t="s">
        <v>222</v>
      </c>
      <c r="B100" s="29">
        <v>45915</v>
      </c>
      <c r="C100" s="24" t="s">
        <v>647</v>
      </c>
      <c r="D100" s="21">
        <v>53</v>
      </c>
      <c r="E100" s="25">
        <v>4.25</v>
      </c>
      <c r="F100" s="26">
        <v>118.20941176470591</v>
      </c>
      <c r="G100" s="30">
        <f>IF(C100="sin control",'Efectos y supuestos'!$B$11,'Efectos y supuestos'!$B$9*MAX(0,D100-'Efectos y supuestos'!$B$10)/30)</f>
        <v>0</v>
      </c>
      <c r="H100" s="14">
        <f t="shared" si="1"/>
        <v>0</v>
      </c>
    </row>
    <row r="101" spans="1:8" x14ac:dyDescent="0.35">
      <c r="A101" s="24" t="s">
        <v>464</v>
      </c>
      <c r="B101" s="29">
        <v>45915</v>
      </c>
      <c r="C101" s="24" t="s">
        <v>648</v>
      </c>
      <c r="D101" s="21">
        <v>137</v>
      </c>
      <c r="E101" s="25">
        <v>4.6100000000000003</v>
      </c>
      <c r="F101" s="26">
        <v>93.338394793926241</v>
      </c>
      <c r="G101" s="30">
        <f>IF(C101="sin control",'Efectos y supuestos'!$B$11,'Efectos y supuestos'!$B$9*MAX(0,D101-'Efectos y supuestos'!$B$10)/30)</f>
        <v>-2.2873333333333336E-2</v>
      </c>
      <c r="H101" s="14">
        <f t="shared" si="1"/>
        <v>9.8421666000000023</v>
      </c>
    </row>
    <row r="102" spans="1:8" x14ac:dyDescent="0.35">
      <c r="A102" s="24" t="s">
        <v>223</v>
      </c>
      <c r="B102" s="29">
        <v>45703</v>
      </c>
      <c r="C102" s="24" t="s">
        <v>647</v>
      </c>
      <c r="D102" s="21">
        <v>84</v>
      </c>
      <c r="E102" s="25">
        <v>5.0199999999999996</v>
      </c>
      <c r="F102" s="26">
        <v>88.211155378486069</v>
      </c>
      <c r="G102" s="30">
        <f>IF(C102="sin control",'Efectos y supuestos'!$B$11,'Efectos y supuestos'!$B$9*MAX(0,D102-'Efectos y supuestos'!$B$10)/30)</f>
        <v>0</v>
      </c>
      <c r="H102" s="14">
        <f t="shared" si="1"/>
        <v>0</v>
      </c>
    </row>
    <row r="103" spans="1:8" x14ac:dyDescent="0.35">
      <c r="A103" s="24" t="s">
        <v>224</v>
      </c>
      <c r="B103" s="29">
        <v>45731</v>
      </c>
      <c r="C103" s="24" t="s">
        <v>647</v>
      </c>
      <c r="D103" s="21">
        <v>56</v>
      </c>
      <c r="E103" s="25">
        <v>9.73</v>
      </c>
      <c r="F103" s="26">
        <v>107.2189105858171</v>
      </c>
      <c r="G103" s="30">
        <f>IF(C103="sin control",'Efectos y supuestos'!$B$11,'Efectos y supuestos'!$B$9*MAX(0,D103-'Efectos y supuestos'!$B$10)/30)</f>
        <v>0</v>
      </c>
      <c r="H103" s="14">
        <f t="shared" si="1"/>
        <v>0</v>
      </c>
    </row>
    <row r="104" spans="1:8" x14ac:dyDescent="0.35">
      <c r="A104" s="24" t="s">
        <v>465</v>
      </c>
      <c r="B104" s="29">
        <v>45945</v>
      </c>
      <c r="C104" s="24" t="s">
        <v>648</v>
      </c>
      <c r="D104" s="21">
        <v>149</v>
      </c>
      <c r="E104" s="25">
        <v>3.3</v>
      </c>
      <c r="F104" s="26">
        <v>92.9</v>
      </c>
      <c r="G104" s="30">
        <f>IF(C104="sin control",'Efectos y supuestos'!$B$11,'Efectos y supuestos'!$B$9*MAX(0,D104-'Efectos y supuestos'!$B$10)/30)</f>
        <v>-2.8713333333333334E-2</v>
      </c>
      <c r="H104" s="14">
        <f t="shared" si="1"/>
        <v>8.8026465999999992</v>
      </c>
    </row>
    <row r="105" spans="1:8" x14ac:dyDescent="0.35">
      <c r="A105" s="24" t="s">
        <v>225</v>
      </c>
      <c r="B105" s="29">
        <v>45641</v>
      </c>
      <c r="C105" s="24" t="s">
        <v>648</v>
      </c>
      <c r="D105" s="21">
        <v>68</v>
      </c>
      <c r="E105" s="25">
        <v>11.97</v>
      </c>
      <c r="F105" s="26">
        <v>108.406015037594</v>
      </c>
      <c r="G105" s="30">
        <f>IF(C105="sin control",'Efectos y supuestos'!$B$11,'Efectos y supuestos'!$B$9*MAX(0,D105-'Efectos y supuestos'!$B$10)/30)</f>
        <v>0</v>
      </c>
      <c r="H105" s="14">
        <f t="shared" si="1"/>
        <v>0</v>
      </c>
    </row>
    <row r="106" spans="1:8" x14ac:dyDescent="0.35">
      <c r="A106" s="24" t="s">
        <v>650</v>
      </c>
      <c r="B106" s="29">
        <v>45884</v>
      </c>
      <c r="C106" s="24" t="s">
        <v>649</v>
      </c>
      <c r="D106" s="21"/>
      <c r="E106" s="25">
        <v>20.059999999999999</v>
      </c>
      <c r="F106" s="26">
        <v>114.00598205383849</v>
      </c>
      <c r="G106" s="30">
        <f>IF(C106="sin control",'Efectos y supuestos'!$B$11,'Efectos y supuestos'!$B$9*MAX(0,D106-'Efectos y supuestos'!$B$10)/30)</f>
        <v>-5.2400000000000002E-2</v>
      </c>
      <c r="H106" s="14">
        <f t="shared" si="1"/>
        <v>119.836704</v>
      </c>
    </row>
    <row r="107" spans="1:8" x14ac:dyDescent="0.35">
      <c r="A107" s="24" t="s">
        <v>651</v>
      </c>
      <c r="B107" s="29">
        <v>45672</v>
      </c>
      <c r="C107" s="24" t="s">
        <v>649</v>
      </c>
      <c r="D107" s="21"/>
      <c r="E107" s="25">
        <v>9.98</v>
      </c>
      <c r="F107" s="26">
        <v>121.82565130260519</v>
      </c>
      <c r="G107" s="30">
        <f>IF(C107="sin control",'Efectos y supuestos'!$B$11,'Efectos y supuestos'!$B$9*MAX(0,D107-'Efectos y supuestos'!$B$10)/30)</f>
        <v>-5.2400000000000002E-2</v>
      </c>
      <c r="H107" s="14">
        <f t="shared" si="1"/>
        <v>63.708967999999999</v>
      </c>
    </row>
    <row r="108" spans="1:8" x14ac:dyDescent="0.35">
      <c r="A108" s="24" t="s">
        <v>652</v>
      </c>
      <c r="B108" s="29">
        <v>45762</v>
      </c>
      <c r="C108" s="24" t="s">
        <v>649</v>
      </c>
      <c r="D108" s="21"/>
      <c r="E108" s="25">
        <v>18.87</v>
      </c>
      <c r="F108" s="26">
        <v>90.163222045574983</v>
      </c>
      <c r="G108" s="30">
        <f>IF(C108="sin control",'Efectos y supuestos'!$B$11,'Efectos y supuestos'!$B$9*MAX(0,D108-'Efectos y supuestos'!$B$10)/30)</f>
        <v>-5.2400000000000002E-2</v>
      </c>
      <c r="H108" s="14">
        <f t="shared" si="1"/>
        <v>89.152312000000009</v>
      </c>
    </row>
    <row r="109" spans="1:8" x14ac:dyDescent="0.35">
      <c r="A109" s="24" t="s">
        <v>653</v>
      </c>
      <c r="B109" s="29">
        <v>45672</v>
      </c>
      <c r="C109" s="24" t="s">
        <v>649</v>
      </c>
      <c r="D109" s="21"/>
      <c r="E109" s="25">
        <v>8.6999999999999993</v>
      </c>
      <c r="F109" s="26">
        <v>153.8275862068966</v>
      </c>
      <c r="G109" s="30">
        <f>IF(C109="sin control",'Efectos y supuestos'!$B$11,'Efectos y supuestos'!$B$9*MAX(0,D109-'Efectos y supuestos'!$B$10)/30)</f>
        <v>-5.2400000000000002E-2</v>
      </c>
      <c r="H109" s="14">
        <f t="shared" si="1"/>
        <v>70.126920000000027</v>
      </c>
    </row>
    <row r="110" spans="1:8" x14ac:dyDescent="0.35">
      <c r="A110" s="24" t="s">
        <v>654</v>
      </c>
      <c r="B110" s="29">
        <v>45672</v>
      </c>
      <c r="C110" s="24" t="s">
        <v>649</v>
      </c>
      <c r="D110" s="21"/>
      <c r="E110" s="25">
        <v>2.87</v>
      </c>
      <c r="F110" s="26">
        <v>130.9651567944251</v>
      </c>
      <c r="G110" s="30">
        <f>IF(C110="sin control",'Efectos y supuestos'!$B$11,'Efectos y supuestos'!$B$9*MAX(0,D110-'Efectos y supuestos'!$B$10)/30)</f>
        <v>-5.2400000000000002E-2</v>
      </c>
      <c r="H110" s="14">
        <f t="shared" si="1"/>
        <v>19.695588000000001</v>
      </c>
    </row>
    <row r="111" spans="1:8" x14ac:dyDescent="0.35">
      <c r="A111" s="24" t="s">
        <v>94</v>
      </c>
      <c r="B111" s="29">
        <v>45823</v>
      </c>
      <c r="C111" s="24" t="s">
        <v>649</v>
      </c>
      <c r="D111" s="21"/>
      <c r="E111" s="25">
        <v>7.52</v>
      </c>
      <c r="F111" s="26">
        <v>70.825797872340431</v>
      </c>
      <c r="G111" s="30">
        <f>IF(C111="sin control",'Efectos y supuestos'!$B$11,'Efectos y supuestos'!$B$9*MAX(0,D111-'Efectos y supuestos'!$B$10)/30)</f>
        <v>-5.2400000000000002E-2</v>
      </c>
      <c r="H111" s="14">
        <f t="shared" si="1"/>
        <v>27.908764000000001</v>
      </c>
    </row>
    <row r="112" spans="1:8" x14ac:dyDescent="0.35">
      <c r="A112" s="24" t="s">
        <v>655</v>
      </c>
      <c r="B112" s="29">
        <v>45884</v>
      </c>
      <c r="C112" s="24" t="s">
        <v>649</v>
      </c>
      <c r="D112" s="21"/>
      <c r="E112" s="25">
        <v>4.08</v>
      </c>
      <c r="F112" s="26">
        <v>109.28676470588231</v>
      </c>
      <c r="G112" s="30">
        <f>IF(C112="sin control",'Efectos y supuestos'!$B$11,'Efectos y supuestos'!$B$9*MAX(0,D112-'Efectos y supuestos'!$B$10)/30)</f>
        <v>-5.2400000000000002E-2</v>
      </c>
      <c r="H112" s="14">
        <f t="shared" si="1"/>
        <v>23.36463599999999</v>
      </c>
    </row>
    <row r="113" spans="1:8" x14ac:dyDescent="0.35">
      <c r="A113" s="24" t="s">
        <v>656</v>
      </c>
      <c r="B113" s="29">
        <v>45884</v>
      </c>
      <c r="C113" s="24" t="s">
        <v>649</v>
      </c>
      <c r="D113" s="21"/>
      <c r="E113" s="25">
        <v>1.82</v>
      </c>
      <c r="F113" s="26">
        <v>94.84615384615384</v>
      </c>
      <c r="G113" s="30">
        <f>IF(C113="sin control",'Efectos y supuestos'!$B$11,'Efectos y supuestos'!$B$9*MAX(0,D113-'Efectos y supuestos'!$B$10)/30)</f>
        <v>-5.2400000000000002E-2</v>
      </c>
      <c r="H113" s="14">
        <f t="shared" si="1"/>
        <v>9.0452880000000011</v>
      </c>
    </row>
    <row r="114" spans="1:8" x14ac:dyDescent="0.35">
      <c r="A114" s="24" t="s">
        <v>657</v>
      </c>
      <c r="B114" s="29">
        <v>45884</v>
      </c>
      <c r="C114" s="24" t="s">
        <v>649</v>
      </c>
      <c r="D114" s="21"/>
      <c r="E114" s="25">
        <v>11.12</v>
      </c>
      <c r="F114" s="26">
        <v>104.8956834532374</v>
      </c>
      <c r="G114" s="30">
        <f>IF(C114="sin control",'Efectos y supuestos'!$B$11,'Efectos y supuestos'!$B$9*MAX(0,D114-'Efectos y supuestos'!$B$10)/30)</f>
        <v>-5.2400000000000002E-2</v>
      </c>
      <c r="H114" s="14">
        <f t="shared" si="1"/>
        <v>61.121455999999988</v>
      </c>
    </row>
    <row r="115" spans="1:8" x14ac:dyDescent="0.35">
      <c r="A115" s="24" t="s">
        <v>658</v>
      </c>
      <c r="B115" s="29">
        <v>45672</v>
      </c>
      <c r="C115" s="24" t="s">
        <v>649</v>
      </c>
      <c r="D115" s="21"/>
      <c r="E115" s="25">
        <v>3.14</v>
      </c>
      <c r="F115" s="26">
        <v>126.5573248407643</v>
      </c>
      <c r="G115" s="30">
        <f>IF(C115="sin control",'Efectos y supuestos'!$B$11,'Efectos y supuestos'!$B$9*MAX(0,D115-'Efectos y supuestos'!$B$10)/30)</f>
        <v>-5.2400000000000002E-2</v>
      </c>
      <c r="H115" s="14">
        <f t="shared" si="1"/>
        <v>20.823235999999994</v>
      </c>
    </row>
    <row r="116" spans="1:8" x14ac:dyDescent="0.35">
      <c r="A116" s="24" t="s">
        <v>659</v>
      </c>
      <c r="B116" s="29">
        <v>45853</v>
      </c>
      <c r="C116" s="24" t="s">
        <v>649</v>
      </c>
      <c r="D116" s="21"/>
      <c r="E116" s="25">
        <v>9</v>
      </c>
      <c r="F116" s="26">
        <v>88.102222222222224</v>
      </c>
      <c r="G116" s="30">
        <f>IF(C116="sin control",'Efectos y supuestos'!$B$11,'Efectos y supuestos'!$B$9*MAX(0,D116-'Efectos y supuestos'!$B$10)/30)</f>
        <v>-5.2400000000000002E-2</v>
      </c>
      <c r="H116" s="14">
        <f t="shared" si="1"/>
        <v>41.549008000000001</v>
      </c>
    </row>
    <row r="117" spans="1:8" x14ac:dyDescent="0.35">
      <c r="A117" s="24" t="s">
        <v>660</v>
      </c>
      <c r="B117" s="29">
        <v>45884</v>
      </c>
      <c r="C117" s="24" t="s">
        <v>649</v>
      </c>
      <c r="D117" s="21"/>
      <c r="E117" s="25">
        <v>11.08</v>
      </c>
      <c r="F117" s="26">
        <v>93.113718411552355</v>
      </c>
      <c r="G117" s="30">
        <f>IF(C117="sin control",'Efectos y supuestos'!$B$11,'Efectos y supuestos'!$B$9*MAX(0,D117-'Efectos y supuestos'!$B$10)/30)</f>
        <v>-5.2400000000000002E-2</v>
      </c>
      <c r="H117" s="14">
        <f t="shared" si="1"/>
        <v>54.061080000000004</v>
      </c>
    </row>
    <row r="118" spans="1:8" x14ac:dyDescent="0.35">
      <c r="A118" s="24" t="s">
        <v>661</v>
      </c>
      <c r="B118" s="29">
        <v>45884</v>
      </c>
      <c r="C118" s="24" t="s">
        <v>649</v>
      </c>
      <c r="D118" s="21"/>
      <c r="E118" s="25">
        <v>17.350000000000001</v>
      </c>
      <c r="F118" s="26">
        <v>117.5752161383285</v>
      </c>
      <c r="G118" s="30">
        <f>IF(C118="sin control",'Efectos y supuestos'!$B$11,'Efectos y supuestos'!$B$9*MAX(0,D118-'Efectos y supuestos'!$B$10)/30)</f>
        <v>-5.2400000000000002E-2</v>
      </c>
      <c r="H118" s="14">
        <f t="shared" si="1"/>
        <v>106.89233199999998</v>
      </c>
    </row>
    <row r="119" spans="1:8" x14ac:dyDescent="0.35">
      <c r="A119" s="24" t="s">
        <v>662</v>
      </c>
      <c r="B119" s="29">
        <v>45884</v>
      </c>
      <c r="C119" s="24" t="s">
        <v>649</v>
      </c>
      <c r="D119" s="21"/>
      <c r="E119" s="25">
        <v>8.2799999999999994</v>
      </c>
      <c r="F119" s="26">
        <v>89.187198067632863</v>
      </c>
      <c r="G119" s="30">
        <f>IF(C119="sin control",'Efectos y supuestos'!$B$11,'Efectos y supuestos'!$B$9*MAX(0,D119-'Efectos y supuestos'!$B$10)/30)</f>
        <v>-5.2400000000000002E-2</v>
      </c>
      <c r="H119" s="14">
        <f t="shared" si="1"/>
        <v>38.695828000000006</v>
      </c>
    </row>
    <row r="120" spans="1:8" x14ac:dyDescent="0.35">
      <c r="A120" s="24" t="s">
        <v>663</v>
      </c>
      <c r="B120" s="29">
        <v>45703</v>
      </c>
      <c r="C120" s="24" t="s">
        <v>649</v>
      </c>
      <c r="D120" s="21"/>
      <c r="E120" s="25">
        <v>8.2799999999999994</v>
      </c>
      <c r="F120" s="26">
        <v>94.171497584541072</v>
      </c>
      <c r="G120" s="30">
        <f>IF(C120="sin control",'Efectos y supuestos'!$B$11,'Efectos y supuestos'!$B$9*MAX(0,D120-'Efectos y supuestos'!$B$10)/30)</f>
        <v>-5.2400000000000002E-2</v>
      </c>
      <c r="H120" s="14">
        <f t="shared" si="1"/>
        <v>40.858376000000007</v>
      </c>
    </row>
    <row r="121" spans="1:8" x14ac:dyDescent="0.35">
      <c r="A121" s="24" t="s">
        <v>96</v>
      </c>
      <c r="B121" s="29">
        <v>45884</v>
      </c>
      <c r="C121" s="24" t="s">
        <v>649</v>
      </c>
      <c r="D121" s="21"/>
      <c r="E121" s="25">
        <v>5.65</v>
      </c>
      <c r="F121" s="26">
        <v>111.0442477876106</v>
      </c>
      <c r="G121" s="30">
        <f>IF(C121="sin control",'Efectos y supuestos'!$B$11,'Efectos y supuestos'!$B$9*MAX(0,D121-'Efectos y supuestos'!$B$10)/30)</f>
        <v>-5.2400000000000002E-2</v>
      </c>
      <c r="H121" s="14">
        <f t="shared" si="1"/>
        <v>32.87576</v>
      </c>
    </row>
    <row r="122" spans="1:8" x14ac:dyDescent="0.35">
      <c r="A122" s="24" t="s">
        <v>418</v>
      </c>
      <c r="B122" s="29">
        <v>45731</v>
      </c>
      <c r="C122" s="24" t="s">
        <v>647</v>
      </c>
      <c r="D122" s="21">
        <v>94</v>
      </c>
      <c r="E122" s="25">
        <v>4.13</v>
      </c>
      <c r="F122" s="26">
        <v>72.728813559322035</v>
      </c>
      <c r="G122" s="30">
        <f>IF(C122="sin control",'Efectos y supuestos'!$B$11,'Efectos y supuestos'!$B$9*MAX(0,D122-'Efectos y supuestos'!$B$10)/30)</f>
        <v>-1.9466666666666666E-3</v>
      </c>
      <c r="H122" s="14">
        <f t="shared" si="1"/>
        <v>0.58472026666666665</v>
      </c>
    </row>
    <row r="123" spans="1:8" x14ac:dyDescent="0.35">
      <c r="A123" s="24" t="s">
        <v>595</v>
      </c>
      <c r="B123" s="29">
        <v>45853</v>
      </c>
      <c r="C123" s="24" t="s">
        <v>647</v>
      </c>
      <c r="D123" s="21">
        <v>72</v>
      </c>
      <c r="E123" s="25">
        <v>19.57</v>
      </c>
      <c r="F123" s="26">
        <v>93.795605518650987</v>
      </c>
      <c r="G123" s="30">
        <f>IF(C123="sin control",'Efectos y supuestos'!$B$11,'Efectos y supuestos'!$B$9*MAX(0,D123-'Efectos y supuestos'!$B$10)/30)</f>
        <v>0</v>
      </c>
      <c r="H123" s="14">
        <f t="shared" si="1"/>
        <v>0</v>
      </c>
    </row>
    <row r="124" spans="1:8" x14ac:dyDescent="0.35">
      <c r="A124" s="24" t="s">
        <v>419</v>
      </c>
      <c r="B124" s="29">
        <v>45641</v>
      </c>
      <c r="C124" s="24" t="s">
        <v>648</v>
      </c>
      <c r="D124" s="21">
        <v>98</v>
      </c>
      <c r="E124" s="25">
        <v>17.13</v>
      </c>
      <c r="F124" s="26">
        <v>108.83129013426741</v>
      </c>
      <c r="G124" s="30">
        <f>IF(C124="sin control",'Efectos y supuestos'!$B$11,'Efectos y supuestos'!$B$9*MAX(0,D124-'Efectos y supuestos'!$B$10)/30)</f>
        <v>-3.8933333333333333E-3</v>
      </c>
      <c r="H124" s="14">
        <f t="shared" si="1"/>
        <v>7.2582634666666692</v>
      </c>
    </row>
    <row r="125" spans="1:8" x14ac:dyDescent="0.35">
      <c r="A125" s="24" t="s">
        <v>420</v>
      </c>
      <c r="B125" s="29">
        <v>45823</v>
      </c>
      <c r="C125" s="24" t="s">
        <v>647</v>
      </c>
      <c r="D125" s="21">
        <v>76</v>
      </c>
      <c r="E125" s="25">
        <v>4</v>
      </c>
      <c r="F125" s="26">
        <v>87.27</v>
      </c>
      <c r="G125" s="30">
        <f>IF(C125="sin control",'Efectos y supuestos'!$B$11,'Efectos y supuestos'!$B$9*MAX(0,D125-'Efectos y supuestos'!$B$10)/30)</f>
        <v>0</v>
      </c>
      <c r="H125" s="14">
        <f t="shared" si="1"/>
        <v>0</v>
      </c>
    </row>
    <row r="126" spans="1:8" x14ac:dyDescent="0.35">
      <c r="A126" s="24" t="s">
        <v>236</v>
      </c>
      <c r="B126" s="29">
        <v>45611</v>
      </c>
      <c r="C126" s="24" t="s">
        <v>648</v>
      </c>
      <c r="D126" s="21">
        <v>108</v>
      </c>
      <c r="E126" s="25">
        <v>11.43</v>
      </c>
      <c r="F126" s="26">
        <v>118.0752405949256</v>
      </c>
      <c r="G126" s="30">
        <f>IF(C126="sin control",'Efectos y supuestos'!$B$11,'Efectos y supuestos'!$B$9*MAX(0,D126-'Efectos y supuestos'!$B$10)/30)</f>
        <v>-8.7599999999999987E-3</v>
      </c>
      <c r="H126" s="14">
        <f t="shared" si="1"/>
        <v>11.822495999999996</v>
      </c>
    </row>
    <row r="127" spans="1:8" x14ac:dyDescent="0.35">
      <c r="A127" s="24" t="s">
        <v>237</v>
      </c>
      <c r="B127" s="29">
        <v>45641</v>
      </c>
      <c r="C127" s="24" t="s">
        <v>648</v>
      </c>
      <c r="D127" s="21">
        <v>78</v>
      </c>
      <c r="E127" s="25">
        <v>17.64</v>
      </c>
      <c r="F127" s="26">
        <v>123.8526077097505</v>
      </c>
      <c r="G127" s="30">
        <f>IF(C127="sin control",'Efectos y supuestos'!$B$11,'Efectos y supuestos'!$B$9*MAX(0,D127-'Efectos y supuestos'!$B$10)/30)</f>
        <v>0</v>
      </c>
      <c r="H127" s="14">
        <f t="shared" si="1"/>
        <v>0</v>
      </c>
    </row>
    <row r="128" spans="1:8" x14ac:dyDescent="0.35">
      <c r="A128" s="24" t="s">
        <v>238</v>
      </c>
      <c r="B128" s="29">
        <v>45641</v>
      </c>
      <c r="C128" s="24" t="s">
        <v>648</v>
      </c>
      <c r="D128" s="21">
        <v>179</v>
      </c>
      <c r="E128" s="25">
        <v>9.6300000000000008</v>
      </c>
      <c r="F128" s="26">
        <v>113.2336448598131</v>
      </c>
      <c r="G128" s="30">
        <f>IF(C128="sin control",'Efectos y supuestos'!$B$11,'Efectos y supuestos'!$B$9*MAX(0,D128-'Efectos y supuestos'!$B$10)/30)</f>
        <v>-4.3313333333333336E-2</v>
      </c>
      <c r="H128" s="14">
        <f t="shared" si="1"/>
        <v>47.230591200000006</v>
      </c>
    </row>
    <row r="129" spans="1:8" x14ac:dyDescent="0.35">
      <c r="A129" s="24" t="s">
        <v>239</v>
      </c>
      <c r="B129" s="29">
        <v>45915</v>
      </c>
      <c r="C129" s="24" t="s">
        <v>649</v>
      </c>
      <c r="D129" s="21"/>
      <c r="E129" s="25">
        <v>9.01</v>
      </c>
      <c r="F129" s="26">
        <v>93.433962264150949</v>
      </c>
      <c r="G129" s="30">
        <f>IF(C129="sin control",'Efectos y supuestos'!$B$11,'Efectos y supuestos'!$B$9*MAX(0,D129-'Efectos y supuestos'!$B$10)/30)</f>
        <v>-5.2400000000000002E-2</v>
      </c>
      <c r="H129" s="14">
        <f t="shared" si="1"/>
        <v>44.112416000000003</v>
      </c>
    </row>
    <row r="130" spans="1:8" x14ac:dyDescent="0.35">
      <c r="A130" s="24" t="s">
        <v>97</v>
      </c>
      <c r="B130" s="29">
        <v>45884</v>
      </c>
      <c r="C130" s="24" t="s">
        <v>647</v>
      </c>
      <c r="D130" s="21">
        <v>27</v>
      </c>
      <c r="E130" s="25">
        <v>11.39</v>
      </c>
      <c r="F130" s="26">
        <v>98.68305531167691</v>
      </c>
      <c r="G130" s="30">
        <f>IF(C130="sin control",'Efectos y supuestos'!$B$11,'Efectos y supuestos'!$B$9*MAX(0,D130-'Efectos y supuestos'!$B$10)/30)</f>
        <v>0</v>
      </c>
      <c r="H130" s="14">
        <f t="shared" si="1"/>
        <v>0</v>
      </c>
    </row>
    <row r="131" spans="1:8" x14ac:dyDescent="0.35">
      <c r="A131" s="24" t="s">
        <v>240</v>
      </c>
      <c r="B131" s="29">
        <v>45641</v>
      </c>
      <c r="C131" s="24" t="s">
        <v>648</v>
      </c>
      <c r="D131" s="21">
        <v>89</v>
      </c>
      <c r="E131" s="25">
        <v>5.62</v>
      </c>
      <c r="F131" s="26">
        <v>97.539145907473298</v>
      </c>
      <c r="G131" s="30">
        <f>IF(C131="sin control",'Efectos y supuestos'!$B$11,'Efectos y supuestos'!$B$9*MAX(0,D131-'Efectos y supuestos'!$B$10)/30)</f>
        <v>0</v>
      </c>
      <c r="H131" s="14">
        <f t="shared" si="1"/>
        <v>0</v>
      </c>
    </row>
    <row r="132" spans="1:8" x14ac:dyDescent="0.35">
      <c r="A132" s="24" t="s">
        <v>241</v>
      </c>
      <c r="B132" s="29">
        <v>45731</v>
      </c>
      <c r="C132" s="24" t="s">
        <v>647</v>
      </c>
      <c r="D132" s="21">
        <v>48</v>
      </c>
      <c r="E132" s="25">
        <v>19.34</v>
      </c>
      <c r="F132" s="26">
        <v>85.443123061013452</v>
      </c>
      <c r="G132" s="30">
        <f>IF(C132="sin control",'Efectos y supuestos'!$B$11,'Efectos y supuestos'!$B$9*MAX(0,D132-'Efectos y supuestos'!$B$10)/30)</f>
        <v>0</v>
      </c>
      <c r="H132" s="14">
        <f t="shared" si="1"/>
        <v>0</v>
      </c>
    </row>
    <row r="133" spans="1:8" x14ac:dyDescent="0.35">
      <c r="A133" s="24" t="s">
        <v>392</v>
      </c>
      <c r="B133" s="29">
        <v>45853</v>
      </c>
      <c r="C133" s="24" t="s">
        <v>647</v>
      </c>
      <c r="D133" s="21">
        <v>83</v>
      </c>
      <c r="E133" s="25">
        <v>16.88</v>
      </c>
      <c r="F133" s="26">
        <v>88.460900473933663</v>
      </c>
      <c r="G133" s="30">
        <f>IF(C133="sin control",'Efectos y supuestos'!$B$11,'Efectos y supuestos'!$B$9*MAX(0,D133-'Efectos y supuestos'!$B$10)/30)</f>
        <v>0</v>
      </c>
      <c r="H133" s="14">
        <f t="shared" si="1"/>
        <v>0</v>
      </c>
    </row>
    <row r="134" spans="1:8" x14ac:dyDescent="0.35">
      <c r="A134" s="24" t="s">
        <v>393</v>
      </c>
      <c r="B134" s="29">
        <v>45915</v>
      </c>
      <c r="C134" s="24" t="s">
        <v>647</v>
      </c>
      <c r="D134" s="21">
        <v>60</v>
      </c>
      <c r="E134" s="25">
        <v>5.53</v>
      </c>
      <c r="F134" s="26">
        <v>111.53345388788431</v>
      </c>
      <c r="G134" s="30">
        <f>IF(C134="sin control",'Efectos y supuestos'!$B$11,'Efectos y supuestos'!$B$9*MAX(0,D134-'Efectos y supuestos'!$B$10)/30)</f>
        <v>0</v>
      </c>
      <c r="H134" s="14">
        <f t="shared" ref="H134:H197" si="2">-G134*F134*E134</f>
        <v>0</v>
      </c>
    </row>
    <row r="135" spans="1:8" x14ac:dyDescent="0.35">
      <c r="A135" s="24" t="s">
        <v>242</v>
      </c>
      <c r="B135" s="29">
        <v>45884</v>
      </c>
      <c r="C135" s="24" t="s">
        <v>647</v>
      </c>
      <c r="D135" s="21">
        <v>91</v>
      </c>
      <c r="E135" s="25">
        <v>4.3600000000000003</v>
      </c>
      <c r="F135" s="26">
        <v>98.42889908256879</v>
      </c>
      <c r="G135" s="30">
        <f>IF(C135="sin control",'Efectos y supuestos'!$B$11,'Efectos y supuestos'!$B$9*MAX(0,D135-'Efectos y supuestos'!$B$10)/30)</f>
        <v>-4.8666666666666666E-4</v>
      </c>
      <c r="H135" s="14">
        <f t="shared" si="2"/>
        <v>0.20885299999999998</v>
      </c>
    </row>
    <row r="136" spans="1:8" x14ac:dyDescent="0.35">
      <c r="A136" s="24" t="s">
        <v>243</v>
      </c>
      <c r="B136" s="29">
        <v>45915</v>
      </c>
      <c r="C136" s="24" t="s">
        <v>647</v>
      </c>
      <c r="D136" s="21">
        <v>59</v>
      </c>
      <c r="E136" s="25">
        <v>8.82</v>
      </c>
      <c r="F136" s="26">
        <v>111.45578231292519</v>
      </c>
      <c r="G136" s="30">
        <f>IF(C136="sin control",'Efectos y supuestos'!$B$11,'Efectos y supuestos'!$B$9*MAX(0,D136-'Efectos y supuestos'!$B$10)/30)</f>
        <v>0</v>
      </c>
      <c r="H136" s="14">
        <f t="shared" si="2"/>
        <v>0</v>
      </c>
    </row>
    <row r="137" spans="1:8" x14ac:dyDescent="0.35">
      <c r="A137" s="24" t="s">
        <v>598</v>
      </c>
      <c r="B137" s="29">
        <v>45853</v>
      </c>
      <c r="C137" s="24" t="s">
        <v>647</v>
      </c>
      <c r="D137" s="21">
        <v>73</v>
      </c>
      <c r="E137" s="25">
        <v>17.32</v>
      </c>
      <c r="F137" s="26">
        <v>87.864896073902997</v>
      </c>
      <c r="G137" s="30">
        <f>IF(C137="sin control",'Efectos y supuestos'!$B$11,'Efectos y supuestos'!$B$9*MAX(0,D137-'Efectos y supuestos'!$B$10)/30)</f>
        <v>0</v>
      </c>
      <c r="H137" s="14">
        <f t="shared" si="2"/>
        <v>0</v>
      </c>
    </row>
    <row r="138" spans="1:8" x14ac:dyDescent="0.35">
      <c r="A138" s="24" t="s">
        <v>421</v>
      </c>
      <c r="B138" s="29">
        <v>45641</v>
      </c>
      <c r="C138" s="24" t="s">
        <v>648</v>
      </c>
      <c r="D138" s="21">
        <v>98</v>
      </c>
      <c r="E138" s="25">
        <v>4.7</v>
      </c>
      <c r="F138" s="26">
        <v>138.91276595744679</v>
      </c>
      <c r="G138" s="30">
        <f>IF(C138="sin control",'Efectos y supuestos'!$B$11,'Efectos y supuestos'!$B$9*MAX(0,D138-'Efectos y supuestos'!$B$10)/30)</f>
        <v>-3.8933333333333333E-3</v>
      </c>
      <c r="H138" s="14">
        <f t="shared" si="2"/>
        <v>2.5419183999999997</v>
      </c>
    </row>
    <row r="139" spans="1:8" x14ac:dyDescent="0.35">
      <c r="A139" s="24" t="s">
        <v>394</v>
      </c>
      <c r="B139" s="29">
        <v>45915</v>
      </c>
      <c r="C139" s="24" t="s">
        <v>647</v>
      </c>
      <c r="D139" s="21">
        <v>59</v>
      </c>
      <c r="E139" s="25">
        <v>11.93</v>
      </c>
      <c r="F139" s="26">
        <v>116.6303436714166</v>
      </c>
      <c r="G139" s="30">
        <f>IF(C139="sin control",'Efectos y supuestos'!$B$11,'Efectos y supuestos'!$B$9*MAX(0,D139-'Efectos y supuestos'!$B$10)/30)</f>
        <v>0</v>
      </c>
      <c r="H139" s="14">
        <f t="shared" si="2"/>
        <v>0</v>
      </c>
    </row>
    <row r="140" spans="1:8" x14ac:dyDescent="0.35">
      <c r="A140" s="24" t="s">
        <v>245</v>
      </c>
      <c r="B140" s="29">
        <v>45915</v>
      </c>
      <c r="C140" s="24" t="s">
        <v>647</v>
      </c>
      <c r="D140" s="21">
        <v>59</v>
      </c>
      <c r="E140" s="25">
        <v>9.68</v>
      </c>
      <c r="F140" s="26">
        <v>99.87</v>
      </c>
      <c r="G140" s="30">
        <f>IF(C140="sin control",'Efectos y supuestos'!$B$11,'Efectos y supuestos'!$B$9*MAX(0,D140-'Efectos y supuestos'!$B$10)/30)</f>
        <v>0</v>
      </c>
      <c r="H140" s="14">
        <f t="shared" si="2"/>
        <v>0</v>
      </c>
    </row>
    <row r="141" spans="1:8" x14ac:dyDescent="0.35">
      <c r="A141" s="24" t="s">
        <v>246</v>
      </c>
      <c r="B141" s="29">
        <v>45884</v>
      </c>
      <c r="C141" s="24" t="s">
        <v>647</v>
      </c>
      <c r="D141" s="21">
        <v>77</v>
      </c>
      <c r="E141" s="25">
        <v>12.22</v>
      </c>
      <c r="F141" s="26">
        <v>112.7823240589198</v>
      </c>
      <c r="G141" s="30">
        <f>IF(C141="sin control",'Efectos y supuestos'!$B$11,'Efectos y supuestos'!$B$9*MAX(0,D141-'Efectos y supuestos'!$B$10)/30)</f>
        <v>0</v>
      </c>
      <c r="H141" s="14">
        <f t="shared" si="2"/>
        <v>0</v>
      </c>
    </row>
    <row r="142" spans="1:8" x14ac:dyDescent="0.35">
      <c r="A142" s="24" t="s">
        <v>247</v>
      </c>
      <c r="B142" s="29">
        <v>45731</v>
      </c>
      <c r="C142" s="24" t="s">
        <v>647</v>
      </c>
      <c r="D142" s="21">
        <v>77</v>
      </c>
      <c r="E142" s="25">
        <v>8.1499999999999986</v>
      </c>
      <c r="F142" s="26">
        <v>84.774233128834368</v>
      </c>
      <c r="G142" s="30">
        <f>IF(C142="sin control",'Efectos y supuestos'!$B$11,'Efectos y supuestos'!$B$9*MAX(0,D142-'Efectos y supuestos'!$B$10)/30)</f>
        <v>0</v>
      </c>
      <c r="H142" s="14">
        <f t="shared" si="2"/>
        <v>0</v>
      </c>
    </row>
    <row r="143" spans="1:8" x14ac:dyDescent="0.35">
      <c r="A143" s="24" t="s">
        <v>248</v>
      </c>
      <c r="B143" s="29">
        <v>45731</v>
      </c>
      <c r="C143" s="24" t="s">
        <v>647</v>
      </c>
      <c r="D143" s="21">
        <v>84</v>
      </c>
      <c r="E143" s="25">
        <v>4.7</v>
      </c>
      <c r="F143" s="26">
        <v>73.259574468085106</v>
      </c>
      <c r="G143" s="30">
        <f>IF(C143="sin control",'Efectos y supuestos'!$B$11,'Efectos y supuestos'!$B$9*MAX(0,D143-'Efectos y supuestos'!$B$10)/30)</f>
        <v>0</v>
      </c>
      <c r="H143" s="14">
        <f t="shared" si="2"/>
        <v>0</v>
      </c>
    </row>
    <row r="144" spans="1:8" x14ac:dyDescent="0.35">
      <c r="A144" s="24" t="s">
        <v>249</v>
      </c>
      <c r="B144" s="29">
        <v>45641</v>
      </c>
      <c r="C144" s="24" t="s">
        <v>648</v>
      </c>
      <c r="D144" s="21">
        <v>98</v>
      </c>
      <c r="E144" s="25">
        <v>5.21</v>
      </c>
      <c r="F144" s="26">
        <v>120.9961612284069</v>
      </c>
      <c r="G144" s="30">
        <f>IF(C144="sin control",'Efectos y supuestos'!$B$11,'Efectos y supuestos'!$B$9*MAX(0,D144-'Efectos y supuestos'!$B$10)/30)</f>
        <v>-3.8933333333333333E-3</v>
      </c>
      <c r="H144" s="14">
        <f t="shared" si="2"/>
        <v>2.4543183999999996</v>
      </c>
    </row>
    <row r="145" spans="1:8" x14ac:dyDescent="0.35">
      <c r="A145" s="24" t="s">
        <v>250</v>
      </c>
      <c r="B145" s="29">
        <v>45853</v>
      </c>
      <c r="C145" s="24" t="s">
        <v>647</v>
      </c>
      <c r="D145" s="21">
        <v>74</v>
      </c>
      <c r="E145" s="25">
        <v>11.73</v>
      </c>
      <c r="F145" s="26">
        <v>125.5899403239557</v>
      </c>
      <c r="G145" s="30">
        <f>IF(C145="sin control",'Efectos y supuestos'!$B$11,'Efectos y supuestos'!$B$9*MAX(0,D145-'Efectos y supuestos'!$B$10)/30)</f>
        <v>0</v>
      </c>
      <c r="H145" s="14">
        <f t="shared" si="2"/>
        <v>0</v>
      </c>
    </row>
    <row r="146" spans="1:8" x14ac:dyDescent="0.35">
      <c r="A146" s="24" t="s">
        <v>251</v>
      </c>
      <c r="B146" s="29">
        <v>45915</v>
      </c>
      <c r="C146" s="24" t="s">
        <v>647</v>
      </c>
      <c r="D146" s="21">
        <v>50</v>
      </c>
      <c r="E146" s="25">
        <v>15.7</v>
      </c>
      <c r="F146" s="26">
        <v>118.2541401273885</v>
      </c>
      <c r="G146" s="30">
        <f>IF(C146="sin control",'Efectos y supuestos'!$B$11,'Efectos y supuestos'!$B$9*MAX(0,D146-'Efectos y supuestos'!$B$10)/30)</f>
        <v>0</v>
      </c>
      <c r="H146" s="14">
        <f t="shared" si="2"/>
        <v>0</v>
      </c>
    </row>
    <row r="147" spans="1:8" x14ac:dyDescent="0.35">
      <c r="A147" s="24" t="s">
        <v>252</v>
      </c>
      <c r="B147" s="29">
        <v>45884</v>
      </c>
      <c r="C147" s="24" t="s">
        <v>647</v>
      </c>
      <c r="D147" s="21">
        <v>64</v>
      </c>
      <c r="E147" s="25">
        <v>1.98</v>
      </c>
      <c r="F147" s="26">
        <v>94.742424242424249</v>
      </c>
      <c r="G147" s="30">
        <f>IF(C147="sin control",'Efectos y supuestos'!$B$11,'Efectos y supuestos'!$B$9*MAX(0,D147-'Efectos y supuestos'!$B$10)/30)</f>
        <v>0</v>
      </c>
      <c r="H147" s="14">
        <f t="shared" si="2"/>
        <v>0</v>
      </c>
    </row>
    <row r="148" spans="1:8" x14ac:dyDescent="0.35">
      <c r="A148" s="24" t="s">
        <v>253</v>
      </c>
      <c r="B148" s="29">
        <v>45884</v>
      </c>
      <c r="C148" s="24" t="s">
        <v>647</v>
      </c>
      <c r="D148" s="21">
        <v>71</v>
      </c>
      <c r="E148" s="25">
        <v>16.100000000000001</v>
      </c>
      <c r="F148" s="26">
        <v>111.3142857142857</v>
      </c>
      <c r="G148" s="30">
        <f>IF(C148="sin control",'Efectos y supuestos'!$B$11,'Efectos y supuestos'!$B$9*MAX(0,D148-'Efectos y supuestos'!$B$10)/30)</f>
        <v>0</v>
      </c>
      <c r="H148" s="14">
        <f t="shared" si="2"/>
        <v>0</v>
      </c>
    </row>
    <row r="149" spans="1:8" x14ac:dyDescent="0.35">
      <c r="A149" s="24" t="s">
        <v>255</v>
      </c>
      <c r="B149" s="29">
        <v>45884</v>
      </c>
      <c r="C149" s="24" t="s">
        <v>647</v>
      </c>
      <c r="D149" s="21">
        <v>78</v>
      </c>
      <c r="E149" s="25">
        <v>6.06</v>
      </c>
      <c r="F149" s="26">
        <v>130.45874587458749</v>
      </c>
      <c r="G149" s="30">
        <f>IF(C149="sin control",'Efectos y supuestos'!$B$11,'Efectos y supuestos'!$B$9*MAX(0,D149-'Efectos y supuestos'!$B$10)/30)</f>
        <v>0</v>
      </c>
      <c r="H149" s="14">
        <f t="shared" si="2"/>
        <v>0</v>
      </c>
    </row>
    <row r="150" spans="1:8" x14ac:dyDescent="0.35">
      <c r="A150" s="24" t="s">
        <v>256</v>
      </c>
      <c r="B150" s="29">
        <v>45853</v>
      </c>
      <c r="C150" s="24" t="s">
        <v>647</v>
      </c>
      <c r="D150" s="21">
        <v>101</v>
      </c>
      <c r="E150" s="25">
        <v>11.65</v>
      </c>
      <c r="F150" s="26">
        <v>97.229184549356219</v>
      </c>
      <c r="G150" s="30">
        <f>IF(C150="sin control",'Efectos y supuestos'!$B$11,'Efectos y supuestos'!$B$9*MAX(0,D150-'Efectos y supuestos'!$B$10)/30)</f>
        <v>-5.3533333333333332E-3</v>
      </c>
      <c r="H150" s="14">
        <f t="shared" si="2"/>
        <v>6.0638277333333326</v>
      </c>
    </row>
    <row r="151" spans="1:8" x14ac:dyDescent="0.35">
      <c r="A151" s="24" t="s">
        <v>257</v>
      </c>
      <c r="B151" s="29">
        <v>45884</v>
      </c>
      <c r="C151" s="24" t="s">
        <v>647</v>
      </c>
      <c r="D151" s="21">
        <v>78</v>
      </c>
      <c r="E151" s="25">
        <v>5.98</v>
      </c>
      <c r="F151" s="26">
        <v>121.5752508361204</v>
      </c>
      <c r="G151" s="30">
        <f>IF(C151="sin control",'Efectos y supuestos'!$B$11,'Efectos y supuestos'!$B$9*MAX(0,D151-'Efectos y supuestos'!$B$10)/30)</f>
        <v>0</v>
      </c>
      <c r="H151" s="14">
        <f t="shared" si="2"/>
        <v>0</v>
      </c>
    </row>
    <row r="152" spans="1:8" x14ac:dyDescent="0.35">
      <c r="A152" s="24" t="s">
        <v>258</v>
      </c>
      <c r="B152" s="29">
        <v>45884</v>
      </c>
      <c r="C152" s="24" t="s">
        <v>647</v>
      </c>
      <c r="D152" s="21">
        <v>70</v>
      </c>
      <c r="E152" s="25">
        <v>5.58</v>
      </c>
      <c r="F152" s="26">
        <v>122.9964157706093</v>
      </c>
      <c r="G152" s="30">
        <f>IF(C152="sin control",'Efectos y supuestos'!$B$11,'Efectos y supuestos'!$B$9*MAX(0,D152-'Efectos y supuestos'!$B$10)/30)</f>
        <v>0</v>
      </c>
      <c r="H152" s="14">
        <f t="shared" si="2"/>
        <v>0</v>
      </c>
    </row>
    <row r="153" spans="1:8" x14ac:dyDescent="0.35">
      <c r="A153" s="24" t="s">
        <v>259</v>
      </c>
      <c r="B153" s="29">
        <v>45853</v>
      </c>
      <c r="C153" s="24" t="s">
        <v>647</v>
      </c>
      <c r="D153" s="21">
        <v>101</v>
      </c>
      <c r="E153" s="25">
        <v>5.97</v>
      </c>
      <c r="F153" s="26">
        <v>109.01842546063649</v>
      </c>
      <c r="G153" s="30">
        <f>IF(C153="sin control",'Efectos y supuestos'!$B$11,'Efectos y supuestos'!$B$9*MAX(0,D153-'Efectos y supuestos'!$B$10)/30)</f>
        <v>-5.3533333333333332E-3</v>
      </c>
      <c r="H153" s="14">
        <f t="shared" si="2"/>
        <v>3.4841634666666654</v>
      </c>
    </row>
    <row r="154" spans="1:8" x14ac:dyDescent="0.35">
      <c r="A154" s="24" t="s">
        <v>98</v>
      </c>
      <c r="B154" s="29">
        <v>45945</v>
      </c>
      <c r="C154" s="24" t="s">
        <v>647</v>
      </c>
      <c r="D154" s="21">
        <v>49</v>
      </c>
      <c r="E154" s="25">
        <v>11.71</v>
      </c>
      <c r="F154" s="26">
        <v>122.08</v>
      </c>
      <c r="G154" s="30">
        <f>IF(C154="sin control",'Efectos y supuestos'!$B$11,'Efectos y supuestos'!$B$9*MAX(0,D154-'Efectos y supuestos'!$B$10)/30)</f>
        <v>0</v>
      </c>
      <c r="H154" s="14">
        <f t="shared" si="2"/>
        <v>0</v>
      </c>
    </row>
    <row r="155" spans="1:8" x14ac:dyDescent="0.35">
      <c r="A155" s="24" t="s">
        <v>260</v>
      </c>
      <c r="B155" s="29">
        <v>45884</v>
      </c>
      <c r="C155" s="24" t="s">
        <v>647</v>
      </c>
      <c r="D155" s="21">
        <v>74</v>
      </c>
      <c r="E155" s="25">
        <v>9.64</v>
      </c>
      <c r="F155" s="26">
        <v>107.4917012448133</v>
      </c>
      <c r="G155" s="30">
        <f>IF(C155="sin control",'Efectos y supuestos'!$B$11,'Efectos y supuestos'!$B$9*MAX(0,D155-'Efectos y supuestos'!$B$10)/30)</f>
        <v>0</v>
      </c>
      <c r="H155" s="14">
        <f t="shared" si="2"/>
        <v>0</v>
      </c>
    </row>
    <row r="156" spans="1:8" x14ac:dyDescent="0.35">
      <c r="A156" s="24" t="s">
        <v>261</v>
      </c>
      <c r="B156" s="29">
        <v>45853</v>
      </c>
      <c r="C156" s="24" t="s">
        <v>647</v>
      </c>
      <c r="D156" s="21">
        <v>102</v>
      </c>
      <c r="E156" s="25">
        <v>16.329999999999998</v>
      </c>
      <c r="F156" s="26">
        <v>116.3619105939988</v>
      </c>
      <c r="G156" s="30">
        <f>IF(C156="sin control",'Efectos y supuestos'!$B$11,'Efectos y supuestos'!$B$9*MAX(0,D156-'Efectos y supuestos'!$B$10)/30)</f>
        <v>-5.8399999999999997E-3</v>
      </c>
      <c r="H156" s="14">
        <f t="shared" si="2"/>
        <v>11.097109600000001</v>
      </c>
    </row>
    <row r="157" spans="1:8" x14ac:dyDescent="0.35">
      <c r="A157" s="24" t="s">
        <v>395</v>
      </c>
      <c r="B157" s="29">
        <v>45915</v>
      </c>
      <c r="C157" s="24" t="s">
        <v>647</v>
      </c>
      <c r="D157" s="21">
        <v>80</v>
      </c>
      <c r="E157" s="25">
        <v>22.26</v>
      </c>
      <c r="F157" s="26">
        <v>87.144204851752008</v>
      </c>
      <c r="G157" s="30">
        <f>IF(C157="sin control",'Efectos y supuestos'!$B$11,'Efectos y supuestos'!$B$9*MAX(0,D157-'Efectos y supuestos'!$B$10)/30)</f>
        <v>0</v>
      </c>
      <c r="H157" s="14">
        <f t="shared" si="2"/>
        <v>0</v>
      </c>
    </row>
    <row r="158" spans="1:8" x14ac:dyDescent="0.35">
      <c r="A158" s="24" t="s">
        <v>262</v>
      </c>
      <c r="B158" s="29">
        <v>45853</v>
      </c>
      <c r="C158" s="24" t="s">
        <v>647</v>
      </c>
      <c r="D158" s="21">
        <v>64</v>
      </c>
      <c r="E158" s="25">
        <v>16.170000000000002</v>
      </c>
      <c r="F158" s="26">
        <v>111.9387755102041</v>
      </c>
      <c r="G158" s="30">
        <f>IF(C158="sin control",'Efectos y supuestos'!$B$11,'Efectos y supuestos'!$B$9*MAX(0,D158-'Efectos y supuestos'!$B$10)/30)</f>
        <v>0</v>
      </c>
      <c r="H158" s="14">
        <f t="shared" si="2"/>
        <v>0</v>
      </c>
    </row>
    <row r="159" spans="1:8" x14ac:dyDescent="0.35">
      <c r="A159" s="24" t="s">
        <v>263</v>
      </c>
      <c r="B159" s="29">
        <v>45853</v>
      </c>
      <c r="C159" s="24" t="s">
        <v>647</v>
      </c>
      <c r="D159" s="21">
        <v>100</v>
      </c>
      <c r="E159" s="25">
        <v>17.38</v>
      </c>
      <c r="F159" s="26">
        <v>116.0448791714614</v>
      </c>
      <c r="G159" s="30">
        <f>IF(C159="sin control",'Efectos y supuestos'!$B$11,'Efectos y supuestos'!$B$9*MAX(0,D159-'Efectos y supuestos'!$B$10)/30)</f>
        <v>-4.8666666666666667E-3</v>
      </c>
      <c r="H159" s="14">
        <f t="shared" si="2"/>
        <v>9.8153853333333281</v>
      </c>
    </row>
    <row r="160" spans="1:8" x14ac:dyDescent="0.35">
      <c r="A160" s="24" t="s">
        <v>264</v>
      </c>
      <c r="B160" s="29">
        <v>45641</v>
      </c>
      <c r="C160" s="24" t="s">
        <v>648</v>
      </c>
      <c r="D160" s="21">
        <v>98</v>
      </c>
      <c r="E160" s="25">
        <v>9.9600000000000009</v>
      </c>
      <c r="F160" s="26">
        <v>107.3473895582329</v>
      </c>
      <c r="G160" s="30">
        <f>IF(C160="sin control",'Efectos y supuestos'!$B$11,'Efectos y supuestos'!$B$9*MAX(0,D160-'Efectos y supuestos'!$B$10)/30)</f>
        <v>-3.8933333333333333E-3</v>
      </c>
      <c r="H160" s="14">
        <f t="shared" si="2"/>
        <v>4.1626741333333328</v>
      </c>
    </row>
    <row r="161" spans="1:8" x14ac:dyDescent="0.35">
      <c r="A161" s="24" t="s">
        <v>265</v>
      </c>
      <c r="B161" s="29">
        <v>45580</v>
      </c>
      <c r="C161" s="24" t="s">
        <v>648</v>
      </c>
      <c r="D161" s="21">
        <v>83</v>
      </c>
      <c r="E161" s="25">
        <v>3.18</v>
      </c>
      <c r="F161" s="26">
        <v>134.53459119496861</v>
      </c>
      <c r="G161" s="30">
        <f>IF(C161="sin control",'Efectos y supuestos'!$B$11,'Efectos y supuestos'!$B$9*MAX(0,D161-'Efectos y supuestos'!$B$10)/30)</f>
        <v>0</v>
      </c>
      <c r="H161" s="14">
        <f t="shared" si="2"/>
        <v>0</v>
      </c>
    </row>
    <row r="162" spans="1:8" x14ac:dyDescent="0.35">
      <c r="A162" s="24" t="s">
        <v>600</v>
      </c>
      <c r="B162" s="29">
        <v>45853</v>
      </c>
      <c r="C162" s="24" t="s">
        <v>647</v>
      </c>
      <c r="D162" s="21">
        <v>119</v>
      </c>
      <c r="E162" s="25">
        <v>5.95</v>
      </c>
      <c r="F162" s="26">
        <v>102.5798319327731</v>
      </c>
      <c r="G162" s="30">
        <f>IF(C162="sin control",'Efectos y supuestos'!$B$11,'Efectos y supuestos'!$B$9*MAX(0,D162-'Efectos y supuestos'!$B$10)/30)</f>
        <v>-1.4113333333333334E-2</v>
      </c>
      <c r="H162" s="14">
        <f t="shared" si="2"/>
        <v>8.6140730000000012</v>
      </c>
    </row>
    <row r="163" spans="1:8" x14ac:dyDescent="0.35">
      <c r="A163" s="24" t="s">
        <v>423</v>
      </c>
      <c r="B163" s="29">
        <v>45731</v>
      </c>
      <c r="C163" s="24" t="s">
        <v>647</v>
      </c>
      <c r="D163" s="21">
        <v>77</v>
      </c>
      <c r="E163" s="25">
        <v>0.37</v>
      </c>
      <c r="F163" s="26">
        <v>78.729729729729726</v>
      </c>
      <c r="G163" s="30">
        <f>IF(C163="sin control",'Efectos y supuestos'!$B$11,'Efectos y supuestos'!$B$9*MAX(0,D163-'Efectos y supuestos'!$B$10)/30)</f>
        <v>0</v>
      </c>
      <c r="H163" s="14">
        <f t="shared" si="2"/>
        <v>0</v>
      </c>
    </row>
    <row r="164" spans="1:8" x14ac:dyDescent="0.35">
      <c r="A164" s="24" t="s">
        <v>266</v>
      </c>
      <c r="B164" s="29">
        <v>45884</v>
      </c>
      <c r="C164" s="24" t="s">
        <v>647</v>
      </c>
      <c r="D164" s="21">
        <v>62</v>
      </c>
      <c r="E164" s="25">
        <v>6.2</v>
      </c>
      <c r="F164" s="26">
        <v>111.3048387096774</v>
      </c>
      <c r="G164" s="30">
        <f>IF(C164="sin control",'Efectos y supuestos'!$B$11,'Efectos y supuestos'!$B$9*MAX(0,D164-'Efectos y supuestos'!$B$10)/30)</f>
        <v>0</v>
      </c>
      <c r="H164" s="14">
        <f t="shared" si="2"/>
        <v>0</v>
      </c>
    </row>
    <row r="165" spans="1:8" x14ac:dyDescent="0.35">
      <c r="A165" s="24" t="s">
        <v>267</v>
      </c>
      <c r="B165" s="29">
        <v>45823</v>
      </c>
      <c r="C165" s="24" t="s">
        <v>647</v>
      </c>
      <c r="D165" s="21">
        <v>95</v>
      </c>
      <c r="E165" s="25">
        <v>11.05</v>
      </c>
      <c r="F165" s="26">
        <v>88.835294117647052</v>
      </c>
      <c r="G165" s="30">
        <f>IF(C165="sin control",'Efectos y supuestos'!$B$11,'Efectos y supuestos'!$B$9*MAX(0,D165-'Efectos y supuestos'!$B$10)/30)</f>
        <v>-2.4333333333333334E-3</v>
      </c>
      <c r="H165" s="14">
        <f t="shared" si="2"/>
        <v>2.388633</v>
      </c>
    </row>
    <row r="166" spans="1:8" x14ac:dyDescent="0.35">
      <c r="A166" s="24" t="s">
        <v>99</v>
      </c>
      <c r="B166" s="29">
        <v>45945</v>
      </c>
      <c r="C166" s="24" t="s">
        <v>647</v>
      </c>
      <c r="D166" s="21">
        <v>84</v>
      </c>
      <c r="E166" s="25">
        <v>10.210000000000001</v>
      </c>
      <c r="F166" s="26">
        <v>90.26</v>
      </c>
      <c r="G166" s="30">
        <f>IF(C166="sin control",'Efectos y supuestos'!$B$11,'Efectos y supuestos'!$B$9*MAX(0,D166-'Efectos y supuestos'!$B$10)/30)</f>
        <v>0</v>
      </c>
      <c r="H166" s="14">
        <f t="shared" si="2"/>
        <v>0</v>
      </c>
    </row>
    <row r="167" spans="1:8" x14ac:dyDescent="0.35">
      <c r="A167" s="24" t="s">
        <v>100</v>
      </c>
      <c r="B167" s="29">
        <v>45703</v>
      </c>
      <c r="C167" s="24" t="s">
        <v>647</v>
      </c>
      <c r="D167" s="21">
        <v>102</v>
      </c>
      <c r="E167" s="25">
        <v>3.4</v>
      </c>
      <c r="F167" s="26">
        <v>83.47058823529413</v>
      </c>
      <c r="G167" s="30">
        <f>IF(C167="sin control",'Efectos y supuestos'!$B$11,'Efectos y supuestos'!$B$9*MAX(0,D167-'Efectos y supuestos'!$B$10)/30)</f>
        <v>-5.8399999999999997E-3</v>
      </c>
      <c r="H167" s="14">
        <f t="shared" si="2"/>
        <v>1.6573920000000002</v>
      </c>
    </row>
    <row r="168" spans="1:8" x14ac:dyDescent="0.35">
      <c r="A168" s="24" t="s">
        <v>268</v>
      </c>
      <c r="B168" s="29">
        <v>45703</v>
      </c>
      <c r="C168" s="24" t="s">
        <v>647</v>
      </c>
      <c r="D168" s="21">
        <v>75</v>
      </c>
      <c r="E168" s="25">
        <v>9.25</v>
      </c>
      <c r="F168" s="26">
        <v>77.781621621621625</v>
      </c>
      <c r="G168" s="30">
        <f>IF(C168="sin control",'Efectos y supuestos'!$B$11,'Efectos y supuestos'!$B$9*MAX(0,D168-'Efectos y supuestos'!$B$10)/30)</f>
        <v>0</v>
      </c>
      <c r="H168" s="14">
        <f t="shared" si="2"/>
        <v>0</v>
      </c>
    </row>
    <row r="169" spans="1:8" x14ac:dyDescent="0.35">
      <c r="A169" s="24" t="s">
        <v>269</v>
      </c>
      <c r="B169" s="29">
        <v>45853</v>
      </c>
      <c r="C169" s="24" t="s">
        <v>647</v>
      </c>
      <c r="D169" s="21">
        <v>72</v>
      </c>
      <c r="E169" s="25">
        <v>4.13</v>
      </c>
      <c r="F169" s="26">
        <v>113.0847457627119</v>
      </c>
      <c r="G169" s="30">
        <f>IF(C169="sin control",'Efectos y supuestos'!$B$11,'Efectos y supuestos'!$B$9*MAX(0,D169-'Efectos y supuestos'!$B$10)/30)</f>
        <v>0</v>
      </c>
      <c r="H169" s="14">
        <f t="shared" si="2"/>
        <v>0</v>
      </c>
    </row>
    <row r="170" spans="1:8" x14ac:dyDescent="0.35">
      <c r="A170" s="24" t="s">
        <v>270</v>
      </c>
      <c r="B170" s="29">
        <v>45884</v>
      </c>
      <c r="C170" s="24" t="s">
        <v>647</v>
      </c>
      <c r="D170" s="21">
        <v>88</v>
      </c>
      <c r="E170" s="25">
        <v>3.56</v>
      </c>
      <c r="F170" s="26">
        <v>123.42</v>
      </c>
      <c r="G170" s="30">
        <f>IF(C170="sin control",'Efectos y supuestos'!$B$11,'Efectos y supuestos'!$B$9*MAX(0,D170-'Efectos y supuestos'!$B$10)/30)</f>
        <v>0</v>
      </c>
      <c r="H170" s="14">
        <f t="shared" si="2"/>
        <v>0</v>
      </c>
    </row>
    <row r="171" spans="1:8" x14ac:dyDescent="0.35">
      <c r="A171" s="24" t="s">
        <v>271</v>
      </c>
      <c r="B171" s="29">
        <v>45915</v>
      </c>
      <c r="C171" s="24" t="s">
        <v>647</v>
      </c>
      <c r="D171" s="21">
        <v>57</v>
      </c>
      <c r="E171" s="25">
        <v>9.26</v>
      </c>
      <c r="F171" s="26">
        <v>158.96</v>
      </c>
      <c r="G171" s="30">
        <f>IF(C171="sin control",'Efectos y supuestos'!$B$11,'Efectos y supuestos'!$B$9*MAX(0,D171-'Efectos y supuestos'!$B$10)/30)</f>
        <v>0</v>
      </c>
      <c r="H171" s="14">
        <f t="shared" si="2"/>
        <v>0</v>
      </c>
    </row>
    <row r="172" spans="1:8" x14ac:dyDescent="0.35">
      <c r="A172" s="24" t="s">
        <v>272</v>
      </c>
      <c r="B172" s="29">
        <v>45731</v>
      </c>
      <c r="C172" s="24" t="s">
        <v>647</v>
      </c>
      <c r="D172" s="21">
        <v>69</v>
      </c>
      <c r="E172" s="25">
        <v>13.5</v>
      </c>
      <c r="F172" s="26">
        <v>79.031111111111116</v>
      </c>
      <c r="G172" s="30">
        <f>IF(C172="sin control",'Efectos y supuestos'!$B$11,'Efectos y supuestos'!$B$9*MAX(0,D172-'Efectos y supuestos'!$B$10)/30)</f>
        <v>0</v>
      </c>
      <c r="H172" s="14">
        <f t="shared" si="2"/>
        <v>0</v>
      </c>
    </row>
    <row r="173" spans="1:8" x14ac:dyDescent="0.35">
      <c r="A173" s="24" t="s">
        <v>425</v>
      </c>
      <c r="B173" s="29">
        <v>45703</v>
      </c>
      <c r="C173" s="24" t="s">
        <v>647</v>
      </c>
      <c r="D173" s="21">
        <v>75</v>
      </c>
      <c r="E173" s="25">
        <v>7.15</v>
      </c>
      <c r="F173" s="26">
        <v>90.195804195804186</v>
      </c>
      <c r="G173" s="30">
        <f>IF(C173="sin control",'Efectos y supuestos'!$B$11,'Efectos y supuestos'!$B$9*MAX(0,D173-'Efectos y supuestos'!$B$10)/30)</f>
        <v>0</v>
      </c>
      <c r="H173" s="14">
        <f t="shared" si="2"/>
        <v>0</v>
      </c>
    </row>
    <row r="174" spans="1:8" x14ac:dyDescent="0.35">
      <c r="A174" s="24" t="s">
        <v>273</v>
      </c>
      <c r="B174" s="29">
        <v>45853</v>
      </c>
      <c r="C174" s="24" t="s">
        <v>647</v>
      </c>
      <c r="D174" s="21">
        <v>85</v>
      </c>
      <c r="E174" s="25">
        <v>12.99</v>
      </c>
      <c r="F174" s="26">
        <v>86.294842186297146</v>
      </c>
      <c r="G174" s="30">
        <f>IF(C174="sin control",'Efectos y supuestos'!$B$11,'Efectos y supuestos'!$B$9*MAX(0,D174-'Efectos y supuestos'!$B$10)/30)</f>
        <v>0</v>
      </c>
      <c r="H174" s="14">
        <f t="shared" si="2"/>
        <v>0</v>
      </c>
    </row>
    <row r="175" spans="1:8" x14ac:dyDescent="0.35">
      <c r="A175" s="24" t="s">
        <v>274</v>
      </c>
      <c r="B175" s="29">
        <v>45641</v>
      </c>
      <c r="C175" s="24" t="s">
        <v>648</v>
      </c>
      <c r="D175" s="21">
        <v>81</v>
      </c>
      <c r="E175" s="25">
        <v>15.64</v>
      </c>
      <c r="F175" s="26">
        <v>110.8772378516624</v>
      </c>
      <c r="G175" s="30">
        <f>IF(C175="sin control",'Efectos y supuestos'!$B$11,'Efectos y supuestos'!$B$9*MAX(0,D175-'Efectos y supuestos'!$B$10)/30)</f>
        <v>0</v>
      </c>
      <c r="H175" s="14">
        <f t="shared" si="2"/>
        <v>0</v>
      </c>
    </row>
    <row r="176" spans="1:8" x14ac:dyDescent="0.35">
      <c r="A176" s="24" t="s">
        <v>275</v>
      </c>
      <c r="B176" s="29">
        <v>45703</v>
      </c>
      <c r="C176" s="24" t="s">
        <v>647</v>
      </c>
      <c r="D176" s="21">
        <v>22</v>
      </c>
      <c r="E176" s="25">
        <v>20.420000000000002</v>
      </c>
      <c r="F176" s="26">
        <v>99.959843290891271</v>
      </c>
      <c r="G176" s="30">
        <f>IF(C176="sin control",'Efectos y supuestos'!$B$11,'Efectos y supuestos'!$B$9*MAX(0,D176-'Efectos y supuestos'!$B$10)/30)</f>
        <v>0</v>
      </c>
      <c r="H176" s="14">
        <f t="shared" si="2"/>
        <v>0</v>
      </c>
    </row>
    <row r="177" spans="1:8" x14ac:dyDescent="0.35">
      <c r="A177" s="24" t="s">
        <v>396</v>
      </c>
      <c r="B177" s="29">
        <v>45915</v>
      </c>
      <c r="C177" s="24" t="s">
        <v>647</v>
      </c>
      <c r="D177" s="21">
        <v>57</v>
      </c>
      <c r="E177" s="25">
        <v>16.75</v>
      </c>
      <c r="F177" s="26">
        <v>99.604776119402985</v>
      </c>
      <c r="G177" s="30">
        <f>IF(C177="sin control",'Efectos y supuestos'!$B$11,'Efectos y supuestos'!$B$9*MAX(0,D177-'Efectos y supuestos'!$B$10)/30)</f>
        <v>0</v>
      </c>
      <c r="H177" s="14">
        <f t="shared" si="2"/>
        <v>0</v>
      </c>
    </row>
    <row r="178" spans="1:8" x14ac:dyDescent="0.35">
      <c r="A178" s="24" t="s">
        <v>276</v>
      </c>
      <c r="B178" s="29">
        <v>45915</v>
      </c>
      <c r="C178" s="24" t="s">
        <v>647</v>
      </c>
      <c r="D178" s="21">
        <v>58</v>
      </c>
      <c r="E178" s="25">
        <v>6.62</v>
      </c>
      <c r="F178" s="26">
        <v>97.353474320241688</v>
      </c>
      <c r="G178" s="30">
        <f>IF(C178="sin control",'Efectos y supuestos'!$B$11,'Efectos y supuestos'!$B$9*MAX(0,D178-'Efectos y supuestos'!$B$10)/30)</f>
        <v>0</v>
      </c>
      <c r="H178" s="14">
        <f t="shared" si="2"/>
        <v>0</v>
      </c>
    </row>
    <row r="179" spans="1:8" x14ac:dyDescent="0.35">
      <c r="A179" s="24" t="s">
        <v>277</v>
      </c>
      <c r="B179" s="29">
        <v>45915</v>
      </c>
      <c r="C179" s="24" t="s">
        <v>647</v>
      </c>
      <c r="D179" s="21">
        <v>58</v>
      </c>
      <c r="E179" s="25">
        <v>5.51</v>
      </c>
      <c r="F179" s="26">
        <v>102.513611615245</v>
      </c>
      <c r="G179" s="30">
        <f>IF(C179="sin control",'Efectos y supuestos'!$B$11,'Efectos y supuestos'!$B$9*MAX(0,D179-'Efectos y supuestos'!$B$10)/30)</f>
        <v>0</v>
      </c>
      <c r="H179" s="14">
        <f t="shared" si="2"/>
        <v>0</v>
      </c>
    </row>
    <row r="180" spans="1:8" x14ac:dyDescent="0.35">
      <c r="A180" s="24" t="s">
        <v>278</v>
      </c>
      <c r="B180" s="29">
        <v>45823</v>
      </c>
      <c r="C180" s="24" t="s">
        <v>647</v>
      </c>
      <c r="D180" s="21">
        <v>89</v>
      </c>
      <c r="E180" s="25">
        <v>8.48</v>
      </c>
      <c r="F180" s="26">
        <v>138.7582547169811</v>
      </c>
      <c r="G180" s="30">
        <f>IF(C180="sin control",'Efectos y supuestos'!$B$11,'Efectos y supuestos'!$B$9*MAX(0,D180-'Efectos y supuestos'!$B$10)/30)</f>
        <v>0</v>
      </c>
      <c r="H180" s="14">
        <f t="shared" si="2"/>
        <v>0</v>
      </c>
    </row>
    <row r="181" spans="1:8" x14ac:dyDescent="0.35">
      <c r="A181" s="24" t="s">
        <v>279</v>
      </c>
      <c r="B181" s="29">
        <v>45580</v>
      </c>
      <c r="C181" s="24" t="s">
        <v>648</v>
      </c>
      <c r="D181" s="21">
        <v>122</v>
      </c>
      <c r="E181" s="25">
        <v>3.98</v>
      </c>
      <c r="F181" s="26">
        <v>135.8492462311558</v>
      </c>
      <c r="G181" s="30">
        <f>IF(C181="sin control",'Efectos y supuestos'!$B$11,'Efectos y supuestos'!$B$9*MAX(0,D181-'Efectos y supuestos'!$B$10)/30)</f>
        <v>-1.5573333333333333E-2</v>
      </c>
      <c r="H181" s="14">
        <f t="shared" si="2"/>
        <v>8.4201898666666679</v>
      </c>
    </row>
    <row r="182" spans="1:8" x14ac:dyDescent="0.35">
      <c r="A182" s="24" t="s">
        <v>280</v>
      </c>
      <c r="B182" s="29">
        <v>45915</v>
      </c>
      <c r="C182" s="24" t="s">
        <v>647</v>
      </c>
      <c r="D182" s="21">
        <v>56</v>
      </c>
      <c r="E182" s="25">
        <v>6.93</v>
      </c>
      <c r="F182" s="26">
        <v>103.95815295815299</v>
      </c>
      <c r="G182" s="30">
        <f>IF(C182="sin control",'Efectos y supuestos'!$B$11,'Efectos y supuestos'!$B$9*MAX(0,D182-'Efectos y supuestos'!$B$10)/30)</f>
        <v>0</v>
      </c>
      <c r="H182" s="14">
        <f t="shared" si="2"/>
        <v>0</v>
      </c>
    </row>
    <row r="183" spans="1:8" x14ac:dyDescent="0.35">
      <c r="A183" s="24" t="s">
        <v>101</v>
      </c>
      <c r="B183" s="29">
        <v>45915</v>
      </c>
      <c r="C183" s="24" t="s">
        <v>647</v>
      </c>
      <c r="D183" s="21">
        <v>73</v>
      </c>
      <c r="E183" s="25">
        <v>12.44</v>
      </c>
      <c r="F183" s="26">
        <v>90.610932475884255</v>
      </c>
      <c r="G183" s="30">
        <f>IF(C183="sin control",'Efectos y supuestos'!$B$11,'Efectos y supuestos'!$B$9*MAX(0,D183-'Efectos y supuestos'!$B$10)/30)</f>
        <v>0</v>
      </c>
      <c r="H183" s="14">
        <f t="shared" si="2"/>
        <v>0</v>
      </c>
    </row>
    <row r="184" spans="1:8" x14ac:dyDescent="0.35">
      <c r="A184" s="24" t="s">
        <v>281</v>
      </c>
      <c r="B184" s="29">
        <v>45853</v>
      </c>
      <c r="C184" s="24" t="s">
        <v>647</v>
      </c>
      <c r="D184" s="21">
        <v>92</v>
      </c>
      <c r="E184" s="25">
        <v>5.34</v>
      </c>
      <c r="F184" s="26">
        <v>120.88764044943819</v>
      </c>
      <c r="G184" s="30">
        <f>IF(C184="sin control",'Efectos y supuestos'!$B$11,'Efectos y supuestos'!$B$9*MAX(0,D184-'Efectos y supuestos'!$B$10)/30)</f>
        <v>-9.7333333333333332E-4</v>
      </c>
      <c r="H184" s="14">
        <f t="shared" si="2"/>
        <v>0.62832559999999993</v>
      </c>
    </row>
    <row r="185" spans="1:8" x14ac:dyDescent="0.35">
      <c r="A185" s="24" t="s">
        <v>282</v>
      </c>
      <c r="B185" s="29">
        <v>45884</v>
      </c>
      <c r="C185" s="24" t="s">
        <v>647</v>
      </c>
      <c r="D185" s="21">
        <v>66</v>
      </c>
      <c r="E185" s="25">
        <v>9</v>
      </c>
      <c r="F185" s="26">
        <v>96.49</v>
      </c>
      <c r="G185" s="30">
        <f>IF(C185="sin control",'Efectos y supuestos'!$B$11,'Efectos y supuestos'!$B$9*MAX(0,D185-'Efectos y supuestos'!$B$10)/30)</f>
        <v>0</v>
      </c>
      <c r="H185" s="14">
        <f t="shared" si="2"/>
        <v>0</v>
      </c>
    </row>
    <row r="186" spans="1:8" x14ac:dyDescent="0.35">
      <c r="A186" s="24" t="s">
        <v>283</v>
      </c>
      <c r="B186" s="29">
        <v>45762</v>
      </c>
      <c r="C186" s="24" t="s">
        <v>647</v>
      </c>
      <c r="D186" s="21">
        <v>85</v>
      </c>
      <c r="E186" s="25">
        <v>11.87</v>
      </c>
      <c r="F186" s="26">
        <v>125.54675652906489</v>
      </c>
      <c r="G186" s="30">
        <f>IF(C186="sin control",'Efectos y supuestos'!$B$11,'Efectos y supuestos'!$B$9*MAX(0,D186-'Efectos y supuestos'!$B$10)/30)</f>
        <v>0</v>
      </c>
      <c r="H186" s="14">
        <f t="shared" si="2"/>
        <v>0</v>
      </c>
    </row>
    <row r="187" spans="1:8" x14ac:dyDescent="0.35">
      <c r="A187" s="24" t="s">
        <v>284</v>
      </c>
      <c r="B187" s="29">
        <v>45762</v>
      </c>
      <c r="C187" s="24" t="s">
        <v>647</v>
      </c>
      <c r="D187" s="21">
        <v>86</v>
      </c>
      <c r="E187" s="25">
        <v>4.4400000000000004</v>
      </c>
      <c r="F187" s="26">
        <v>119.0833333333333</v>
      </c>
      <c r="G187" s="30">
        <f>IF(C187="sin control",'Efectos y supuestos'!$B$11,'Efectos y supuestos'!$B$9*MAX(0,D187-'Efectos y supuestos'!$B$10)/30)</f>
        <v>0</v>
      </c>
      <c r="H187" s="14">
        <f t="shared" si="2"/>
        <v>0</v>
      </c>
    </row>
    <row r="188" spans="1:8" x14ac:dyDescent="0.35">
      <c r="A188" s="24" t="s">
        <v>285</v>
      </c>
      <c r="B188" s="29">
        <v>45823</v>
      </c>
      <c r="C188" s="24" t="s">
        <v>647</v>
      </c>
      <c r="D188" s="21">
        <v>75</v>
      </c>
      <c r="E188" s="25">
        <v>5.8</v>
      </c>
      <c r="F188" s="26">
        <v>121.32241379310349</v>
      </c>
      <c r="G188" s="30">
        <f>IF(C188="sin control",'Efectos y supuestos'!$B$11,'Efectos y supuestos'!$B$9*MAX(0,D188-'Efectos y supuestos'!$B$10)/30)</f>
        <v>0</v>
      </c>
      <c r="H188" s="14">
        <f t="shared" si="2"/>
        <v>0</v>
      </c>
    </row>
    <row r="189" spans="1:8" x14ac:dyDescent="0.35">
      <c r="A189" s="24" t="s">
        <v>286</v>
      </c>
      <c r="B189" s="29">
        <v>45884</v>
      </c>
      <c r="C189" s="24" t="s">
        <v>647</v>
      </c>
      <c r="D189" s="21">
        <v>66</v>
      </c>
      <c r="E189" s="25">
        <v>12.52</v>
      </c>
      <c r="F189" s="26">
        <v>92.825878594249204</v>
      </c>
      <c r="G189" s="30">
        <f>IF(C189="sin control",'Efectos y supuestos'!$B$11,'Efectos y supuestos'!$B$9*MAX(0,D189-'Efectos y supuestos'!$B$10)/30)</f>
        <v>0</v>
      </c>
      <c r="H189" s="14">
        <f t="shared" si="2"/>
        <v>0</v>
      </c>
    </row>
    <row r="190" spans="1:8" x14ac:dyDescent="0.35">
      <c r="A190" s="24" t="s">
        <v>287</v>
      </c>
      <c r="B190" s="29">
        <v>45853</v>
      </c>
      <c r="C190" s="24" t="s">
        <v>647</v>
      </c>
      <c r="D190" s="21">
        <v>69</v>
      </c>
      <c r="E190" s="25">
        <v>9.2200000000000006</v>
      </c>
      <c r="F190" s="26">
        <v>96.718004338394792</v>
      </c>
      <c r="G190" s="30">
        <f>IF(C190="sin control",'Efectos y supuestos'!$B$11,'Efectos y supuestos'!$B$9*MAX(0,D190-'Efectos y supuestos'!$B$10)/30)</f>
        <v>0</v>
      </c>
      <c r="H190" s="14">
        <f t="shared" si="2"/>
        <v>0</v>
      </c>
    </row>
    <row r="191" spans="1:8" x14ac:dyDescent="0.35">
      <c r="A191" s="24" t="s">
        <v>288</v>
      </c>
      <c r="B191" s="29">
        <v>45823</v>
      </c>
      <c r="C191" s="24" t="s">
        <v>647</v>
      </c>
      <c r="D191" s="21">
        <v>75</v>
      </c>
      <c r="E191" s="25">
        <v>2.89</v>
      </c>
      <c r="F191" s="26">
        <v>117.4463667820069</v>
      </c>
      <c r="G191" s="30">
        <f>IF(C191="sin control",'Efectos y supuestos'!$B$11,'Efectos y supuestos'!$B$9*MAX(0,D191-'Efectos y supuestos'!$B$10)/30)</f>
        <v>0</v>
      </c>
      <c r="H191" s="14">
        <f t="shared" si="2"/>
        <v>0</v>
      </c>
    </row>
    <row r="192" spans="1:8" x14ac:dyDescent="0.35">
      <c r="A192" s="24" t="s">
        <v>289</v>
      </c>
      <c r="B192" s="29">
        <v>45945</v>
      </c>
      <c r="C192" s="24" t="s">
        <v>647</v>
      </c>
      <c r="D192" s="21">
        <v>61</v>
      </c>
      <c r="E192" s="25">
        <v>3.09</v>
      </c>
      <c r="F192" s="26">
        <v>112.03</v>
      </c>
      <c r="G192" s="30">
        <f>IF(C192="sin control",'Efectos y supuestos'!$B$11,'Efectos y supuestos'!$B$9*MAX(0,D192-'Efectos y supuestos'!$B$10)/30)</f>
        <v>0</v>
      </c>
      <c r="H192" s="14">
        <f t="shared" si="2"/>
        <v>0</v>
      </c>
    </row>
    <row r="193" spans="1:8" x14ac:dyDescent="0.35">
      <c r="A193" s="24" t="s">
        <v>290</v>
      </c>
      <c r="B193" s="29">
        <v>45823</v>
      </c>
      <c r="C193" s="24" t="s">
        <v>647</v>
      </c>
      <c r="D193" s="21">
        <v>67</v>
      </c>
      <c r="E193" s="25">
        <v>5.56</v>
      </c>
      <c r="F193" s="26">
        <v>108.8291366906475</v>
      </c>
      <c r="G193" s="30">
        <f>IF(C193="sin control",'Efectos y supuestos'!$B$11,'Efectos y supuestos'!$B$9*MAX(0,D193-'Efectos y supuestos'!$B$10)/30)</f>
        <v>0</v>
      </c>
      <c r="H193" s="14">
        <f t="shared" si="2"/>
        <v>0</v>
      </c>
    </row>
    <row r="194" spans="1:8" x14ac:dyDescent="0.35">
      <c r="A194" s="24" t="s">
        <v>291</v>
      </c>
      <c r="B194" s="29">
        <v>45915</v>
      </c>
      <c r="C194" s="24" t="s">
        <v>647</v>
      </c>
      <c r="D194" s="21">
        <v>45</v>
      </c>
      <c r="E194" s="25">
        <v>11.97</v>
      </c>
      <c r="F194" s="26">
        <v>99.169590643274844</v>
      </c>
      <c r="G194" s="30">
        <f>IF(C194="sin control",'Efectos y supuestos'!$B$11,'Efectos y supuestos'!$B$9*MAX(0,D194-'Efectos y supuestos'!$B$10)/30)</f>
        <v>0</v>
      </c>
      <c r="H194" s="14">
        <f t="shared" si="2"/>
        <v>0</v>
      </c>
    </row>
    <row r="195" spans="1:8" x14ac:dyDescent="0.35">
      <c r="A195" s="24" t="s">
        <v>292</v>
      </c>
      <c r="B195" s="29">
        <v>45915</v>
      </c>
      <c r="C195" s="24" t="s">
        <v>647</v>
      </c>
      <c r="D195" s="21">
        <v>46</v>
      </c>
      <c r="E195" s="25">
        <v>5.34</v>
      </c>
      <c r="F195" s="26">
        <v>90.312734082397</v>
      </c>
      <c r="G195" s="30">
        <f>IF(C195="sin control",'Efectos y supuestos'!$B$11,'Efectos y supuestos'!$B$9*MAX(0,D195-'Efectos y supuestos'!$B$10)/30)</f>
        <v>0</v>
      </c>
      <c r="H195" s="14">
        <f t="shared" si="2"/>
        <v>0</v>
      </c>
    </row>
    <row r="196" spans="1:8" x14ac:dyDescent="0.35">
      <c r="A196" s="24" t="s">
        <v>397</v>
      </c>
      <c r="B196" s="29">
        <v>45945</v>
      </c>
      <c r="C196" s="24" t="s">
        <v>647</v>
      </c>
      <c r="D196" s="21">
        <v>61</v>
      </c>
      <c r="E196" s="25">
        <v>3.93</v>
      </c>
      <c r="F196" s="26">
        <v>103.39</v>
      </c>
      <c r="G196" s="30">
        <f>IF(C196="sin control",'Efectos y supuestos'!$B$11,'Efectos y supuestos'!$B$9*MAX(0,D196-'Efectos y supuestos'!$B$10)/30)</f>
        <v>0</v>
      </c>
      <c r="H196" s="14">
        <f t="shared" si="2"/>
        <v>0</v>
      </c>
    </row>
    <row r="197" spans="1:8" x14ac:dyDescent="0.35">
      <c r="A197" s="24" t="s">
        <v>426</v>
      </c>
      <c r="B197" s="29">
        <v>45823</v>
      </c>
      <c r="C197" s="24" t="s">
        <v>647</v>
      </c>
      <c r="D197" s="21">
        <v>67</v>
      </c>
      <c r="E197" s="25">
        <v>5.33</v>
      </c>
      <c r="F197" s="26">
        <v>119.14071294559101</v>
      </c>
      <c r="G197" s="30">
        <f>IF(C197="sin control",'Efectos y supuestos'!$B$11,'Efectos y supuestos'!$B$9*MAX(0,D197-'Efectos y supuestos'!$B$10)/30)</f>
        <v>0</v>
      </c>
      <c r="H197" s="14">
        <f t="shared" si="2"/>
        <v>0</v>
      </c>
    </row>
    <row r="198" spans="1:8" x14ac:dyDescent="0.35">
      <c r="A198" s="24" t="s">
        <v>293</v>
      </c>
      <c r="B198" s="29">
        <v>45823</v>
      </c>
      <c r="C198" s="24" t="s">
        <v>647</v>
      </c>
      <c r="D198" s="21">
        <v>88</v>
      </c>
      <c r="E198" s="25">
        <v>3.17</v>
      </c>
      <c r="F198" s="26">
        <v>91.419558359621462</v>
      </c>
      <c r="G198" s="30">
        <f>IF(C198="sin control",'Efectos y supuestos'!$B$11,'Efectos y supuestos'!$B$9*MAX(0,D198-'Efectos y supuestos'!$B$10)/30)</f>
        <v>0</v>
      </c>
      <c r="H198" s="14">
        <f t="shared" ref="H198:H261" si="3">-G198*F198*E198</f>
        <v>0</v>
      </c>
    </row>
    <row r="199" spans="1:8" x14ac:dyDescent="0.35">
      <c r="A199" s="24" t="s">
        <v>294</v>
      </c>
      <c r="B199" s="29">
        <v>45823</v>
      </c>
      <c r="C199" s="24" t="s">
        <v>647</v>
      </c>
      <c r="D199" s="21">
        <v>89</v>
      </c>
      <c r="E199" s="25">
        <v>4.46</v>
      </c>
      <c r="F199" s="26">
        <v>105.5762331838565</v>
      </c>
      <c r="G199" s="30">
        <f>IF(C199="sin control",'Efectos y supuestos'!$B$11,'Efectos y supuestos'!$B$9*MAX(0,D199-'Efectos y supuestos'!$B$10)/30)</f>
        <v>0</v>
      </c>
      <c r="H199" s="14">
        <f t="shared" si="3"/>
        <v>0</v>
      </c>
    </row>
    <row r="200" spans="1:8" x14ac:dyDescent="0.35">
      <c r="A200" s="24" t="s">
        <v>398</v>
      </c>
      <c r="B200" s="29">
        <v>45884</v>
      </c>
      <c r="C200" s="24" t="s">
        <v>647</v>
      </c>
      <c r="D200" s="21">
        <v>77</v>
      </c>
      <c r="E200" s="25">
        <v>5.92</v>
      </c>
      <c r="F200" s="26">
        <v>115.0422297297297</v>
      </c>
      <c r="G200" s="30">
        <f>IF(C200="sin control",'Efectos y supuestos'!$B$11,'Efectos y supuestos'!$B$9*MAX(0,D200-'Efectos y supuestos'!$B$10)/30)</f>
        <v>0</v>
      </c>
      <c r="H200" s="14">
        <f t="shared" si="3"/>
        <v>0</v>
      </c>
    </row>
    <row r="201" spans="1:8" x14ac:dyDescent="0.35">
      <c r="A201" s="24" t="s">
        <v>295</v>
      </c>
      <c r="B201" s="29">
        <v>45823</v>
      </c>
      <c r="C201" s="24" t="s">
        <v>647</v>
      </c>
      <c r="D201" s="21">
        <v>67</v>
      </c>
      <c r="E201" s="25">
        <v>3.66</v>
      </c>
      <c r="F201" s="26">
        <v>148.75956284153011</v>
      </c>
      <c r="G201" s="30">
        <f>IF(C201="sin control",'Efectos y supuestos'!$B$11,'Efectos y supuestos'!$B$9*MAX(0,D201-'Efectos y supuestos'!$B$10)/30)</f>
        <v>0</v>
      </c>
      <c r="H201" s="14">
        <f t="shared" si="3"/>
        <v>0</v>
      </c>
    </row>
    <row r="202" spans="1:8" x14ac:dyDescent="0.35">
      <c r="A202" s="24" t="s">
        <v>296</v>
      </c>
      <c r="B202" s="29">
        <v>45823</v>
      </c>
      <c r="C202" s="24" t="s">
        <v>647</v>
      </c>
      <c r="D202" s="21">
        <v>67</v>
      </c>
      <c r="E202" s="25">
        <v>2.14</v>
      </c>
      <c r="F202" s="26">
        <v>123.2429906542056</v>
      </c>
      <c r="G202" s="30">
        <f>IF(C202="sin control",'Efectos y supuestos'!$B$11,'Efectos y supuestos'!$B$9*MAX(0,D202-'Efectos y supuestos'!$B$10)/30)</f>
        <v>0</v>
      </c>
      <c r="H202" s="14">
        <f t="shared" si="3"/>
        <v>0</v>
      </c>
    </row>
    <row r="203" spans="1:8" x14ac:dyDescent="0.35">
      <c r="A203" s="24" t="s">
        <v>297</v>
      </c>
      <c r="B203" s="29">
        <v>45823</v>
      </c>
      <c r="C203" s="24" t="s">
        <v>647</v>
      </c>
      <c r="D203" s="21">
        <v>88</v>
      </c>
      <c r="E203" s="25">
        <v>1.55</v>
      </c>
      <c r="F203" s="26">
        <v>143</v>
      </c>
      <c r="G203" s="30">
        <f>IF(C203="sin control",'Efectos y supuestos'!$B$11,'Efectos y supuestos'!$B$9*MAX(0,D203-'Efectos y supuestos'!$B$10)/30)</f>
        <v>0</v>
      </c>
      <c r="H203" s="14">
        <f t="shared" si="3"/>
        <v>0</v>
      </c>
    </row>
    <row r="204" spans="1:8" x14ac:dyDescent="0.35">
      <c r="A204" s="24" t="s">
        <v>399</v>
      </c>
      <c r="B204" s="29">
        <v>45945</v>
      </c>
      <c r="C204" s="24" t="s">
        <v>647</v>
      </c>
      <c r="D204" s="21">
        <v>61</v>
      </c>
      <c r="E204" s="25">
        <v>2.35</v>
      </c>
      <c r="F204" s="26">
        <v>134.43</v>
      </c>
      <c r="G204" s="30">
        <f>IF(C204="sin control",'Efectos y supuestos'!$B$11,'Efectos y supuestos'!$B$9*MAX(0,D204-'Efectos y supuestos'!$B$10)/30)</f>
        <v>0</v>
      </c>
      <c r="H204" s="14">
        <f t="shared" si="3"/>
        <v>0</v>
      </c>
    </row>
    <row r="205" spans="1:8" x14ac:dyDescent="0.35">
      <c r="A205" s="24" t="s">
        <v>298</v>
      </c>
      <c r="B205" s="29">
        <v>45915</v>
      </c>
      <c r="C205" s="24" t="s">
        <v>647</v>
      </c>
      <c r="D205" s="21">
        <v>56</v>
      </c>
      <c r="E205" s="25">
        <v>6.37</v>
      </c>
      <c r="F205" s="26">
        <v>95.949764521193103</v>
      </c>
      <c r="G205" s="30">
        <f>IF(C205="sin control",'Efectos y supuestos'!$B$11,'Efectos y supuestos'!$B$9*MAX(0,D205-'Efectos y supuestos'!$B$10)/30)</f>
        <v>0</v>
      </c>
      <c r="H205" s="14">
        <f t="shared" si="3"/>
        <v>0</v>
      </c>
    </row>
    <row r="206" spans="1:8" x14ac:dyDescent="0.35">
      <c r="A206" s="24" t="s">
        <v>299</v>
      </c>
      <c r="B206" s="29">
        <v>45703</v>
      </c>
      <c r="C206" s="24" t="s">
        <v>647</v>
      </c>
      <c r="D206" s="21">
        <v>69</v>
      </c>
      <c r="E206" s="25">
        <v>6.12</v>
      </c>
      <c r="F206" s="26">
        <v>104.92156862745099</v>
      </c>
      <c r="G206" s="30">
        <f>IF(C206="sin control",'Efectos y supuestos'!$B$11,'Efectos y supuestos'!$B$9*MAX(0,D206-'Efectos y supuestos'!$B$10)/30)</f>
        <v>0</v>
      </c>
      <c r="H206" s="14">
        <f t="shared" si="3"/>
        <v>0</v>
      </c>
    </row>
    <row r="207" spans="1:8" x14ac:dyDescent="0.35">
      <c r="A207" s="24" t="s">
        <v>300</v>
      </c>
      <c r="B207" s="29">
        <v>45703</v>
      </c>
      <c r="C207" s="24" t="s">
        <v>647</v>
      </c>
      <c r="D207" s="21">
        <v>69</v>
      </c>
      <c r="E207" s="25">
        <v>0.23</v>
      </c>
      <c r="F207" s="26">
        <v>144.78260869565219</v>
      </c>
      <c r="G207" s="30">
        <f>IF(C207="sin control",'Efectos y supuestos'!$B$11,'Efectos y supuestos'!$B$9*MAX(0,D207-'Efectos y supuestos'!$B$10)/30)</f>
        <v>0</v>
      </c>
      <c r="H207" s="14">
        <f t="shared" si="3"/>
        <v>0</v>
      </c>
    </row>
    <row r="208" spans="1:8" x14ac:dyDescent="0.35">
      <c r="A208" s="24" t="s">
        <v>302</v>
      </c>
      <c r="B208" s="29">
        <v>45823</v>
      </c>
      <c r="C208" s="24" t="s">
        <v>647</v>
      </c>
      <c r="D208" s="21">
        <v>75</v>
      </c>
      <c r="E208" s="25">
        <v>4.0199999999999996</v>
      </c>
      <c r="F208" s="26">
        <v>116.4253731343284</v>
      </c>
      <c r="G208" s="30">
        <f>IF(C208="sin control",'Efectos y supuestos'!$B$11,'Efectos y supuestos'!$B$9*MAX(0,D208-'Efectos y supuestos'!$B$10)/30)</f>
        <v>0</v>
      </c>
      <c r="H208" s="14">
        <f t="shared" si="3"/>
        <v>0</v>
      </c>
    </row>
    <row r="209" spans="1:8" x14ac:dyDescent="0.35">
      <c r="A209" s="24" t="s">
        <v>303</v>
      </c>
      <c r="B209" s="29">
        <v>45731</v>
      </c>
      <c r="C209" s="24" t="s">
        <v>647</v>
      </c>
      <c r="D209" s="21">
        <v>24</v>
      </c>
      <c r="E209" s="25">
        <v>8.85</v>
      </c>
      <c r="F209" s="26">
        <v>110.7728813559322</v>
      </c>
      <c r="G209" s="30">
        <f>IF(C209="sin control",'Efectos y supuestos'!$B$11,'Efectos y supuestos'!$B$9*MAX(0,D209-'Efectos y supuestos'!$B$10)/30)</f>
        <v>0</v>
      </c>
      <c r="H209" s="14">
        <f t="shared" si="3"/>
        <v>0</v>
      </c>
    </row>
    <row r="210" spans="1:8" x14ac:dyDescent="0.35">
      <c r="A210" s="24" t="s">
        <v>428</v>
      </c>
      <c r="B210" s="29">
        <v>45884</v>
      </c>
      <c r="C210" s="24" t="s">
        <v>647</v>
      </c>
      <c r="D210" s="21">
        <v>66</v>
      </c>
      <c r="E210" s="25">
        <v>1.32</v>
      </c>
      <c r="F210" s="26">
        <v>144.3787878787879</v>
      </c>
      <c r="G210" s="30">
        <f>IF(C210="sin control",'Efectos y supuestos'!$B$11,'Efectos y supuestos'!$B$9*MAX(0,D210-'Efectos y supuestos'!$B$10)/30)</f>
        <v>0</v>
      </c>
      <c r="H210" s="14">
        <f t="shared" si="3"/>
        <v>0</v>
      </c>
    </row>
    <row r="211" spans="1:8" x14ac:dyDescent="0.35">
      <c r="A211" s="24" t="s">
        <v>429</v>
      </c>
      <c r="B211" s="29">
        <v>45884</v>
      </c>
      <c r="C211" s="24" t="s">
        <v>647</v>
      </c>
      <c r="D211" s="21">
        <v>66</v>
      </c>
      <c r="E211" s="25">
        <v>1.19</v>
      </c>
      <c r="F211" s="26">
        <v>85.361344537815128</v>
      </c>
      <c r="G211" s="30">
        <f>IF(C211="sin control",'Efectos y supuestos'!$B$11,'Efectos y supuestos'!$B$9*MAX(0,D211-'Efectos y supuestos'!$B$10)/30)</f>
        <v>0</v>
      </c>
      <c r="H211" s="14">
        <f t="shared" si="3"/>
        <v>0</v>
      </c>
    </row>
    <row r="212" spans="1:8" x14ac:dyDescent="0.35">
      <c r="A212" s="24" t="s">
        <v>304</v>
      </c>
      <c r="B212" s="29">
        <v>45823</v>
      </c>
      <c r="C212" s="24" t="s">
        <v>647</v>
      </c>
      <c r="D212" s="21">
        <v>121</v>
      </c>
      <c r="E212" s="25">
        <v>8.9600000000000009</v>
      </c>
      <c r="F212" s="26">
        <v>119.0859375</v>
      </c>
      <c r="G212" s="30">
        <f>IF(C212="sin control",'Efectos y supuestos'!$B$11,'Efectos y supuestos'!$B$9*MAX(0,D212-'Efectos y supuestos'!$B$10)/30)</f>
        <v>-1.5086666666666667E-2</v>
      </c>
      <c r="H212" s="14">
        <f t="shared" si="3"/>
        <v>16.097624200000002</v>
      </c>
    </row>
    <row r="213" spans="1:8" x14ac:dyDescent="0.35">
      <c r="A213" s="24" t="s">
        <v>305</v>
      </c>
      <c r="B213" s="29">
        <v>45823</v>
      </c>
      <c r="C213" s="24" t="s">
        <v>647</v>
      </c>
      <c r="D213" s="21">
        <v>100</v>
      </c>
      <c r="E213" s="25">
        <v>5.93</v>
      </c>
      <c r="F213" s="26">
        <v>132.60370994940979</v>
      </c>
      <c r="G213" s="30">
        <f>IF(C213="sin control",'Efectos y supuestos'!$B$11,'Efectos y supuestos'!$B$9*MAX(0,D213-'Efectos y supuestos'!$B$10)/30)</f>
        <v>-4.8666666666666667E-3</v>
      </c>
      <c r="H213" s="14">
        <f t="shared" si="3"/>
        <v>3.8268546666666663</v>
      </c>
    </row>
    <row r="214" spans="1:8" x14ac:dyDescent="0.35">
      <c r="A214" s="24" t="s">
        <v>306</v>
      </c>
      <c r="B214" s="29">
        <v>45945</v>
      </c>
      <c r="C214" s="24" t="s">
        <v>647</v>
      </c>
      <c r="D214" s="21">
        <v>59</v>
      </c>
      <c r="E214" s="25">
        <v>18.489999999999998</v>
      </c>
      <c r="F214" s="26">
        <v>121.13</v>
      </c>
      <c r="G214" s="30">
        <f>IF(C214="sin control",'Efectos y supuestos'!$B$11,'Efectos y supuestos'!$B$9*MAX(0,D214-'Efectos y supuestos'!$B$10)/30)</f>
        <v>0</v>
      </c>
      <c r="H214" s="14">
        <f t="shared" si="3"/>
        <v>0</v>
      </c>
    </row>
    <row r="215" spans="1:8" x14ac:dyDescent="0.35">
      <c r="A215" s="24" t="s">
        <v>307</v>
      </c>
      <c r="B215" s="29">
        <v>45884</v>
      </c>
      <c r="C215" s="24" t="s">
        <v>647</v>
      </c>
      <c r="D215" s="21">
        <v>85</v>
      </c>
      <c r="E215" s="25">
        <v>18.63</v>
      </c>
      <c r="F215" s="26">
        <v>129.1551261406334</v>
      </c>
      <c r="G215" s="30">
        <f>IF(C215="sin control",'Efectos y supuestos'!$B$11,'Efectos y supuestos'!$B$9*MAX(0,D215-'Efectos y supuestos'!$B$10)/30)</f>
        <v>0</v>
      </c>
      <c r="H215" s="14">
        <f t="shared" si="3"/>
        <v>0</v>
      </c>
    </row>
    <row r="216" spans="1:8" x14ac:dyDescent="0.35">
      <c r="A216" s="24" t="s">
        <v>309</v>
      </c>
      <c r="B216" s="29">
        <v>45823</v>
      </c>
      <c r="C216" s="24" t="s">
        <v>647</v>
      </c>
      <c r="D216" s="21">
        <v>79</v>
      </c>
      <c r="E216" s="25">
        <v>4.59</v>
      </c>
      <c r="F216" s="26">
        <v>109.77559912854031</v>
      </c>
      <c r="G216" s="30">
        <f>IF(C216="sin control",'Efectos y supuestos'!$B$11,'Efectos y supuestos'!$B$9*MAX(0,D216-'Efectos y supuestos'!$B$10)/30)</f>
        <v>0</v>
      </c>
      <c r="H216" s="14">
        <f t="shared" si="3"/>
        <v>0</v>
      </c>
    </row>
    <row r="217" spans="1:8" x14ac:dyDescent="0.35">
      <c r="A217" s="24" t="s">
        <v>102</v>
      </c>
      <c r="B217" s="29">
        <v>45915</v>
      </c>
      <c r="C217" s="24" t="s">
        <v>647</v>
      </c>
      <c r="D217" s="21">
        <v>55</v>
      </c>
      <c r="E217" s="25">
        <v>4.75</v>
      </c>
      <c r="F217" s="26">
        <v>121.85052631578949</v>
      </c>
      <c r="G217" s="30">
        <f>IF(C217="sin control",'Efectos y supuestos'!$B$11,'Efectos y supuestos'!$B$9*MAX(0,D217-'Efectos y supuestos'!$B$10)/30)</f>
        <v>0</v>
      </c>
      <c r="H217" s="14">
        <f t="shared" si="3"/>
        <v>0</v>
      </c>
    </row>
    <row r="218" spans="1:8" x14ac:dyDescent="0.35">
      <c r="A218" s="24" t="s">
        <v>310</v>
      </c>
      <c r="B218" s="29">
        <v>45731</v>
      </c>
      <c r="C218" s="24" t="s">
        <v>647</v>
      </c>
      <c r="D218" s="21">
        <v>66</v>
      </c>
      <c r="E218" s="25">
        <v>8.81</v>
      </c>
      <c r="F218" s="26">
        <v>84.362088535754822</v>
      </c>
      <c r="G218" s="30">
        <f>IF(C218="sin control",'Efectos y supuestos'!$B$11,'Efectos y supuestos'!$B$9*MAX(0,D218-'Efectos y supuestos'!$B$10)/30)</f>
        <v>0</v>
      </c>
      <c r="H218" s="14">
        <f t="shared" si="3"/>
        <v>0</v>
      </c>
    </row>
    <row r="219" spans="1:8" x14ac:dyDescent="0.35">
      <c r="A219" s="24" t="s">
        <v>311</v>
      </c>
      <c r="B219" s="29">
        <v>45731</v>
      </c>
      <c r="C219" s="24" t="s">
        <v>647</v>
      </c>
      <c r="D219" s="21">
        <v>65</v>
      </c>
      <c r="E219" s="25">
        <v>11.25</v>
      </c>
      <c r="F219" s="26">
        <v>97.227555555555554</v>
      </c>
      <c r="G219" s="30">
        <f>IF(C219="sin control",'Efectos y supuestos'!$B$11,'Efectos y supuestos'!$B$9*MAX(0,D219-'Efectos y supuestos'!$B$10)/30)</f>
        <v>0</v>
      </c>
      <c r="H219" s="14">
        <f t="shared" si="3"/>
        <v>0</v>
      </c>
    </row>
    <row r="220" spans="1:8" x14ac:dyDescent="0.35">
      <c r="A220" s="24" t="s">
        <v>430</v>
      </c>
      <c r="B220" s="29">
        <v>45823</v>
      </c>
      <c r="C220" s="24" t="s">
        <v>647</v>
      </c>
      <c r="D220" s="21">
        <v>99</v>
      </c>
      <c r="E220" s="25">
        <v>15.59</v>
      </c>
      <c r="F220" s="26">
        <v>114.3014753046825</v>
      </c>
      <c r="G220" s="30">
        <f>IF(C220="sin control",'Efectos y supuestos'!$B$11,'Efectos y supuestos'!$B$9*MAX(0,D220-'Efectos y supuestos'!$B$10)/30)</f>
        <v>-4.3799999999999993E-3</v>
      </c>
      <c r="H220" s="14">
        <f t="shared" si="3"/>
        <v>7.8049847999999997</v>
      </c>
    </row>
    <row r="221" spans="1:8" x14ac:dyDescent="0.35">
      <c r="A221" s="24" t="s">
        <v>312</v>
      </c>
      <c r="B221" s="29">
        <v>45853</v>
      </c>
      <c r="C221" s="24" t="s">
        <v>647</v>
      </c>
      <c r="D221" s="21">
        <v>71</v>
      </c>
      <c r="E221" s="25">
        <v>11.96</v>
      </c>
      <c r="F221" s="26">
        <v>153.88712374581939</v>
      </c>
      <c r="G221" s="30">
        <f>IF(C221="sin control",'Efectos y supuestos'!$B$11,'Efectos y supuestos'!$B$9*MAX(0,D221-'Efectos y supuestos'!$B$10)/30)</f>
        <v>0</v>
      </c>
      <c r="H221" s="14">
        <f t="shared" si="3"/>
        <v>0</v>
      </c>
    </row>
    <row r="222" spans="1:8" x14ac:dyDescent="0.35">
      <c r="A222" s="24" t="s">
        <v>314</v>
      </c>
      <c r="B222" s="29">
        <v>45884</v>
      </c>
      <c r="C222" s="24" t="s">
        <v>647</v>
      </c>
      <c r="D222" s="21">
        <v>75</v>
      </c>
      <c r="E222" s="25">
        <v>3.06</v>
      </c>
      <c r="F222" s="26">
        <v>146.19607843137251</v>
      </c>
      <c r="G222" s="30">
        <f>IF(C222="sin control",'Efectos y supuestos'!$B$11,'Efectos y supuestos'!$B$9*MAX(0,D222-'Efectos y supuestos'!$B$10)/30)</f>
        <v>0</v>
      </c>
      <c r="H222" s="14">
        <f t="shared" si="3"/>
        <v>0</v>
      </c>
    </row>
    <row r="223" spans="1:8" x14ac:dyDescent="0.35">
      <c r="A223" s="24" t="s">
        <v>431</v>
      </c>
      <c r="B223" s="29">
        <v>45823</v>
      </c>
      <c r="C223" s="24" t="s">
        <v>647</v>
      </c>
      <c r="D223" s="21">
        <v>67</v>
      </c>
      <c r="E223" s="25">
        <v>6.03</v>
      </c>
      <c r="F223" s="26">
        <v>113.5157545605307</v>
      </c>
      <c r="G223" s="30">
        <f>IF(C223="sin control",'Efectos y supuestos'!$B$11,'Efectos y supuestos'!$B$9*MAX(0,D223-'Efectos y supuestos'!$B$10)/30)</f>
        <v>0</v>
      </c>
      <c r="H223" s="14">
        <f t="shared" si="3"/>
        <v>0</v>
      </c>
    </row>
    <row r="224" spans="1:8" x14ac:dyDescent="0.35">
      <c r="A224" s="24" t="s">
        <v>402</v>
      </c>
      <c r="B224" s="29">
        <v>45915</v>
      </c>
      <c r="C224" s="24" t="s">
        <v>647</v>
      </c>
      <c r="D224" s="21">
        <v>55</v>
      </c>
      <c r="E224" s="25">
        <v>17.62</v>
      </c>
      <c r="F224" s="26">
        <v>109.13110102156639</v>
      </c>
      <c r="G224" s="30">
        <f>IF(C224="sin control",'Efectos y supuestos'!$B$11,'Efectos y supuestos'!$B$9*MAX(0,D224-'Efectos y supuestos'!$B$10)/30)</f>
        <v>0</v>
      </c>
      <c r="H224" s="14">
        <f t="shared" si="3"/>
        <v>0</v>
      </c>
    </row>
    <row r="225" spans="1:8" x14ac:dyDescent="0.35">
      <c r="A225" s="24" t="s">
        <v>315</v>
      </c>
      <c r="B225" s="29">
        <v>45884</v>
      </c>
      <c r="C225" s="24" t="s">
        <v>647</v>
      </c>
      <c r="D225" s="21">
        <v>75</v>
      </c>
      <c r="E225" s="25">
        <v>1.41</v>
      </c>
      <c r="F225" s="26">
        <v>90.361702127659584</v>
      </c>
      <c r="G225" s="30">
        <f>IF(C225="sin control",'Efectos y supuestos'!$B$11,'Efectos y supuestos'!$B$9*MAX(0,D225-'Efectos y supuestos'!$B$10)/30)</f>
        <v>0</v>
      </c>
      <c r="H225" s="14">
        <f t="shared" si="3"/>
        <v>0</v>
      </c>
    </row>
    <row r="226" spans="1:8" x14ac:dyDescent="0.35">
      <c r="A226" s="24" t="s">
        <v>316</v>
      </c>
      <c r="B226" s="29">
        <v>45853</v>
      </c>
      <c r="C226" s="24" t="s">
        <v>647</v>
      </c>
      <c r="D226" s="21">
        <v>49</v>
      </c>
      <c r="E226" s="25">
        <v>9.89</v>
      </c>
      <c r="F226" s="26">
        <v>108.6137512639029</v>
      </c>
      <c r="G226" s="30">
        <f>IF(C226="sin control",'Efectos y supuestos'!$B$11,'Efectos y supuestos'!$B$9*MAX(0,D226-'Efectos y supuestos'!$B$10)/30)</f>
        <v>0</v>
      </c>
      <c r="H226" s="14">
        <f t="shared" si="3"/>
        <v>0</v>
      </c>
    </row>
    <row r="227" spans="1:8" x14ac:dyDescent="0.35">
      <c r="A227" s="24" t="s">
        <v>403</v>
      </c>
      <c r="B227" s="29">
        <v>45915</v>
      </c>
      <c r="C227" s="24" t="s">
        <v>647</v>
      </c>
      <c r="D227" s="21">
        <v>53</v>
      </c>
      <c r="E227" s="25">
        <v>10.37</v>
      </c>
      <c r="F227" s="26">
        <v>106.2796528447444</v>
      </c>
      <c r="G227" s="30">
        <f>IF(C227="sin control",'Efectos y supuestos'!$B$11,'Efectos y supuestos'!$B$9*MAX(0,D227-'Efectos y supuestos'!$B$10)/30)</f>
        <v>0</v>
      </c>
      <c r="H227" s="14">
        <f t="shared" si="3"/>
        <v>0</v>
      </c>
    </row>
    <row r="228" spans="1:8" x14ac:dyDescent="0.35">
      <c r="A228" s="24" t="s">
        <v>317</v>
      </c>
      <c r="B228" s="29">
        <v>45853</v>
      </c>
      <c r="C228" s="24" t="s">
        <v>647</v>
      </c>
      <c r="D228" s="21">
        <v>70</v>
      </c>
      <c r="E228" s="25">
        <v>5.84</v>
      </c>
      <c r="F228" s="26">
        <v>112.74486301369861</v>
      </c>
      <c r="G228" s="30">
        <f>IF(C228="sin control",'Efectos y supuestos'!$B$11,'Efectos y supuestos'!$B$9*MAX(0,D228-'Efectos y supuestos'!$B$10)/30)</f>
        <v>0</v>
      </c>
      <c r="H228" s="14">
        <f t="shared" si="3"/>
        <v>0</v>
      </c>
    </row>
    <row r="229" spans="1:8" x14ac:dyDescent="0.35">
      <c r="A229" s="24" t="s">
        <v>318</v>
      </c>
      <c r="B229" s="29">
        <v>45853</v>
      </c>
      <c r="C229" s="24" t="s">
        <v>647</v>
      </c>
      <c r="D229" s="21">
        <v>70</v>
      </c>
      <c r="E229" s="25">
        <v>12.19</v>
      </c>
      <c r="F229" s="26">
        <v>108.9926168990976</v>
      </c>
      <c r="G229" s="30">
        <f>IF(C229="sin control",'Efectos y supuestos'!$B$11,'Efectos y supuestos'!$B$9*MAX(0,D229-'Efectos y supuestos'!$B$10)/30)</f>
        <v>0</v>
      </c>
      <c r="H229" s="14">
        <f t="shared" si="3"/>
        <v>0</v>
      </c>
    </row>
    <row r="230" spans="1:8" x14ac:dyDescent="0.35">
      <c r="A230" s="24" t="s">
        <v>319</v>
      </c>
      <c r="B230" s="29">
        <v>45853</v>
      </c>
      <c r="C230" s="24" t="s">
        <v>647</v>
      </c>
      <c r="D230" s="21">
        <v>83</v>
      </c>
      <c r="E230" s="25">
        <v>3.71</v>
      </c>
      <c r="F230" s="26">
        <v>126.8140161725067</v>
      </c>
      <c r="G230" s="30">
        <f>IF(C230="sin control",'Efectos y supuestos'!$B$11,'Efectos y supuestos'!$B$9*MAX(0,D230-'Efectos y supuestos'!$B$10)/30)</f>
        <v>0</v>
      </c>
      <c r="H230" s="14">
        <f t="shared" si="3"/>
        <v>0</v>
      </c>
    </row>
    <row r="231" spans="1:8" x14ac:dyDescent="0.35">
      <c r="A231" s="24" t="s">
        <v>320</v>
      </c>
      <c r="B231" s="29">
        <v>45884</v>
      </c>
      <c r="C231" s="24" t="s">
        <v>647</v>
      </c>
      <c r="D231" s="21">
        <v>52</v>
      </c>
      <c r="E231" s="25">
        <v>3.98</v>
      </c>
      <c r="F231" s="26">
        <v>87.288944723618101</v>
      </c>
      <c r="G231" s="30">
        <f>IF(C231="sin control",'Efectos y supuestos'!$B$11,'Efectos y supuestos'!$B$9*MAX(0,D231-'Efectos y supuestos'!$B$10)/30)</f>
        <v>0</v>
      </c>
      <c r="H231" s="14">
        <f t="shared" si="3"/>
        <v>0</v>
      </c>
    </row>
    <row r="232" spans="1:8" x14ac:dyDescent="0.35">
      <c r="A232" s="24" t="s">
        <v>321</v>
      </c>
      <c r="B232" s="29">
        <v>45853</v>
      </c>
      <c r="C232" s="24" t="s">
        <v>647</v>
      </c>
      <c r="D232" s="21">
        <v>72</v>
      </c>
      <c r="E232" s="25">
        <v>2.35</v>
      </c>
      <c r="F232" s="26">
        <v>100.1276595744681</v>
      </c>
      <c r="G232" s="30">
        <f>IF(C232="sin control",'Efectos y supuestos'!$B$11,'Efectos y supuestos'!$B$9*MAX(0,D232-'Efectos y supuestos'!$B$10)/30)</f>
        <v>0</v>
      </c>
      <c r="H232" s="14">
        <f t="shared" si="3"/>
        <v>0</v>
      </c>
    </row>
    <row r="233" spans="1:8" x14ac:dyDescent="0.35">
      <c r="A233" s="24" t="s">
        <v>322</v>
      </c>
      <c r="B233" s="29">
        <v>45884</v>
      </c>
      <c r="C233" s="24" t="s">
        <v>647</v>
      </c>
      <c r="D233" s="21">
        <v>52</v>
      </c>
      <c r="E233" s="25">
        <v>2.68</v>
      </c>
      <c r="F233" s="26">
        <v>78.242537313432834</v>
      </c>
      <c r="G233" s="30">
        <f>IF(C233="sin control",'Efectos y supuestos'!$B$11,'Efectos y supuestos'!$B$9*MAX(0,D233-'Efectos y supuestos'!$B$10)/30)</f>
        <v>0</v>
      </c>
      <c r="H233" s="14">
        <f t="shared" si="3"/>
        <v>0</v>
      </c>
    </row>
    <row r="234" spans="1:8" x14ac:dyDescent="0.35">
      <c r="A234" s="24" t="s">
        <v>323</v>
      </c>
      <c r="B234" s="29">
        <v>45884</v>
      </c>
      <c r="C234" s="24" t="s">
        <v>647</v>
      </c>
      <c r="D234" s="21">
        <v>89</v>
      </c>
      <c r="E234" s="25">
        <v>13.47</v>
      </c>
      <c r="F234" s="26">
        <v>124.2576095025984</v>
      </c>
      <c r="G234" s="30">
        <f>IF(C234="sin control",'Efectos y supuestos'!$B$11,'Efectos y supuestos'!$B$9*MAX(0,D234-'Efectos y supuestos'!$B$10)/30)</f>
        <v>0</v>
      </c>
      <c r="H234" s="14">
        <f t="shared" si="3"/>
        <v>0</v>
      </c>
    </row>
    <row r="235" spans="1:8" x14ac:dyDescent="0.35">
      <c r="A235" s="24" t="s">
        <v>324</v>
      </c>
      <c r="B235" s="29">
        <v>45853</v>
      </c>
      <c r="C235" s="24" t="s">
        <v>647</v>
      </c>
      <c r="D235" s="21">
        <v>108</v>
      </c>
      <c r="E235" s="25">
        <v>29.4</v>
      </c>
      <c r="F235" s="26">
        <v>117.35748299319729</v>
      </c>
      <c r="G235" s="30">
        <f>IF(C235="sin control",'Efectos y supuestos'!$B$11,'Efectos y supuestos'!$B$9*MAX(0,D235-'Efectos y supuestos'!$B$10)/30)</f>
        <v>-8.7599999999999987E-3</v>
      </c>
      <c r="H235" s="14">
        <f t="shared" si="3"/>
        <v>30.2247156</v>
      </c>
    </row>
    <row r="236" spans="1:8" x14ac:dyDescent="0.35">
      <c r="A236" s="24" t="s">
        <v>325</v>
      </c>
      <c r="B236" s="29">
        <v>45884</v>
      </c>
      <c r="C236" s="24" t="s">
        <v>647</v>
      </c>
      <c r="D236" s="21">
        <v>88</v>
      </c>
      <c r="E236" s="25">
        <v>15.65</v>
      </c>
      <c r="F236" s="26">
        <v>125.5424920127795</v>
      </c>
      <c r="G236" s="30">
        <f>IF(C236="sin control",'Efectos y supuestos'!$B$11,'Efectos y supuestos'!$B$9*MAX(0,D236-'Efectos y supuestos'!$B$10)/30)</f>
        <v>0</v>
      </c>
      <c r="H236" s="14">
        <f t="shared" si="3"/>
        <v>0</v>
      </c>
    </row>
    <row r="237" spans="1:8" x14ac:dyDescent="0.35">
      <c r="A237" s="24" t="s">
        <v>103</v>
      </c>
      <c r="B237" s="29">
        <v>45915</v>
      </c>
      <c r="C237" s="24" t="s">
        <v>647</v>
      </c>
      <c r="D237" s="21">
        <v>77</v>
      </c>
      <c r="E237" s="25">
        <v>4</v>
      </c>
      <c r="F237" s="26">
        <v>128.35</v>
      </c>
      <c r="G237" s="30">
        <f>IF(C237="sin control",'Efectos y supuestos'!$B$11,'Efectos y supuestos'!$B$9*MAX(0,D237-'Efectos y supuestos'!$B$10)/30)</f>
        <v>0</v>
      </c>
      <c r="H237" s="14">
        <f t="shared" si="3"/>
        <v>0</v>
      </c>
    </row>
    <row r="238" spans="1:8" x14ac:dyDescent="0.35">
      <c r="A238" s="24" t="s">
        <v>326</v>
      </c>
      <c r="B238" s="29">
        <v>45884</v>
      </c>
      <c r="C238" s="24" t="s">
        <v>647</v>
      </c>
      <c r="D238" s="21">
        <v>82</v>
      </c>
      <c r="E238" s="25">
        <v>15.12</v>
      </c>
      <c r="F238" s="26">
        <v>127.3214285714286</v>
      </c>
      <c r="G238" s="30">
        <f>IF(C238="sin control",'Efectos y supuestos'!$B$11,'Efectos y supuestos'!$B$9*MAX(0,D238-'Efectos y supuestos'!$B$10)/30)</f>
        <v>0</v>
      </c>
      <c r="H238" s="14">
        <f t="shared" si="3"/>
        <v>0</v>
      </c>
    </row>
    <row r="239" spans="1:8" x14ac:dyDescent="0.35">
      <c r="A239" s="24" t="s">
        <v>327</v>
      </c>
      <c r="B239" s="29">
        <v>45884</v>
      </c>
      <c r="C239" s="24" t="s">
        <v>647</v>
      </c>
      <c r="D239" s="21">
        <v>81</v>
      </c>
      <c r="E239" s="25">
        <v>15.99</v>
      </c>
      <c r="F239" s="26">
        <v>123.9962476547842</v>
      </c>
      <c r="G239" s="30">
        <f>IF(C239="sin control",'Efectos y supuestos'!$B$11,'Efectos y supuestos'!$B$9*MAX(0,D239-'Efectos y supuestos'!$B$10)/30)</f>
        <v>0</v>
      </c>
      <c r="H239" s="14">
        <f t="shared" si="3"/>
        <v>0</v>
      </c>
    </row>
    <row r="240" spans="1:8" x14ac:dyDescent="0.35">
      <c r="A240" s="24" t="s">
        <v>328</v>
      </c>
      <c r="B240" s="29">
        <v>45762</v>
      </c>
      <c r="C240" s="24" t="s">
        <v>647</v>
      </c>
      <c r="D240" s="21">
        <v>108</v>
      </c>
      <c r="E240" s="25">
        <v>19.38</v>
      </c>
      <c r="F240" s="26">
        <v>122.015479876161</v>
      </c>
      <c r="G240" s="30">
        <f>IF(C240="sin control",'Efectos y supuestos'!$B$11,'Efectos y supuestos'!$B$9*MAX(0,D240-'Efectos y supuestos'!$B$10)/30)</f>
        <v>-8.7599999999999987E-3</v>
      </c>
      <c r="H240" s="14">
        <f t="shared" si="3"/>
        <v>20.714421599999998</v>
      </c>
    </row>
    <row r="241" spans="1:8" x14ac:dyDescent="0.35">
      <c r="A241" s="24" t="s">
        <v>432</v>
      </c>
      <c r="B241" s="29">
        <v>46006</v>
      </c>
      <c r="C241" s="24" t="s">
        <v>647</v>
      </c>
      <c r="D241" s="21">
        <v>1</v>
      </c>
      <c r="E241" s="25">
        <v>1.62</v>
      </c>
      <c r="F241" s="26">
        <v>110.0864197530864</v>
      </c>
      <c r="G241" s="30">
        <f>IF(C241="sin control",'Efectos y supuestos'!$B$11,'Efectos y supuestos'!$B$9*MAX(0,D241-'Efectos y supuestos'!$B$10)/30)</f>
        <v>0</v>
      </c>
      <c r="H241" s="14">
        <f t="shared" si="3"/>
        <v>0</v>
      </c>
    </row>
    <row r="242" spans="1:8" x14ac:dyDescent="0.35">
      <c r="A242" s="24" t="s">
        <v>104</v>
      </c>
      <c r="B242" s="29">
        <v>45915</v>
      </c>
      <c r="C242" s="24" t="s">
        <v>647</v>
      </c>
      <c r="D242" s="21">
        <v>92</v>
      </c>
      <c r="E242" s="25">
        <v>1.8</v>
      </c>
      <c r="F242" s="26">
        <v>134.07</v>
      </c>
      <c r="G242" s="30">
        <f>IF(C242="sin control",'Efectos y supuestos'!$B$11,'Efectos y supuestos'!$B$9*MAX(0,D242-'Efectos y supuestos'!$B$10)/30)</f>
        <v>-9.7333333333333332E-4</v>
      </c>
      <c r="H242" s="14">
        <f t="shared" si="3"/>
        <v>0.23489063999999998</v>
      </c>
    </row>
    <row r="243" spans="1:8" x14ac:dyDescent="0.35">
      <c r="A243" s="24" t="s">
        <v>433</v>
      </c>
      <c r="B243" s="29">
        <v>45703</v>
      </c>
      <c r="C243" s="24" t="s">
        <v>647</v>
      </c>
      <c r="D243" s="21">
        <v>122</v>
      </c>
      <c r="E243" s="25">
        <v>5.07</v>
      </c>
      <c r="F243" s="26">
        <v>103.72189349112421</v>
      </c>
      <c r="G243" s="30">
        <f>IF(C243="sin control",'Efectos y supuestos'!$B$11,'Efectos y supuestos'!$B$9*MAX(0,D243-'Efectos y supuestos'!$B$10)/30)</f>
        <v>-1.5573333333333333E-2</v>
      </c>
      <c r="H243" s="14">
        <f t="shared" si="3"/>
        <v>8.1895487999999954</v>
      </c>
    </row>
    <row r="244" spans="1:8" x14ac:dyDescent="0.35">
      <c r="A244" s="24" t="s">
        <v>434</v>
      </c>
      <c r="B244" s="29">
        <v>45915</v>
      </c>
      <c r="C244" s="24" t="s">
        <v>647</v>
      </c>
      <c r="D244" s="21">
        <v>94</v>
      </c>
      <c r="E244" s="25">
        <v>22.27</v>
      </c>
      <c r="F244" s="26">
        <v>173.78</v>
      </c>
      <c r="G244" s="30">
        <f>IF(C244="sin control",'Efectos y supuestos'!$B$11,'Efectos y supuestos'!$B$9*MAX(0,D244-'Efectos y supuestos'!$B$10)/30)</f>
        <v>-1.9466666666666666E-3</v>
      </c>
      <c r="H244" s="14">
        <f t="shared" si="3"/>
        <v>7.5337569013333336</v>
      </c>
    </row>
    <row r="245" spans="1:8" x14ac:dyDescent="0.35">
      <c r="A245" s="24" t="s">
        <v>435</v>
      </c>
      <c r="B245" s="29">
        <v>45945</v>
      </c>
      <c r="C245" s="24" t="s">
        <v>647</v>
      </c>
      <c r="D245" s="21">
        <v>63</v>
      </c>
      <c r="E245" s="25">
        <v>12.1</v>
      </c>
      <c r="F245" s="26">
        <v>131.47999999999999</v>
      </c>
      <c r="G245" s="30">
        <f>IF(C245="sin control",'Efectos y supuestos'!$B$11,'Efectos y supuestos'!$B$9*MAX(0,D245-'Efectos y supuestos'!$B$10)/30)</f>
        <v>0</v>
      </c>
      <c r="H245" s="14">
        <f t="shared" si="3"/>
        <v>0</v>
      </c>
    </row>
    <row r="246" spans="1:8" x14ac:dyDescent="0.35">
      <c r="A246" s="24" t="s">
        <v>330</v>
      </c>
      <c r="B246" s="29">
        <v>45853</v>
      </c>
      <c r="C246" s="24" t="s">
        <v>647</v>
      </c>
      <c r="D246" s="21">
        <v>50</v>
      </c>
      <c r="E246" s="25">
        <v>8.4499999999999993</v>
      </c>
      <c r="F246" s="26">
        <v>89.04378698224852</v>
      </c>
      <c r="G246" s="30">
        <f>IF(C246="sin control",'Efectos y supuestos'!$B$11,'Efectos y supuestos'!$B$9*MAX(0,D246-'Efectos y supuestos'!$B$10)/30)</f>
        <v>0</v>
      </c>
      <c r="H246" s="14">
        <f t="shared" si="3"/>
        <v>0</v>
      </c>
    </row>
    <row r="247" spans="1:8" x14ac:dyDescent="0.35">
      <c r="A247" s="24" t="s">
        <v>436</v>
      </c>
      <c r="B247" s="29">
        <v>45823</v>
      </c>
      <c r="C247" s="24" t="s">
        <v>647</v>
      </c>
      <c r="D247" s="21">
        <v>88</v>
      </c>
      <c r="E247" s="25">
        <v>2.46</v>
      </c>
      <c r="F247" s="26">
        <v>107.1422764227642</v>
      </c>
      <c r="G247" s="30">
        <f>IF(C247="sin control",'Efectos y supuestos'!$B$11,'Efectos y supuestos'!$B$9*MAX(0,D247-'Efectos y supuestos'!$B$10)/30)</f>
        <v>0</v>
      </c>
      <c r="H247" s="14">
        <f t="shared" si="3"/>
        <v>0</v>
      </c>
    </row>
    <row r="248" spans="1:8" x14ac:dyDescent="0.35">
      <c r="A248" s="24" t="s">
        <v>331</v>
      </c>
      <c r="B248" s="29">
        <v>45731</v>
      </c>
      <c r="C248" s="24" t="s">
        <v>647</v>
      </c>
      <c r="D248" s="21">
        <v>54</v>
      </c>
      <c r="E248" s="25">
        <v>5.59</v>
      </c>
      <c r="F248" s="26">
        <v>110.9874776386404</v>
      </c>
      <c r="G248" s="30">
        <f>IF(C248="sin control",'Efectos y supuestos'!$B$11,'Efectos y supuestos'!$B$9*MAX(0,D248-'Efectos y supuestos'!$B$10)/30)</f>
        <v>0</v>
      </c>
      <c r="H248" s="14">
        <f t="shared" si="3"/>
        <v>0</v>
      </c>
    </row>
    <row r="249" spans="1:8" x14ac:dyDescent="0.35">
      <c r="A249" s="24" t="s">
        <v>332</v>
      </c>
      <c r="B249" s="29">
        <v>45823</v>
      </c>
      <c r="C249" s="24" t="s">
        <v>647</v>
      </c>
      <c r="D249" s="21">
        <v>74</v>
      </c>
      <c r="E249" s="25">
        <v>3.74</v>
      </c>
      <c r="F249" s="26">
        <v>113.8155080213904</v>
      </c>
      <c r="G249" s="30">
        <f>IF(C249="sin control",'Efectos y supuestos'!$B$11,'Efectos y supuestos'!$B$9*MAX(0,D249-'Efectos y supuestos'!$B$10)/30)</f>
        <v>0</v>
      </c>
      <c r="H249" s="14">
        <f t="shared" si="3"/>
        <v>0</v>
      </c>
    </row>
    <row r="250" spans="1:8" x14ac:dyDescent="0.35">
      <c r="A250" s="24" t="s">
        <v>105</v>
      </c>
      <c r="B250" s="29">
        <v>45853</v>
      </c>
      <c r="C250" s="24" t="s">
        <v>647</v>
      </c>
      <c r="D250" s="21">
        <v>43</v>
      </c>
      <c r="E250" s="25">
        <v>13.15</v>
      </c>
      <c r="F250" s="26">
        <v>80.054752851711029</v>
      </c>
      <c r="G250" s="30">
        <f>IF(C250="sin control",'Efectos y supuestos'!$B$11,'Efectos y supuestos'!$B$9*MAX(0,D250-'Efectos y supuestos'!$B$10)/30)</f>
        <v>0</v>
      </c>
      <c r="H250" s="14">
        <f t="shared" si="3"/>
        <v>0</v>
      </c>
    </row>
    <row r="251" spans="1:8" x14ac:dyDescent="0.35">
      <c r="A251" s="24" t="s">
        <v>106</v>
      </c>
      <c r="B251" s="29">
        <v>45884</v>
      </c>
      <c r="C251" s="24" t="s">
        <v>647</v>
      </c>
      <c r="D251" s="21">
        <v>75</v>
      </c>
      <c r="E251" s="25">
        <v>6.44</v>
      </c>
      <c r="F251" s="26">
        <v>114.64906832298141</v>
      </c>
      <c r="G251" s="30">
        <f>IF(C251="sin control",'Efectos y supuestos'!$B$11,'Efectos y supuestos'!$B$9*MAX(0,D251-'Efectos y supuestos'!$B$10)/30)</f>
        <v>0</v>
      </c>
      <c r="H251" s="14">
        <f t="shared" si="3"/>
        <v>0</v>
      </c>
    </row>
    <row r="252" spans="1:8" x14ac:dyDescent="0.35">
      <c r="A252" s="24" t="s">
        <v>437</v>
      </c>
      <c r="B252" s="29">
        <v>45823</v>
      </c>
      <c r="C252" s="24" t="s">
        <v>647</v>
      </c>
      <c r="D252" s="21">
        <v>74</v>
      </c>
      <c r="E252" s="25">
        <v>8.6300000000000008</v>
      </c>
      <c r="F252" s="26">
        <v>91.414831981460011</v>
      </c>
      <c r="G252" s="30">
        <f>IF(C252="sin control",'Efectos y supuestos'!$B$11,'Efectos y supuestos'!$B$9*MAX(0,D252-'Efectos y supuestos'!$B$10)/30)</f>
        <v>0</v>
      </c>
      <c r="H252" s="14">
        <f t="shared" si="3"/>
        <v>0</v>
      </c>
    </row>
    <row r="253" spans="1:8" x14ac:dyDescent="0.35">
      <c r="A253" s="24" t="s">
        <v>333</v>
      </c>
      <c r="B253" s="29">
        <v>45853</v>
      </c>
      <c r="C253" s="24" t="s">
        <v>647</v>
      </c>
      <c r="D253" s="21">
        <v>69</v>
      </c>
      <c r="E253" s="25">
        <v>5.6</v>
      </c>
      <c r="F253" s="26">
        <v>124.5446428571429</v>
      </c>
      <c r="G253" s="30">
        <f>IF(C253="sin control",'Efectos y supuestos'!$B$11,'Efectos y supuestos'!$B$9*MAX(0,D253-'Efectos y supuestos'!$B$10)/30)</f>
        <v>0</v>
      </c>
      <c r="H253" s="14">
        <f t="shared" si="3"/>
        <v>0</v>
      </c>
    </row>
    <row r="254" spans="1:8" x14ac:dyDescent="0.35">
      <c r="A254" s="24" t="s">
        <v>438</v>
      </c>
      <c r="B254" s="29">
        <v>45731</v>
      </c>
      <c r="C254" s="24" t="s">
        <v>647</v>
      </c>
      <c r="D254" s="21">
        <v>152</v>
      </c>
      <c r="E254" s="25">
        <v>8.4</v>
      </c>
      <c r="F254" s="26">
        <v>98.108333333333334</v>
      </c>
      <c r="G254" s="30">
        <f>IF(C254="sin control",'Efectos y supuestos'!$B$11,'Efectos y supuestos'!$B$9*MAX(0,D254-'Efectos y supuestos'!$B$10)/30)</f>
        <v>-3.0173333333333333E-2</v>
      </c>
      <c r="H254" s="14">
        <f t="shared" si="3"/>
        <v>24.866145733333333</v>
      </c>
    </row>
    <row r="255" spans="1:8" x14ac:dyDescent="0.35">
      <c r="A255" s="24" t="s">
        <v>334</v>
      </c>
      <c r="B255" s="29">
        <v>45915</v>
      </c>
      <c r="C255" s="24" t="s">
        <v>647</v>
      </c>
      <c r="D255" s="21">
        <v>66</v>
      </c>
      <c r="E255" s="25">
        <v>16.07</v>
      </c>
      <c r="F255" s="26">
        <v>77.239999999999995</v>
      </c>
      <c r="G255" s="30">
        <f>IF(C255="sin control",'Efectos y supuestos'!$B$11,'Efectos y supuestos'!$B$9*MAX(0,D255-'Efectos y supuestos'!$B$10)/30)</f>
        <v>0</v>
      </c>
      <c r="H255" s="14">
        <f t="shared" si="3"/>
        <v>0</v>
      </c>
    </row>
    <row r="256" spans="1:8" x14ac:dyDescent="0.35">
      <c r="A256" s="24" t="s">
        <v>335</v>
      </c>
      <c r="B256" s="29">
        <v>45853</v>
      </c>
      <c r="C256" s="24" t="s">
        <v>647</v>
      </c>
      <c r="D256" s="21">
        <v>98</v>
      </c>
      <c r="E256" s="25">
        <v>6.25</v>
      </c>
      <c r="F256" s="26">
        <v>104.1024</v>
      </c>
      <c r="G256" s="30">
        <f>IF(C256="sin control",'Efectos y supuestos'!$B$11,'Efectos y supuestos'!$B$9*MAX(0,D256-'Efectos y supuestos'!$B$10)/30)</f>
        <v>-3.8933333333333333E-3</v>
      </c>
      <c r="H256" s="14">
        <f t="shared" si="3"/>
        <v>2.5331584</v>
      </c>
    </row>
    <row r="257" spans="1:8" x14ac:dyDescent="0.35">
      <c r="A257" s="24" t="s">
        <v>336</v>
      </c>
      <c r="B257" s="29">
        <v>45915</v>
      </c>
      <c r="C257" s="24" t="s">
        <v>647</v>
      </c>
      <c r="D257" s="21">
        <v>67</v>
      </c>
      <c r="E257" s="25">
        <v>15.67</v>
      </c>
      <c r="F257" s="26">
        <v>96.537970644543719</v>
      </c>
      <c r="G257" s="30">
        <f>IF(C257="sin control",'Efectos y supuestos'!$B$11,'Efectos y supuestos'!$B$9*MAX(0,D257-'Efectos y supuestos'!$B$10)/30)</f>
        <v>0</v>
      </c>
      <c r="H257" s="14">
        <f t="shared" si="3"/>
        <v>0</v>
      </c>
    </row>
    <row r="258" spans="1:8" x14ac:dyDescent="0.35">
      <c r="A258" s="24" t="s">
        <v>337</v>
      </c>
      <c r="B258" s="29">
        <v>45641</v>
      </c>
      <c r="C258" s="24" t="s">
        <v>648</v>
      </c>
      <c r="D258" s="21">
        <v>89</v>
      </c>
      <c r="E258" s="25">
        <v>5.48</v>
      </c>
      <c r="F258" s="26">
        <v>96.59306569343066</v>
      </c>
      <c r="G258" s="30">
        <f>IF(C258="sin control",'Efectos y supuestos'!$B$11,'Efectos y supuestos'!$B$9*MAX(0,D258-'Efectos y supuestos'!$B$10)/30)</f>
        <v>0</v>
      </c>
      <c r="H258" s="14">
        <f t="shared" si="3"/>
        <v>0</v>
      </c>
    </row>
    <row r="259" spans="1:8" x14ac:dyDescent="0.35">
      <c r="A259" s="24" t="s">
        <v>338</v>
      </c>
      <c r="B259" s="29">
        <v>45884</v>
      </c>
      <c r="C259" s="24" t="s">
        <v>647</v>
      </c>
      <c r="D259" s="21">
        <v>89</v>
      </c>
      <c r="E259" s="25">
        <v>10.76</v>
      </c>
      <c r="F259" s="26">
        <v>128.60687732342009</v>
      </c>
      <c r="G259" s="30">
        <f>IF(C259="sin control",'Efectos y supuestos'!$B$11,'Efectos y supuestos'!$B$9*MAX(0,D259-'Efectos y supuestos'!$B$10)/30)</f>
        <v>0</v>
      </c>
      <c r="H259" s="14">
        <f t="shared" si="3"/>
        <v>0</v>
      </c>
    </row>
    <row r="260" spans="1:8" x14ac:dyDescent="0.35">
      <c r="A260" s="24" t="s">
        <v>470</v>
      </c>
      <c r="B260" s="29">
        <v>45945</v>
      </c>
      <c r="C260" s="24" t="s">
        <v>647</v>
      </c>
      <c r="D260" s="21">
        <v>96</v>
      </c>
      <c r="E260" s="25">
        <v>17.95</v>
      </c>
      <c r="F260" s="26">
        <v>96.81</v>
      </c>
      <c r="G260" s="30">
        <f>IF(C260="sin control",'Efectos y supuestos'!$B$11,'Efectos y supuestos'!$B$9*MAX(0,D260-'Efectos y supuestos'!$B$10)/30)</f>
        <v>-2.9199999999999999E-3</v>
      </c>
      <c r="H260" s="14">
        <f t="shared" si="3"/>
        <v>5.0741993399999989</v>
      </c>
    </row>
    <row r="261" spans="1:8" x14ac:dyDescent="0.35">
      <c r="A261" s="24" t="s">
        <v>439</v>
      </c>
      <c r="B261" s="29">
        <v>45945</v>
      </c>
      <c r="C261" s="24" t="s">
        <v>648</v>
      </c>
      <c r="D261" s="21">
        <v>127</v>
      </c>
      <c r="E261" s="25">
        <v>7.49</v>
      </c>
      <c r="F261" s="26">
        <v>83.54</v>
      </c>
      <c r="G261" s="30">
        <f>IF(C261="sin control",'Efectos y supuestos'!$B$11,'Efectos y supuestos'!$B$9*MAX(0,D261-'Efectos y supuestos'!$B$10)/30)</f>
        <v>-1.8006666666666667E-2</v>
      </c>
      <c r="H261" s="14">
        <f t="shared" si="3"/>
        <v>11.267034230666669</v>
      </c>
    </row>
    <row r="262" spans="1:8" x14ac:dyDescent="0.35">
      <c r="A262" s="24" t="s">
        <v>440</v>
      </c>
      <c r="B262" s="29">
        <v>45915</v>
      </c>
      <c r="C262" s="24" t="s">
        <v>648</v>
      </c>
      <c r="D262" s="21">
        <v>143</v>
      </c>
      <c r="E262" s="25">
        <v>9.36</v>
      </c>
      <c r="F262" s="26">
        <v>87.07</v>
      </c>
      <c r="G262" s="30">
        <f>IF(C262="sin control",'Efectos y supuestos'!$B$11,'Efectos y supuestos'!$B$9*MAX(0,D262-'Efectos y supuestos'!$B$10)/30)</f>
        <v>-2.5793333333333335E-2</v>
      </c>
      <c r="H262" s="14">
        <f t="shared" ref="H262:H325" si="4">-G262*F262*E262</f>
        <v>21.020926992</v>
      </c>
    </row>
    <row r="263" spans="1:8" x14ac:dyDescent="0.35">
      <c r="A263" s="24" t="s">
        <v>107</v>
      </c>
      <c r="B263" s="29">
        <v>45731</v>
      </c>
      <c r="C263" s="24" t="s">
        <v>647</v>
      </c>
      <c r="D263" s="21">
        <v>58</v>
      </c>
      <c r="E263" s="25">
        <v>1.3</v>
      </c>
      <c r="F263" s="26">
        <v>118.5615384615384</v>
      </c>
      <c r="G263" s="30">
        <f>IF(C263="sin control",'Efectos y supuestos'!$B$11,'Efectos y supuestos'!$B$9*MAX(0,D263-'Efectos y supuestos'!$B$10)/30)</f>
        <v>0</v>
      </c>
      <c r="H263" s="14">
        <f t="shared" si="4"/>
        <v>0</v>
      </c>
    </row>
    <row r="264" spans="1:8" x14ac:dyDescent="0.35">
      <c r="A264" s="24" t="s">
        <v>339</v>
      </c>
      <c r="B264" s="29">
        <v>45853</v>
      </c>
      <c r="C264" s="24" t="s">
        <v>647</v>
      </c>
      <c r="D264" s="21">
        <v>87</v>
      </c>
      <c r="E264" s="25">
        <v>2.27</v>
      </c>
      <c r="F264" s="26">
        <v>104.5638766519824</v>
      </c>
      <c r="G264" s="30">
        <f>IF(C264="sin control",'Efectos y supuestos'!$B$11,'Efectos y supuestos'!$B$9*MAX(0,D264-'Efectos y supuestos'!$B$10)/30)</f>
        <v>0</v>
      </c>
      <c r="H264" s="14">
        <f t="shared" si="4"/>
        <v>0</v>
      </c>
    </row>
    <row r="265" spans="1:8" x14ac:dyDescent="0.35">
      <c r="A265" s="24" t="s">
        <v>340</v>
      </c>
      <c r="B265" s="29">
        <v>45853</v>
      </c>
      <c r="C265" s="24" t="s">
        <v>647</v>
      </c>
      <c r="D265" s="21">
        <v>87</v>
      </c>
      <c r="E265" s="25">
        <v>2.79</v>
      </c>
      <c r="F265" s="26">
        <v>101.2114695340502</v>
      </c>
      <c r="G265" s="30">
        <f>IF(C265="sin control",'Efectos y supuestos'!$B$11,'Efectos y supuestos'!$B$9*MAX(0,D265-'Efectos y supuestos'!$B$10)/30)</f>
        <v>0</v>
      </c>
      <c r="H265" s="14">
        <f t="shared" si="4"/>
        <v>0</v>
      </c>
    </row>
    <row r="266" spans="1:8" x14ac:dyDescent="0.35">
      <c r="A266" s="24" t="s">
        <v>441</v>
      </c>
      <c r="B266" s="29">
        <v>45823</v>
      </c>
      <c r="C266" s="24" t="s">
        <v>647</v>
      </c>
      <c r="D266" s="21">
        <v>125</v>
      </c>
      <c r="E266" s="25">
        <v>14.07</v>
      </c>
      <c r="F266" s="26">
        <v>126.7761194029851</v>
      </c>
      <c r="G266" s="30">
        <f>IF(C266="sin control",'Efectos y supuestos'!$B$11,'Efectos y supuestos'!$B$9*MAX(0,D266-'Efectos y supuestos'!$B$10)/30)</f>
        <v>-1.7033333333333334E-2</v>
      </c>
      <c r="H266" s="14">
        <f t="shared" si="4"/>
        <v>30.38303800000001</v>
      </c>
    </row>
    <row r="267" spans="1:8" x14ac:dyDescent="0.35">
      <c r="A267" s="24" t="s">
        <v>442</v>
      </c>
      <c r="B267" s="29">
        <v>45915</v>
      </c>
      <c r="C267" s="24" t="s">
        <v>648</v>
      </c>
      <c r="D267" s="21">
        <v>143</v>
      </c>
      <c r="E267" s="25">
        <v>4.41</v>
      </c>
      <c r="F267" s="26">
        <v>100.83</v>
      </c>
      <c r="G267" s="30">
        <f>IF(C267="sin control",'Efectos y supuestos'!$B$11,'Efectos y supuestos'!$B$9*MAX(0,D267-'Efectos y supuestos'!$B$10)/30)</f>
        <v>-2.5793333333333335E-2</v>
      </c>
      <c r="H267" s="14">
        <f t="shared" si="4"/>
        <v>11.469271338000002</v>
      </c>
    </row>
    <row r="268" spans="1:8" x14ac:dyDescent="0.35">
      <c r="A268" s="24" t="s">
        <v>341</v>
      </c>
      <c r="B268" s="29">
        <v>45915</v>
      </c>
      <c r="C268" s="24" t="s">
        <v>647</v>
      </c>
      <c r="D268" s="21">
        <v>68</v>
      </c>
      <c r="E268" s="25">
        <v>3.48</v>
      </c>
      <c r="F268" s="26">
        <v>146.90229885057471</v>
      </c>
      <c r="G268" s="30">
        <f>IF(C268="sin control",'Efectos y supuestos'!$B$11,'Efectos y supuestos'!$B$9*MAX(0,D268-'Efectos y supuestos'!$B$10)/30)</f>
        <v>0</v>
      </c>
      <c r="H268" s="14">
        <f t="shared" si="4"/>
        <v>0</v>
      </c>
    </row>
    <row r="269" spans="1:8" x14ac:dyDescent="0.35">
      <c r="A269" s="24" t="s">
        <v>108</v>
      </c>
      <c r="B269" s="29">
        <v>45945</v>
      </c>
      <c r="C269" s="24" t="s">
        <v>648</v>
      </c>
      <c r="D269" s="21">
        <v>113</v>
      </c>
      <c r="E269" s="25">
        <v>1.35</v>
      </c>
      <c r="F269" s="26">
        <v>85.98</v>
      </c>
      <c r="G269" s="30">
        <f>IF(C269="sin control",'Efectos y supuestos'!$B$11,'Efectos y supuestos'!$B$9*MAX(0,D269-'Efectos y supuestos'!$B$10)/30)</f>
        <v>-1.1193333333333333E-2</v>
      </c>
      <c r="H269" s="14">
        <f t="shared" si="4"/>
        <v>1.2992437800000001</v>
      </c>
    </row>
    <row r="270" spans="1:8" x14ac:dyDescent="0.35">
      <c r="A270" s="24" t="s">
        <v>109</v>
      </c>
      <c r="B270" s="29">
        <v>45945</v>
      </c>
      <c r="C270" s="24" t="s">
        <v>647</v>
      </c>
      <c r="D270" s="21">
        <v>38</v>
      </c>
      <c r="E270" s="25">
        <v>5.89</v>
      </c>
      <c r="F270" s="26">
        <v>90.75</v>
      </c>
      <c r="G270" s="30">
        <f>IF(C270="sin control",'Efectos y supuestos'!$B$11,'Efectos y supuestos'!$B$9*MAX(0,D270-'Efectos y supuestos'!$B$10)/30)</f>
        <v>0</v>
      </c>
      <c r="H270" s="14">
        <f t="shared" si="4"/>
        <v>0</v>
      </c>
    </row>
    <row r="271" spans="1:8" x14ac:dyDescent="0.35">
      <c r="A271" s="24" t="s">
        <v>110</v>
      </c>
      <c r="B271" s="29">
        <v>45945</v>
      </c>
      <c r="C271" s="24" t="s">
        <v>648</v>
      </c>
      <c r="D271" s="21">
        <v>37</v>
      </c>
      <c r="E271" s="25">
        <v>6.19</v>
      </c>
      <c r="F271" s="26">
        <v>90.72</v>
      </c>
      <c r="G271" s="30">
        <f>IF(C271="sin control",'Efectos y supuestos'!$B$11,'Efectos y supuestos'!$B$9*MAX(0,D271-'Efectos y supuestos'!$B$10)/30)</f>
        <v>0</v>
      </c>
      <c r="H271" s="14">
        <f t="shared" si="4"/>
        <v>0</v>
      </c>
    </row>
    <row r="272" spans="1:8" x14ac:dyDescent="0.35">
      <c r="A272" s="24" t="s">
        <v>443</v>
      </c>
      <c r="B272" s="29">
        <v>45945</v>
      </c>
      <c r="C272" s="24" t="s">
        <v>647</v>
      </c>
      <c r="D272" s="21">
        <v>83</v>
      </c>
      <c r="E272" s="25">
        <v>1.82</v>
      </c>
      <c r="F272" s="26">
        <v>59.65</v>
      </c>
      <c r="G272" s="30">
        <f>IF(C272="sin control",'Efectos y supuestos'!$B$11,'Efectos y supuestos'!$B$9*MAX(0,D272-'Efectos y supuestos'!$B$10)/30)</f>
        <v>0</v>
      </c>
      <c r="H272" s="14">
        <f t="shared" si="4"/>
        <v>0</v>
      </c>
    </row>
    <row r="273" spans="1:8" x14ac:dyDescent="0.35">
      <c r="A273" s="24" t="s">
        <v>111</v>
      </c>
      <c r="B273" s="29">
        <v>45915</v>
      </c>
      <c r="C273" s="24" t="s">
        <v>647</v>
      </c>
      <c r="D273" s="21">
        <v>70</v>
      </c>
      <c r="E273" s="25">
        <v>20.83</v>
      </c>
      <c r="F273" s="26">
        <v>101.33</v>
      </c>
      <c r="G273" s="30">
        <f>IF(C273="sin control",'Efectos y supuestos'!$B$11,'Efectos y supuestos'!$B$9*MAX(0,D273-'Efectos y supuestos'!$B$10)/30)</f>
        <v>0</v>
      </c>
      <c r="H273" s="14">
        <f t="shared" si="4"/>
        <v>0</v>
      </c>
    </row>
    <row r="274" spans="1:8" x14ac:dyDescent="0.35">
      <c r="A274" s="24" t="s">
        <v>342</v>
      </c>
      <c r="B274" s="29">
        <v>45731</v>
      </c>
      <c r="C274" s="24" t="s">
        <v>647</v>
      </c>
      <c r="D274" s="21">
        <v>48</v>
      </c>
      <c r="E274" s="25">
        <v>10.52</v>
      </c>
      <c r="F274" s="26">
        <v>116.1739543726236</v>
      </c>
      <c r="G274" s="30">
        <f>IF(C274="sin control",'Efectos y supuestos'!$B$11,'Efectos y supuestos'!$B$9*MAX(0,D274-'Efectos y supuestos'!$B$10)/30)</f>
        <v>0</v>
      </c>
      <c r="H274" s="14">
        <f t="shared" si="4"/>
        <v>0</v>
      </c>
    </row>
    <row r="275" spans="1:8" x14ac:dyDescent="0.35">
      <c r="A275" s="24" t="s">
        <v>112</v>
      </c>
      <c r="B275" s="29">
        <v>45915</v>
      </c>
      <c r="C275" s="24" t="s">
        <v>647</v>
      </c>
      <c r="D275" s="21">
        <v>60</v>
      </c>
      <c r="E275" s="25">
        <v>18.66</v>
      </c>
      <c r="F275" s="26">
        <v>126.5289389067524</v>
      </c>
      <c r="G275" s="30">
        <f>IF(C275="sin control",'Efectos y supuestos'!$B$11,'Efectos y supuestos'!$B$9*MAX(0,D275-'Efectos y supuestos'!$B$10)/30)</f>
        <v>0</v>
      </c>
      <c r="H275" s="14">
        <f t="shared" si="4"/>
        <v>0</v>
      </c>
    </row>
    <row r="276" spans="1:8" x14ac:dyDescent="0.35">
      <c r="A276" s="24" t="s">
        <v>444</v>
      </c>
      <c r="B276" s="29">
        <v>45823</v>
      </c>
      <c r="C276" s="24" t="s">
        <v>647</v>
      </c>
      <c r="D276" s="21">
        <v>117</v>
      </c>
      <c r="E276" s="25">
        <v>7.45</v>
      </c>
      <c r="F276" s="26">
        <v>132.57046979865771</v>
      </c>
      <c r="G276" s="30">
        <f>IF(C276="sin control",'Efectos y supuestos'!$B$11,'Efectos y supuestos'!$B$9*MAX(0,D276-'Efectos y supuestos'!$B$10)/30)</f>
        <v>-1.3140000000000001E-2</v>
      </c>
      <c r="H276" s="14">
        <f t="shared" si="4"/>
        <v>12.977721000000001</v>
      </c>
    </row>
    <row r="277" spans="1:8" x14ac:dyDescent="0.35">
      <c r="A277" s="24" t="s">
        <v>343</v>
      </c>
      <c r="B277" s="29">
        <v>45703</v>
      </c>
      <c r="C277" s="24" t="s">
        <v>647</v>
      </c>
      <c r="D277" s="21">
        <v>67</v>
      </c>
      <c r="E277" s="25">
        <v>8.1</v>
      </c>
      <c r="F277" s="26">
        <v>113.89012345679011</v>
      </c>
      <c r="G277" s="30">
        <f>IF(C277="sin control",'Efectos y supuestos'!$B$11,'Efectos y supuestos'!$B$9*MAX(0,D277-'Efectos y supuestos'!$B$10)/30)</f>
        <v>0</v>
      </c>
      <c r="H277" s="14">
        <f t="shared" si="4"/>
        <v>0</v>
      </c>
    </row>
    <row r="278" spans="1:8" x14ac:dyDescent="0.35">
      <c r="A278" s="24" t="s">
        <v>344</v>
      </c>
      <c r="B278" s="29">
        <v>45703</v>
      </c>
      <c r="C278" s="24" t="s">
        <v>647</v>
      </c>
      <c r="D278" s="21">
        <v>2</v>
      </c>
      <c r="E278" s="25">
        <v>8.84</v>
      </c>
      <c r="F278" s="26">
        <v>157.2907239819005</v>
      </c>
      <c r="G278" s="30">
        <f>IF(C278="sin control",'Efectos y supuestos'!$B$11,'Efectos y supuestos'!$B$9*MAX(0,D278-'Efectos y supuestos'!$B$10)/30)</f>
        <v>0</v>
      </c>
      <c r="H278" s="14">
        <f t="shared" si="4"/>
        <v>0</v>
      </c>
    </row>
    <row r="279" spans="1:8" x14ac:dyDescent="0.35">
      <c r="A279" s="24" t="s">
        <v>445</v>
      </c>
      <c r="B279" s="29">
        <v>45915</v>
      </c>
      <c r="C279" s="24" t="s">
        <v>647</v>
      </c>
      <c r="D279" s="21">
        <v>77</v>
      </c>
      <c r="E279" s="25">
        <v>4.1500000000000004</v>
      </c>
      <c r="F279" s="26">
        <v>127.88</v>
      </c>
      <c r="G279" s="30">
        <f>IF(C279="sin control",'Efectos y supuestos'!$B$11,'Efectos y supuestos'!$B$9*MAX(0,D279-'Efectos y supuestos'!$B$10)/30)</f>
        <v>0</v>
      </c>
      <c r="H279" s="14">
        <f t="shared" si="4"/>
        <v>0</v>
      </c>
    </row>
    <row r="280" spans="1:8" x14ac:dyDescent="0.35">
      <c r="A280" s="24" t="s">
        <v>346</v>
      </c>
      <c r="B280" s="29">
        <v>45823</v>
      </c>
      <c r="C280" s="24" t="s">
        <v>647</v>
      </c>
      <c r="D280" s="21">
        <v>83</v>
      </c>
      <c r="E280" s="25">
        <v>5.43</v>
      </c>
      <c r="F280" s="26">
        <v>105.27992633517491</v>
      </c>
      <c r="G280" s="30">
        <f>IF(C280="sin control",'Efectos y supuestos'!$B$11,'Efectos y supuestos'!$B$9*MAX(0,D280-'Efectos y supuestos'!$B$10)/30)</f>
        <v>0</v>
      </c>
      <c r="H280" s="14">
        <f t="shared" si="4"/>
        <v>0</v>
      </c>
    </row>
    <row r="281" spans="1:8" x14ac:dyDescent="0.35">
      <c r="A281" s="24" t="s">
        <v>471</v>
      </c>
      <c r="B281" s="29">
        <v>45945</v>
      </c>
      <c r="C281" s="24" t="s">
        <v>647</v>
      </c>
      <c r="D281" s="21">
        <v>83</v>
      </c>
      <c r="E281" s="25">
        <v>6.32</v>
      </c>
      <c r="F281" s="26">
        <v>145.13999999999999</v>
      </c>
      <c r="G281" s="30">
        <f>IF(C281="sin control",'Efectos y supuestos'!$B$11,'Efectos y supuestos'!$B$9*MAX(0,D281-'Efectos y supuestos'!$B$10)/30)</f>
        <v>0</v>
      </c>
      <c r="H281" s="14">
        <f t="shared" si="4"/>
        <v>0</v>
      </c>
    </row>
    <row r="282" spans="1:8" x14ac:dyDescent="0.35">
      <c r="A282" s="24" t="s">
        <v>347</v>
      </c>
      <c r="B282" s="29">
        <v>45703</v>
      </c>
      <c r="C282" s="24" t="s">
        <v>647</v>
      </c>
      <c r="D282" s="21">
        <v>83</v>
      </c>
      <c r="E282" s="25">
        <v>7.26</v>
      </c>
      <c r="F282" s="26">
        <v>100.1694214876033</v>
      </c>
      <c r="G282" s="30">
        <f>IF(C282="sin control",'Efectos y supuestos'!$B$11,'Efectos y supuestos'!$B$9*MAX(0,D282-'Efectos y supuestos'!$B$10)/30)</f>
        <v>0</v>
      </c>
      <c r="H282" s="14">
        <f t="shared" si="4"/>
        <v>0</v>
      </c>
    </row>
    <row r="283" spans="1:8" x14ac:dyDescent="0.35">
      <c r="A283" s="24" t="s">
        <v>348</v>
      </c>
      <c r="B283" s="29">
        <v>45703</v>
      </c>
      <c r="C283" s="24" t="s">
        <v>647</v>
      </c>
      <c r="D283" s="21">
        <v>68</v>
      </c>
      <c r="E283" s="25">
        <v>19.28</v>
      </c>
      <c r="F283" s="26">
        <v>115.0046680497925</v>
      </c>
      <c r="G283" s="30">
        <f>IF(C283="sin control",'Efectos y supuestos'!$B$11,'Efectos y supuestos'!$B$9*MAX(0,D283-'Efectos y supuestos'!$B$10)/30)</f>
        <v>0</v>
      </c>
      <c r="H283" s="14">
        <f t="shared" si="4"/>
        <v>0</v>
      </c>
    </row>
    <row r="284" spans="1:8" x14ac:dyDescent="0.35">
      <c r="A284" s="24" t="s">
        <v>404</v>
      </c>
      <c r="B284" s="29">
        <v>45915</v>
      </c>
      <c r="C284" s="24" t="s">
        <v>647</v>
      </c>
      <c r="D284" s="21">
        <v>43</v>
      </c>
      <c r="E284" s="25">
        <v>10.55</v>
      </c>
      <c r="F284" s="26">
        <v>117.33933649289099</v>
      </c>
      <c r="G284" s="30">
        <f>IF(C284="sin control",'Efectos y supuestos'!$B$11,'Efectos y supuestos'!$B$9*MAX(0,D284-'Efectos y supuestos'!$B$10)/30)</f>
        <v>0</v>
      </c>
      <c r="H284" s="14">
        <f t="shared" si="4"/>
        <v>0</v>
      </c>
    </row>
    <row r="285" spans="1:8" x14ac:dyDescent="0.35">
      <c r="A285" s="24" t="s">
        <v>350</v>
      </c>
      <c r="B285" s="29">
        <v>45884</v>
      </c>
      <c r="C285" s="24" t="s">
        <v>647</v>
      </c>
      <c r="D285" s="21">
        <v>67</v>
      </c>
      <c r="E285" s="25">
        <v>6.16</v>
      </c>
      <c r="F285" s="26">
        <v>127.7337662337662</v>
      </c>
      <c r="G285" s="30">
        <f>IF(C285="sin control",'Efectos y supuestos'!$B$11,'Efectos y supuestos'!$B$9*MAX(0,D285-'Efectos y supuestos'!$B$10)/30)</f>
        <v>0</v>
      </c>
      <c r="H285" s="14">
        <f t="shared" si="4"/>
        <v>0</v>
      </c>
    </row>
    <row r="286" spans="1:8" x14ac:dyDescent="0.35">
      <c r="A286" s="24" t="s">
        <v>351</v>
      </c>
      <c r="B286" s="29">
        <v>45884</v>
      </c>
      <c r="C286" s="24" t="s">
        <v>647</v>
      </c>
      <c r="D286" s="21">
        <v>67</v>
      </c>
      <c r="E286" s="25">
        <v>4.3600000000000003</v>
      </c>
      <c r="F286" s="26">
        <v>113.43119266055049</v>
      </c>
      <c r="G286" s="30">
        <f>IF(C286="sin control",'Efectos y supuestos'!$B$11,'Efectos y supuestos'!$B$9*MAX(0,D286-'Efectos y supuestos'!$B$10)/30)</f>
        <v>0</v>
      </c>
      <c r="H286" s="14">
        <f t="shared" si="4"/>
        <v>0</v>
      </c>
    </row>
    <row r="287" spans="1:8" x14ac:dyDescent="0.35">
      <c r="A287" s="24" t="s">
        <v>405</v>
      </c>
      <c r="B287" s="29">
        <v>45915</v>
      </c>
      <c r="C287" s="24" t="s">
        <v>647</v>
      </c>
      <c r="D287" s="21">
        <v>77</v>
      </c>
      <c r="E287" s="25">
        <v>5.17</v>
      </c>
      <c r="F287" s="26">
        <v>123.69</v>
      </c>
      <c r="G287" s="30">
        <f>IF(C287="sin control",'Efectos y supuestos'!$B$11,'Efectos y supuestos'!$B$9*MAX(0,D287-'Efectos y supuestos'!$B$10)/30)</f>
        <v>0</v>
      </c>
      <c r="H287" s="14">
        <f t="shared" si="4"/>
        <v>0</v>
      </c>
    </row>
    <row r="288" spans="1:8" x14ac:dyDescent="0.35">
      <c r="A288" s="24" t="s">
        <v>352</v>
      </c>
      <c r="B288" s="29">
        <v>45703</v>
      </c>
      <c r="C288" s="24" t="s">
        <v>647</v>
      </c>
      <c r="D288" s="21">
        <v>68</v>
      </c>
      <c r="E288" s="25">
        <v>13.07</v>
      </c>
      <c r="F288" s="26">
        <v>89.661820964039791</v>
      </c>
      <c r="G288" s="30">
        <f>IF(C288="sin control",'Efectos y supuestos'!$B$11,'Efectos y supuestos'!$B$9*MAX(0,D288-'Efectos y supuestos'!$B$10)/30)</f>
        <v>0</v>
      </c>
      <c r="H288" s="14">
        <f t="shared" si="4"/>
        <v>0</v>
      </c>
    </row>
    <row r="289" spans="1:8" x14ac:dyDescent="0.35">
      <c r="A289" s="24" t="s">
        <v>353</v>
      </c>
      <c r="B289" s="29">
        <v>45853</v>
      </c>
      <c r="C289" s="24" t="s">
        <v>647</v>
      </c>
      <c r="D289" s="21">
        <v>129</v>
      </c>
      <c r="E289" s="25">
        <v>11.05</v>
      </c>
      <c r="F289" s="26">
        <v>100.8796380090498</v>
      </c>
      <c r="G289" s="30">
        <f>IF(C289="sin control",'Efectos y supuestos'!$B$11,'Efectos y supuestos'!$B$9*MAX(0,D289-'Efectos y supuestos'!$B$10)/30)</f>
        <v>-1.898E-2</v>
      </c>
      <c r="H289" s="14">
        <f t="shared" si="4"/>
        <v>21.157385600000005</v>
      </c>
    </row>
    <row r="290" spans="1:8" x14ac:dyDescent="0.35">
      <c r="A290" s="24" t="s">
        <v>446</v>
      </c>
      <c r="B290" s="29">
        <v>45731</v>
      </c>
      <c r="C290" s="24" t="s">
        <v>649</v>
      </c>
      <c r="D290" s="21"/>
      <c r="E290" s="25">
        <v>13.53</v>
      </c>
      <c r="F290" s="26">
        <v>73.442719881744267</v>
      </c>
      <c r="G290" s="30">
        <f>IF(C290="sin control",'Efectos y supuestos'!$B$11,'Efectos y supuestos'!$B$9*MAX(0,D290-'Efectos y supuestos'!$B$10)/30)</f>
        <v>-5.2400000000000002E-2</v>
      </c>
      <c r="H290" s="14">
        <f t="shared" si="4"/>
        <v>52.068831999999993</v>
      </c>
    </row>
    <row r="291" spans="1:8" x14ac:dyDescent="0.35">
      <c r="A291" s="24" t="s">
        <v>354</v>
      </c>
      <c r="B291" s="29">
        <v>45884</v>
      </c>
      <c r="C291" s="24" t="s">
        <v>647</v>
      </c>
      <c r="D291" s="21">
        <v>97</v>
      </c>
      <c r="E291" s="25">
        <v>15.35</v>
      </c>
      <c r="F291" s="26">
        <v>107.7302931596091</v>
      </c>
      <c r="G291" s="30">
        <f>IF(C291="sin control",'Efectos y supuestos'!$B$11,'Efectos y supuestos'!$B$9*MAX(0,D291-'Efectos y supuestos'!$B$10)/30)</f>
        <v>-3.4066666666666668E-3</v>
      </c>
      <c r="H291" s="14">
        <f t="shared" si="4"/>
        <v>5.633468399999999</v>
      </c>
    </row>
    <row r="292" spans="1:8" x14ac:dyDescent="0.35">
      <c r="A292" s="24" t="s">
        <v>355</v>
      </c>
      <c r="B292" s="29">
        <v>45884</v>
      </c>
      <c r="C292" s="24" t="s">
        <v>647</v>
      </c>
      <c r="D292" s="21">
        <v>98</v>
      </c>
      <c r="E292" s="25">
        <v>11.66</v>
      </c>
      <c r="F292" s="26">
        <v>96.702401372212691</v>
      </c>
      <c r="G292" s="30">
        <f>IF(C292="sin control",'Efectos y supuestos'!$B$11,'Efectos y supuestos'!$B$9*MAX(0,D292-'Efectos y supuestos'!$B$10)/30)</f>
        <v>-3.8933333333333333E-3</v>
      </c>
      <c r="H292" s="14">
        <f t="shared" si="4"/>
        <v>4.3899280000000003</v>
      </c>
    </row>
    <row r="293" spans="1:8" x14ac:dyDescent="0.35">
      <c r="A293" s="24" t="s">
        <v>447</v>
      </c>
      <c r="B293" s="29">
        <v>45823</v>
      </c>
      <c r="C293" s="24" t="s">
        <v>647</v>
      </c>
      <c r="D293" s="21">
        <v>171</v>
      </c>
      <c r="E293" s="25">
        <v>10.61</v>
      </c>
      <c r="F293" s="26">
        <v>86.979264844486337</v>
      </c>
      <c r="G293" s="30">
        <f>IF(C293="sin control",'Efectos y supuestos'!$B$11,'Efectos y supuestos'!$B$9*MAX(0,D293-'Efectos y supuestos'!$B$10)/30)</f>
        <v>-3.9420000000000004E-2</v>
      </c>
      <c r="H293" s="14">
        <f t="shared" si="4"/>
        <v>36.378747000000004</v>
      </c>
    </row>
    <row r="294" spans="1:8" x14ac:dyDescent="0.35">
      <c r="A294" s="24" t="s">
        <v>472</v>
      </c>
      <c r="B294" s="29">
        <v>45823</v>
      </c>
      <c r="C294" s="24" t="s">
        <v>647</v>
      </c>
      <c r="D294" s="21">
        <v>171</v>
      </c>
      <c r="E294" s="25">
        <v>5.49</v>
      </c>
      <c r="F294" s="26">
        <v>101.528233151184</v>
      </c>
      <c r="G294" s="30">
        <f>IF(C294="sin control",'Efectos y supuestos'!$B$11,'Efectos y supuestos'!$B$9*MAX(0,D294-'Efectos y supuestos'!$B$10)/30)</f>
        <v>-3.9420000000000004E-2</v>
      </c>
      <c r="H294" s="14">
        <f t="shared" si="4"/>
        <v>21.972313800000009</v>
      </c>
    </row>
    <row r="295" spans="1:8" x14ac:dyDescent="0.35">
      <c r="A295" s="24" t="s">
        <v>357</v>
      </c>
      <c r="B295" s="29">
        <v>45731</v>
      </c>
      <c r="C295" s="24" t="s">
        <v>649</v>
      </c>
      <c r="D295" s="21"/>
      <c r="E295" s="25">
        <v>8.44</v>
      </c>
      <c r="F295" s="26">
        <v>88.735781990521332</v>
      </c>
      <c r="G295" s="30">
        <f>IF(C295="sin control",'Efectos y supuestos'!$B$11,'Efectos y supuestos'!$B$9*MAX(0,D295-'Efectos y supuestos'!$B$10)/30)</f>
        <v>-5.2400000000000002E-2</v>
      </c>
      <c r="H295" s="14">
        <f t="shared" si="4"/>
        <v>39.243932000000001</v>
      </c>
    </row>
    <row r="296" spans="1:8" x14ac:dyDescent="0.35">
      <c r="A296" s="24" t="s">
        <v>448</v>
      </c>
      <c r="B296" s="29">
        <v>45884</v>
      </c>
      <c r="C296" s="24" t="s">
        <v>647</v>
      </c>
      <c r="D296" s="21">
        <v>96</v>
      </c>
      <c r="E296" s="25">
        <v>7.42</v>
      </c>
      <c r="F296" s="26">
        <v>132.5256064690027</v>
      </c>
      <c r="G296" s="30">
        <f>IF(C296="sin control",'Efectos y supuestos'!$B$11,'Efectos y supuestos'!$B$9*MAX(0,D296-'Efectos y supuestos'!$B$10)/30)</f>
        <v>-2.9199999999999999E-3</v>
      </c>
      <c r="H296" s="14">
        <f t="shared" si="4"/>
        <v>2.8713527999999999</v>
      </c>
    </row>
    <row r="297" spans="1:8" x14ac:dyDescent="0.35">
      <c r="A297" s="24" t="s">
        <v>358</v>
      </c>
      <c r="B297" s="29">
        <v>45853</v>
      </c>
      <c r="C297" s="24" t="s">
        <v>647</v>
      </c>
      <c r="D297" s="21">
        <v>137</v>
      </c>
      <c r="E297" s="25">
        <v>8.06</v>
      </c>
      <c r="F297" s="26">
        <v>103.5198511166253</v>
      </c>
      <c r="G297" s="30">
        <f>IF(C297="sin control",'Efectos y supuestos'!$B$11,'Efectos y supuestos'!$B$9*MAX(0,D297-'Efectos y supuestos'!$B$10)/30)</f>
        <v>-2.2873333333333336E-2</v>
      </c>
      <c r="H297" s="14">
        <f t="shared" si="4"/>
        <v>19.084823133333337</v>
      </c>
    </row>
    <row r="298" spans="1:8" x14ac:dyDescent="0.35">
      <c r="A298" s="24" t="s">
        <v>359</v>
      </c>
      <c r="B298" s="29">
        <v>45853</v>
      </c>
      <c r="C298" s="24" t="s">
        <v>647</v>
      </c>
      <c r="D298" s="21">
        <v>127</v>
      </c>
      <c r="E298" s="25">
        <v>22.23</v>
      </c>
      <c r="F298" s="26">
        <v>102.4907782276203</v>
      </c>
      <c r="G298" s="30">
        <f>IF(C298="sin control",'Efectos y supuestos'!$B$11,'Efectos y supuestos'!$B$9*MAX(0,D298-'Efectos y supuestos'!$B$10)/30)</f>
        <v>-1.8006666666666667E-2</v>
      </c>
      <c r="H298" s="14">
        <f t="shared" si="4"/>
        <v>41.025849133333324</v>
      </c>
    </row>
    <row r="299" spans="1:8" x14ac:dyDescent="0.35">
      <c r="A299" s="24" t="s">
        <v>360</v>
      </c>
      <c r="B299" s="29">
        <v>45884</v>
      </c>
      <c r="C299" s="24" t="s">
        <v>647</v>
      </c>
      <c r="D299" s="21">
        <v>96</v>
      </c>
      <c r="E299" s="25">
        <v>8.67</v>
      </c>
      <c r="F299" s="26">
        <v>101.71510957324109</v>
      </c>
      <c r="G299" s="30">
        <f>IF(C299="sin control",'Efectos y supuestos'!$B$11,'Efectos y supuestos'!$B$9*MAX(0,D299-'Efectos y supuestos'!$B$10)/30)</f>
        <v>-2.9199999999999999E-3</v>
      </c>
      <c r="H299" s="14">
        <f t="shared" si="4"/>
        <v>2.5750604000000008</v>
      </c>
    </row>
    <row r="300" spans="1:8" x14ac:dyDescent="0.35">
      <c r="A300" s="24" t="s">
        <v>361</v>
      </c>
      <c r="B300" s="29">
        <v>45731</v>
      </c>
      <c r="C300" s="24" t="s">
        <v>649</v>
      </c>
      <c r="D300" s="21"/>
      <c r="E300" s="25">
        <v>11.37</v>
      </c>
      <c r="F300" s="26">
        <v>97.293755496921733</v>
      </c>
      <c r="G300" s="30">
        <f>IF(C300="sin control",'Efectos y supuestos'!$B$11,'Efectos y supuestos'!$B$9*MAX(0,D300-'Efectos y supuestos'!$B$10)/30)</f>
        <v>-5.2400000000000002E-2</v>
      </c>
      <c r="H300" s="14">
        <f t="shared" si="4"/>
        <v>57.966452000000004</v>
      </c>
    </row>
    <row r="301" spans="1:8" x14ac:dyDescent="0.35">
      <c r="A301" s="24" t="s">
        <v>362</v>
      </c>
      <c r="B301" s="29">
        <v>45731</v>
      </c>
      <c r="C301" s="24" t="s">
        <v>649</v>
      </c>
      <c r="D301" s="21"/>
      <c r="E301" s="25">
        <v>16.34</v>
      </c>
      <c r="F301" s="26">
        <v>97.43880048959609</v>
      </c>
      <c r="G301" s="30">
        <f>IF(C301="sin control",'Efectos y supuestos'!$B$11,'Efectos y supuestos'!$B$9*MAX(0,D301-'Efectos y supuestos'!$B$10)/30)</f>
        <v>-5.2400000000000002E-2</v>
      </c>
      <c r="H301" s="14">
        <f t="shared" si="4"/>
        <v>83.428660000000008</v>
      </c>
    </row>
    <row r="302" spans="1:8" x14ac:dyDescent="0.35">
      <c r="A302" s="24" t="s">
        <v>449</v>
      </c>
      <c r="B302" s="29">
        <v>45823</v>
      </c>
      <c r="C302" s="24" t="s">
        <v>647</v>
      </c>
      <c r="D302" s="21">
        <v>94</v>
      </c>
      <c r="E302" s="25">
        <v>9.4700000000000006</v>
      </c>
      <c r="F302" s="26">
        <v>112.31678986272441</v>
      </c>
      <c r="G302" s="30">
        <f>IF(C302="sin control",'Efectos y supuestos'!$B$11,'Efectos y supuestos'!$B$9*MAX(0,D302-'Efectos y supuestos'!$B$10)/30)</f>
        <v>-1.9466666666666666E-3</v>
      </c>
      <c r="H302" s="14">
        <f t="shared" si="4"/>
        <v>2.0705525333333337</v>
      </c>
    </row>
    <row r="303" spans="1:8" x14ac:dyDescent="0.35">
      <c r="A303" s="24" t="s">
        <v>637</v>
      </c>
      <c r="B303" s="29">
        <v>45853</v>
      </c>
      <c r="C303" s="24" t="s">
        <v>647</v>
      </c>
      <c r="D303" s="21">
        <v>70</v>
      </c>
      <c r="E303" s="25">
        <v>1.94</v>
      </c>
      <c r="F303" s="26">
        <v>83.865979381443296</v>
      </c>
      <c r="G303" s="30">
        <f>IF(C303="sin control",'Efectos y supuestos'!$B$11,'Efectos y supuestos'!$B$9*MAX(0,D303-'Efectos y supuestos'!$B$10)/30)</f>
        <v>0</v>
      </c>
      <c r="H303" s="14">
        <f t="shared" si="4"/>
        <v>0</v>
      </c>
    </row>
    <row r="304" spans="1:8" x14ac:dyDescent="0.35">
      <c r="A304" s="24" t="s">
        <v>450</v>
      </c>
      <c r="B304" s="29">
        <v>45823</v>
      </c>
      <c r="C304" s="24" t="s">
        <v>647</v>
      </c>
      <c r="D304" s="21">
        <v>86</v>
      </c>
      <c r="E304" s="25">
        <v>4.6100000000000003</v>
      </c>
      <c r="F304" s="26">
        <v>103.68546637744031</v>
      </c>
      <c r="G304" s="30">
        <f>IF(C304="sin control",'Efectos y supuestos'!$B$11,'Efectos y supuestos'!$B$9*MAX(0,D304-'Efectos y supuestos'!$B$10)/30)</f>
        <v>0</v>
      </c>
      <c r="H304" s="14">
        <f t="shared" si="4"/>
        <v>0</v>
      </c>
    </row>
    <row r="305" spans="1:8" x14ac:dyDescent="0.35">
      <c r="A305" s="24" t="s">
        <v>363</v>
      </c>
      <c r="B305" s="29">
        <v>45731</v>
      </c>
      <c r="C305" s="24" t="s">
        <v>647</v>
      </c>
      <c r="D305" s="21">
        <v>58</v>
      </c>
      <c r="E305" s="25">
        <v>8.06</v>
      </c>
      <c r="F305" s="26">
        <v>114.2828784119107</v>
      </c>
      <c r="G305" s="30">
        <f>IF(C305="sin control",'Efectos y supuestos'!$B$11,'Efectos y supuestos'!$B$9*MAX(0,D305-'Efectos y supuestos'!$B$10)/30)</f>
        <v>0</v>
      </c>
      <c r="H305" s="14">
        <f t="shared" si="4"/>
        <v>0</v>
      </c>
    </row>
    <row r="306" spans="1:8" x14ac:dyDescent="0.35">
      <c r="A306" s="24" t="s">
        <v>451</v>
      </c>
      <c r="B306" s="29">
        <v>45945</v>
      </c>
      <c r="C306" s="24" t="s">
        <v>648</v>
      </c>
      <c r="D306" s="21">
        <v>127</v>
      </c>
      <c r="E306" s="25">
        <v>17.28</v>
      </c>
      <c r="F306" s="26">
        <v>118.99</v>
      </c>
      <c r="G306" s="30">
        <f>IF(C306="sin control",'Efectos y supuestos'!$B$11,'Efectos y supuestos'!$B$9*MAX(0,D306-'Efectos y supuestos'!$B$10)/30)</f>
        <v>-1.8006666666666667E-2</v>
      </c>
      <c r="H306" s="14">
        <f t="shared" si="4"/>
        <v>37.024357248000008</v>
      </c>
    </row>
    <row r="307" spans="1:8" x14ac:dyDescent="0.35">
      <c r="A307" s="24" t="s">
        <v>452</v>
      </c>
      <c r="B307" s="29">
        <v>45945</v>
      </c>
      <c r="C307" s="24" t="s">
        <v>647</v>
      </c>
      <c r="D307" s="21">
        <v>98</v>
      </c>
      <c r="E307" s="25">
        <v>21.72</v>
      </c>
      <c r="F307" s="26">
        <v>144.06</v>
      </c>
      <c r="G307" s="30">
        <f>IF(C307="sin control",'Efectos y supuestos'!$B$11,'Efectos y supuestos'!$B$9*MAX(0,D307-'Efectos y supuestos'!$B$10)/30)</f>
        <v>-3.8933333333333333E-3</v>
      </c>
      <c r="H307" s="14">
        <f t="shared" si="4"/>
        <v>12.182174591999999</v>
      </c>
    </row>
    <row r="308" spans="1:8" x14ac:dyDescent="0.35">
      <c r="A308" s="24" t="s">
        <v>364</v>
      </c>
      <c r="B308" s="29">
        <v>45762</v>
      </c>
      <c r="C308" s="24" t="s">
        <v>647</v>
      </c>
      <c r="D308" s="21">
        <v>73</v>
      </c>
      <c r="E308" s="25">
        <v>9.77</v>
      </c>
      <c r="F308" s="26">
        <v>100.2773797338792</v>
      </c>
      <c r="G308" s="30">
        <f>IF(C308="sin control",'Efectos y supuestos'!$B$11,'Efectos y supuestos'!$B$9*MAX(0,D308-'Efectos y supuestos'!$B$10)/30)</f>
        <v>0</v>
      </c>
      <c r="H308" s="14">
        <f t="shared" si="4"/>
        <v>0</v>
      </c>
    </row>
    <row r="309" spans="1:8" x14ac:dyDescent="0.35">
      <c r="A309" s="24" t="s">
        <v>365</v>
      </c>
      <c r="B309" s="29">
        <v>45853</v>
      </c>
      <c r="C309" s="24" t="s">
        <v>647</v>
      </c>
      <c r="D309" s="21">
        <v>70</v>
      </c>
      <c r="E309" s="25">
        <v>7.4</v>
      </c>
      <c r="F309" s="26">
        <v>117.70810810810811</v>
      </c>
      <c r="G309" s="30">
        <f>IF(C309="sin control",'Efectos y supuestos'!$B$11,'Efectos y supuestos'!$B$9*MAX(0,D309-'Efectos y supuestos'!$B$10)/30)</f>
        <v>0</v>
      </c>
      <c r="H309" s="14">
        <f t="shared" si="4"/>
        <v>0</v>
      </c>
    </row>
    <row r="310" spans="1:8" x14ac:dyDescent="0.35">
      <c r="A310" s="24" t="s">
        <v>406</v>
      </c>
      <c r="B310" s="29">
        <v>45915</v>
      </c>
      <c r="C310" s="24" t="s">
        <v>647</v>
      </c>
      <c r="D310" s="21">
        <v>44</v>
      </c>
      <c r="E310" s="25">
        <v>7.82</v>
      </c>
      <c r="F310" s="26">
        <v>125.64578005115089</v>
      </c>
      <c r="G310" s="30">
        <f>IF(C310="sin control",'Efectos y supuestos'!$B$11,'Efectos y supuestos'!$B$9*MAX(0,D310-'Efectos y supuestos'!$B$10)/30)</f>
        <v>0</v>
      </c>
      <c r="H310" s="14">
        <f t="shared" si="4"/>
        <v>0</v>
      </c>
    </row>
    <row r="311" spans="1:8" x14ac:dyDescent="0.35">
      <c r="A311" s="24" t="s">
        <v>407</v>
      </c>
      <c r="B311" s="29">
        <v>45915</v>
      </c>
      <c r="C311" s="24" t="s">
        <v>647</v>
      </c>
      <c r="D311" s="21">
        <v>44</v>
      </c>
      <c r="E311" s="25">
        <v>3.81</v>
      </c>
      <c r="F311" s="26">
        <v>121.97900262467191</v>
      </c>
      <c r="G311" s="30">
        <f>IF(C311="sin control",'Efectos y supuestos'!$B$11,'Efectos y supuestos'!$B$9*MAX(0,D311-'Efectos y supuestos'!$B$10)/30)</f>
        <v>0</v>
      </c>
      <c r="H311" s="14">
        <f t="shared" si="4"/>
        <v>0</v>
      </c>
    </row>
    <row r="312" spans="1:8" x14ac:dyDescent="0.35">
      <c r="A312" s="24" t="s">
        <v>368</v>
      </c>
      <c r="B312" s="29">
        <v>45853</v>
      </c>
      <c r="C312" s="24" t="s">
        <v>647</v>
      </c>
      <c r="D312" s="21">
        <v>70</v>
      </c>
      <c r="E312" s="25">
        <v>7.99</v>
      </c>
      <c r="F312" s="26">
        <v>96.732165206508128</v>
      </c>
      <c r="G312" s="30">
        <f>IF(C312="sin control",'Efectos y supuestos'!$B$11,'Efectos y supuestos'!$B$9*MAX(0,D312-'Efectos y supuestos'!$B$10)/30)</f>
        <v>0</v>
      </c>
      <c r="H312" s="14">
        <f t="shared" si="4"/>
        <v>0</v>
      </c>
    </row>
    <row r="313" spans="1:8" x14ac:dyDescent="0.35">
      <c r="A313" s="24" t="s">
        <v>369</v>
      </c>
      <c r="B313" s="29">
        <v>45853</v>
      </c>
      <c r="C313" s="24" t="s">
        <v>647</v>
      </c>
      <c r="D313" s="21">
        <v>63</v>
      </c>
      <c r="E313" s="25">
        <v>7.73</v>
      </c>
      <c r="F313" s="26">
        <v>87.531694695989643</v>
      </c>
      <c r="G313" s="30">
        <f>IF(C313="sin control",'Efectos y supuestos'!$B$11,'Efectos y supuestos'!$B$9*MAX(0,D313-'Efectos y supuestos'!$B$10)/30)</f>
        <v>0</v>
      </c>
      <c r="H313" s="14">
        <f t="shared" si="4"/>
        <v>0</v>
      </c>
    </row>
    <row r="314" spans="1:8" x14ac:dyDescent="0.35">
      <c r="A314" s="24" t="s">
        <v>370</v>
      </c>
      <c r="B314" s="29">
        <v>45853</v>
      </c>
      <c r="C314" s="24" t="s">
        <v>647</v>
      </c>
      <c r="D314" s="21">
        <v>63</v>
      </c>
      <c r="E314" s="25">
        <v>8.59</v>
      </c>
      <c r="F314" s="26">
        <v>85.71944121071013</v>
      </c>
      <c r="G314" s="30">
        <f>IF(C314="sin control",'Efectos y supuestos'!$B$11,'Efectos y supuestos'!$B$9*MAX(0,D314-'Efectos y supuestos'!$B$10)/30)</f>
        <v>0</v>
      </c>
      <c r="H314" s="14">
        <f t="shared" si="4"/>
        <v>0</v>
      </c>
    </row>
    <row r="315" spans="1:8" x14ac:dyDescent="0.35">
      <c r="A315" s="24" t="s">
        <v>371</v>
      </c>
      <c r="B315" s="29">
        <v>45853</v>
      </c>
      <c r="C315" s="24" t="s">
        <v>647</v>
      </c>
      <c r="D315" s="21">
        <v>63</v>
      </c>
      <c r="E315" s="25">
        <v>7.76</v>
      </c>
      <c r="F315" s="26">
        <v>98.412371134020617</v>
      </c>
      <c r="G315" s="30">
        <f>IF(C315="sin control",'Efectos y supuestos'!$B$11,'Efectos y supuestos'!$B$9*MAX(0,D315-'Efectos y supuestos'!$B$10)/30)</f>
        <v>0</v>
      </c>
      <c r="H315" s="14">
        <f t="shared" si="4"/>
        <v>0</v>
      </c>
    </row>
    <row r="316" spans="1:8" x14ac:dyDescent="0.35">
      <c r="A316" s="24" t="s">
        <v>475</v>
      </c>
      <c r="B316" s="29">
        <v>45823</v>
      </c>
      <c r="C316" s="24" t="s">
        <v>647</v>
      </c>
      <c r="D316" s="21">
        <v>86</v>
      </c>
      <c r="E316" s="25">
        <v>7.55</v>
      </c>
      <c r="F316" s="26">
        <v>105.2503311258278</v>
      </c>
      <c r="G316" s="30">
        <f>IF(C316="sin control",'Efectos y supuestos'!$B$11,'Efectos y supuestos'!$B$9*MAX(0,D316-'Efectos y supuestos'!$B$10)/30)</f>
        <v>0</v>
      </c>
      <c r="H316" s="14">
        <f t="shared" si="4"/>
        <v>0</v>
      </c>
    </row>
    <row r="317" spans="1:8" x14ac:dyDescent="0.35">
      <c r="A317" s="24" t="s">
        <v>372</v>
      </c>
      <c r="B317" s="29">
        <v>45915</v>
      </c>
      <c r="C317" s="24" t="s">
        <v>647</v>
      </c>
      <c r="D317" s="21">
        <v>52</v>
      </c>
      <c r="E317" s="25">
        <v>9.58</v>
      </c>
      <c r="F317" s="26">
        <v>136.40083507306889</v>
      </c>
      <c r="G317" s="30">
        <f>IF(C317="sin control",'Efectos y supuestos'!$B$11,'Efectos y supuestos'!$B$9*MAX(0,D317-'Efectos y supuestos'!$B$10)/30)</f>
        <v>0</v>
      </c>
      <c r="H317" s="14">
        <f t="shared" si="4"/>
        <v>0</v>
      </c>
    </row>
    <row r="318" spans="1:8" x14ac:dyDescent="0.35">
      <c r="A318" s="24" t="s">
        <v>373</v>
      </c>
      <c r="B318" s="29">
        <v>45853</v>
      </c>
      <c r="C318" s="24" t="s">
        <v>647</v>
      </c>
      <c r="D318" s="21">
        <v>114</v>
      </c>
      <c r="E318" s="25">
        <v>6.29</v>
      </c>
      <c r="F318" s="26">
        <v>103.45310015898249</v>
      </c>
      <c r="G318" s="30">
        <f>IF(C318="sin control",'Efectos y supuestos'!$B$11,'Efectos y supuestos'!$B$9*MAX(0,D318-'Efectos y supuestos'!$B$10)/30)</f>
        <v>-1.1679999999999999E-2</v>
      </c>
      <c r="H318" s="14">
        <f t="shared" si="4"/>
        <v>7.6004095999999981</v>
      </c>
    </row>
    <row r="319" spans="1:8" x14ac:dyDescent="0.35">
      <c r="A319" s="24" t="s">
        <v>374</v>
      </c>
      <c r="B319" s="29">
        <v>45703</v>
      </c>
      <c r="C319" s="24" t="s">
        <v>647</v>
      </c>
      <c r="D319" s="21">
        <v>66</v>
      </c>
      <c r="E319" s="25">
        <v>7.3</v>
      </c>
      <c r="F319" s="26">
        <v>110.5986301369863</v>
      </c>
      <c r="G319" s="30">
        <f>IF(C319="sin control",'Efectos y supuestos'!$B$11,'Efectos y supuestos'!$B$9*MAX(0,D319-'Efectos y supuestos'!$B$10)/30)</f>
        <v>0</v>
      </c>
      <c r="H319" s="14">
        <f t="shared" si="4"/>
        <v>0</v>
      </c>
    </row>
    <row r="320" spans="1:8" x14ac:dyDescent="0.35">
      <c r="A320" s="24" t="s">
        <v>375</v>
      </c>
      <c r="B320" s="29">
        <v>45703</v>
      </c>
      <c r="C320" s="24" t="s">
        <v>647</v>
      </c>
      <c r="D320" s="21">
        <v>66</v>
      </c>
      <c r="E320" s="25">
        <v>5.32</v>
      </c>
      <c r="F320" s="26">
        <v>120.6578947368421</v>
      </c>
      <c r="G320" s="30">
        <f>IF(C320="sin control",'Efectos y supuestos'!$B$11,'Efectos y supuestos'!$B$9*MAX(0,D320-'Efectos y supuestos'!$B$10)/30)</f>
        <v>0</v>
      </c>
      <c r="H320" s="14">
        <f t="shared" si="4"/>
        <v>0</v>
      </c>
    </row>
    <row r="321" spans="1:8" x14ac:dyDescent="0.35">
      <c r="A321" s="24" t="s">
        <v>376</v>
      </c>
      <c r="B321" s="29">
        <v>45762</v>
      </c>
      <c r="C321" s="24" t="s">
        <v>647</v>
      </c>
      <c r="D321" s="21">
        <v>87</v>
      </c>
      <c r="E321" s="25">
        <v>15.99</v>
      </c>
      <c r="F321" s="26">
        <v>109.95747342088799</v>
      </c>
      <c r="G321" s="30">
        <f>IF(C321="sin control",'Efectos y supuestos'!$B$11,'Efectos y supuestos'!$B$9*MAX(0,D321-'Efectos y supuestos'!$B$10)/30)</f>
        <v>0</v>
      </c>
      <c r="H321" s="14">
        <f t="shared" si="4"/>
        <v>0</v>
      </c>
    </row>
    <row r="322" spans="1:8" x14ac:dyDescent="0.35">
      <c r="A322" s="24" t="s">
        <v>377</v>
      </c>
      <c r="B322" s="29">
        <v>45762</v>
      </c>
      <c r="C322" s="24" t="s">
        <v>647</v>
      </c>
      <c r="D322" s="21">
        <v>86</v>
      </c>
      <c r="E322" s="25">
        <v>16.45</v>
      </c>
      <c r="F322" s="26">
        <v>135.38723404255319</v>
      </c>
      <c r="G322" s="30">
        <f>IF(C322="sin control",'Efectos y supuestos'!$B$11,'Efectos y supuestos'!$B$9*MAX(0,D322-'Efectos y supuestos'!$B$10)/30)</f>
        <v>0</v>
      </c>
      <c r="H322" s="14">
        <f t="shared" si="4"/>
        <v>0</v>
      </c>
    </row>
    <row r="323" spans="1:8" x14ac:dyDescent="0.35">
      <c r="A323" s="24" t="s">
        <v>378</v>
      </c>
      <c r="B323" s="29">
        <v>45762</v>
      </c>
      <c r="C323" s="24" t="s">
        <v>647</v>
      </c>
      <c r="D323" s="21">
        <v>60</v>
      </c>
      <c r="E323" s="25">
        <v>5.03</v>
      </c>
      <c r="F323" s="26">
        <v>90.834990059642138</v>
      </c>
      <c r="G323" s="30">
        <f>IF(C323="sin control",'Efectos y supuestos'!$B$11,'Efectos y supuestos'!$B$9*MAX(0,D323-'Efectos y supuestos'!$B$10)/30)</f>
        <v>0</v>
      </c>
      <c r="H323" s="14">
        <f t="shared" si="4"/>
        <v>0</v>
      </c>
    </row>
    <row r="324" spans="1:8" x14ac:dyDescent="0.35">
      <c r="A324" s="8" t="s">
        <v>152</v>
      </c>
      <c r="B324" s="9"/>
      <c r="C324" s="9"/>
      <c r="D324" s="9"/>
      <c r="E324" s="10">
        <f>SUMIFS(E6:E323,G6:G323,"&lt;0")</f>
        <v>862.8599999999999</v>
      </c>
      <c r="F324" s="9"/>
      <c r="G324" s="9"/>
      <c r="H324" s="10">
        <f>SUM(H6:H323)</f>
        <v>1941.098436942</v>
      </c>
    </row>
    <row r="326" spans="1:8" x14ac:dyDescent="0.35">
      <c r="A326" s="20" t="s">
        <v>664</v>
      </c>
    </row>
    <row r="327" spans="1:8" x14ac:dyDescent="0.35">
      <c r="A327" s="24" t="s">
        <v>379</v>
      </c>
      <c r="B327" s="29">
        <v>46280</v>
      </c>
      <c r="C327" s="24" t="s">
        <v>665</v>
      </c>
      <c r="D327" s="21">
        <v>36</v>
      </c>
      <c r="E327" s="25">
        <v>1.9</v>
      </c>
      <c r="F327" s="26">
        <v>105</v>
      </c>
      <c r="G327" s="30">
        <f>'Efectos y supuestos'!$B$9*MAX(0,D327-'Efectos y supuestos'!$B$10)/30</f>
        <v>0</v>
      </c>
      <c r="H327" s="14">
        <f t="shared" ref="H327:H390" si="5">-G327*F327*E327</f>
        <v>0</v>
      </c>
    </row>
    <row r="328" spans="1:8" x14ac:dyDescent="0.35">
      <c r="A328" s="24" t="s">
        <v>381</v>
      </c>
      <c r="B328" s="29">
        <v>46300</v>
      </c>
      <c r="C328" s="24" t="s">
        <v>665</v>
      </c>
      <c r="D328" s="21">
        <v>16</v>
      </c>
      <c r="E328" s="25">
        <v>3.77</v>
      </c>
      <c r="F328" s="26">
        <v>105</v>
      </c>
      <c r="G328" s="30">
        <f>'Efectos y supuestos'!$B$9*MAX(0,D328-'Efectos y supuestos'!$B$10)/30</f>
        <v>0</v>
      </c>
      <c r="H328" s="14">
        <f t="shared" si="5"/>
        <v>0</v>
      </c>
    </row>
    <row r="329" spans="1:8" x14ac:dyDescent="0.35">
      <c r="A329" s="24" t="s">
        <v>408</v>
      </c>
      <c r="B329" s="29">
        <v>46218</v>
      </c>
      <c r="C329" s="24" t="s">
        <v>647</v>
      </c>
      <c r="D329" s="21">
        <v>85</v>
      </c>
      <c r="E329" s="25">
        <v>14.02</v>
      </c>
      <c r="F329" s="26">
        <v>105</v>
      </c>
      <c r="G329" s="30">
        <f>'Efectos y supuestos'!$B$9*MAX(0,D329-'Efectos y supuestos'!$B$10)/30</f>
        <v>0</v>
      </c>
      <c r="H329" s="14">
        <f t="shared" si="5"/>
        <v>0</v>
      </c>
    </row>
    <row r="330" spans="1:8" x14ac:dyDescent="0.35">
      <c r="A330" s="24" t="s">
        <v>168</v>
      </c>
      <c r="B330" s="29">
        <v>46218</v>
      </c>
      <c r="C330" s="24" t="s">
        <v>665</v>
      </c>
      <c r="D330" s="21">
        <v>98</v>
      </c>
      <c r="E330" s="25">
        <v>6.91</v>
      </c>
      <c r="F330" s="26">
        <v>105</v>
      </c>
      <c r="G330" s="30">
        <f>'Efectos y supuestos'!$B$9*MAX(0,D330-'Efectos y supuestos'!$B$10)/30</f>
        <v>-3.8933333333333333E-3</v>
      </c>
      <c r="H330" s="14">
        <f t="shared" si="5"/>
        <v>2.824808</v>
      </c>
    </row>
    <row r="331" spans="1:8" x14ac:dyDescent="0.35">
      <c r="A331" s="24" t="s">
        <v>382</v>
      </c>
      <c r="B331" s="29">
        <v>46280</v>
      </c>
      <c r="C331" s="24" t="s">
        <v>665</v>
      </c>
      <c r="D331" s="21">
        <v>36</v>
      </c>
      <c r="E331" s="25">
        <v>2.88</v>
      </c>
      <c r="F331" s="26">
        <v>105</v>
      </c>
      <c r="G331" s="30">
        <f>'Efectos y supuestos'!$B$9*MAX(0,D331-'Efectos y supuestos'!$B$10)/30</f>
        <v>0</v>
      </c>
      <c r="H331" s="14">
        <f t="shared" si="5"/>
        <v>0</v>
      </c>
    </row>
    <row r="332" spans="1:8" x14ac:dyDescent="0.35">
      <c r="A332" s="24" t="s">
        <v>410</v>
      </c>
      <c r="B332" s="29">
        <v>46249</v>
      </c>
      <c r="C332" s="24" t="s">
        <v>665</v>
      </c>
      <c r="D332" s="21">
        <v>67</v>
      </c>
      <c r="E332" s="25">
        <v>12.74</v>
      </c>
      <c r="F332" s="26">
        <v>105</v>
      </c>
      <c r="G332" s="30">
        <f>'Efectos y supuestos'!$B$9*MAX(0,D332-'Efectos y supuestos'!$B$10)/30</f>
        <v>0</v>
      </c>
      <c r="H332" s="14">
        <f t="shared" si="5"/>
        <v>0</v>
      </c>
    </row>
    <row r="333" spans="1:8" x14ac:dyDescent="0.35">
      <c r="A333" s="24" t="s">
        <v>479</v>
      </c>
      <c r="B333" s="29">
        <v>45976</v>
      </c>
      <c r="C333" s="24" t="s">
        <v>648</v>
      </c>
      <c r="D333" s="21">
        <v>96</v>
      </c>
      <c r="E333" s="25">
        <v>21.98</v>
      </c>
      <c r="F333" s="26">
        <v>108.2</v>
      </c>
      <c r="G333" s="30">
        <f>'Efectos y supuestos'!$B$9*MAX(0,D333-'Efectos y supuestos'!$B$10)/30</f>
        <v>-2.9199999999999999E-3</v>
      </c>
      <c r="H333" s="14">
        <f t="shared" si="5"/>
        <v>6.9444491199999998</v>
      </c>
    </row>
    <row r="334" spans="1:8" x14ac:dyDescent="0.35">
      <c r="A334" s="24" t="s">
        <v>383</v>
      </c>
      <c r="B334" s="29">
        <v>46280</v>
      </c>
      <c r="C334" s="24" t="s">
        <v>665</v>
      </c>
      <c r="D334" s="21">
        <v>36</v>
      </c>
      <c r="E334" s="25">
        <v>10.72</v>
      </c>
      <c r="F334" s="26">
        <v>105</v>
      </c>
      <c r="G334" s="30">
        <f>'Efectos y supuestos'!$B$9*MAX(0,D334-'Efectos y supuestos'!$B$10)/30</f>
        <v>0</v>
      </c>
      <c r="H334" s="14">
        <f t="shared" si="5"/>
        <v>0</v>
      </c>
    </row>
    <row r="335" spans="1:8" x14ac:dyDescent="0.35">
      <c r="A335" s="24" t="s">
        <v>481</v>
      </c>
      <c r="B335" s="29">
        <v>46006</v>
      </c>
      <c r="C335" s="24" t="s">
        <v>648</v>
      </c>
      <c r="D335" s="21">
        <v>109</v>
      </c>
      <c r="E335" s="25">
        <v>3.79</v>
      </c>
      <c r="F335" s="26">
        <v>120.3</v>
      </c>
      <c r="G335" s="30">
        <f>'Efectos y supuestos'!$B$9*MAX(0,D335-'Efectos y supuestos'!$B$10)/30</f>
        <v>-9.2466666666666652E-3</v>
      </c>
      <c r="H335" s="14">
        <f t="shared" si="5"/>
        <v>4.215897459999999</v>
      </c>
    </row>
    <row r="336" spans="1:8" x14ac:dyDescent="0.35">
      <c r="A336" s="24" t="s">
        <v>482</v>
      </c>
      <c r="B336" s="29">
        <v>45976</v>
      </c>
      <c r="C336" s="24" t="s">
        <v>647</v>
      </c>
      <c r="D336" s="21">
        <v>65</v>
      </c>
      <c r="E336" s="25">
        <v>7.03</v>
      </c>
      <c r="F336" s="26">
        <v>103.4</v>
      </c>
      <c r="G336" s="30">
        <f>'Efectos y supuestos'!$B$9*MAX(0,D336-'Efectos y supuestos'!$B$10)/30</f>
        <v>0</v>
      </c>
      <c r="H336" s="14">
        <f t="shared" si="5"/>
        <v>0</v>
      </c>
    </row>
    <row r="337" spans="1:8" x14ac:dyDescent="0.35">
      <c r="A337" s="24" t="s">
        <v>483</v>
      </c>
      <c r="B337" s="29">
        <v>46006</v>
      </c>
      <c r="C337" s="24" t="s">
        <v>647</v>
      </c>
      <c r="D337" s="21">
        <v>35</v>
      </c>
      <c r="E337" s="25">
        <v>3.04</v>
      </c>
      <c r="F337" s="26">
        <v>83.3</v>
      </c>
      <c r="G337" s="30">
        <f>'Efectos y supuestos'!$B$9*MAX(0,D337-'Efectos y supuestos'!$B$10)/30</f>
        <v>0</v>
      </c>
      <c r="H337" s="14">
        <f t="shared" si="5"/>
        <v>0</v>
      </c>
    </row>
    <row r="338" spans="1:8" x14ac:dyDescent="0.35">
      <c r="A338" s="24" t="s">
        <v>113</v>
      </c>
      <c r="B338" s="29">
        <v>45976</v>
      </c>
      <c r="C338" s="24" t="s">
        <v>647</v>
      </c>
      <c r="D338" s="21">
        <v>65</v>
      </c>
      <c r="E338" s="25">
        <v>12.51</v>
      </c>
      <c r="F338" s="26">
        <v>107.8</v>
      </c>
      <c r="G338" s="30">
        <f>'Efectos y supuestos'!$B$9*MAX(0,D338-'Efectos y supuestos'!$B$10)/30</f>
        <v>0</v>
      </c>
      <c r="H338" s="14">
        <f t="shared" si="5"/>
        <v>0</v>
      </c>
    </row>
    <row r="339" spans="1:8" x14ac:dyDescent="0.35">
      <c r="A339" s="24" t="s">
        <v>115</v>
      </c>
      <c r="B339" s="29">
        <v>46006</v>
      </c>
      <c r="C339" s="24" t="s">
        <v>648</v>
      </c>
      <c r="D339" s="21">
        <v>105</v>
      </c>
      <c r="E339" s="25">
        <v>1.42</v>
      </c>
      <c r="F339" s="26">
        <v>101.7</v>
      </c>
      <c r="G339" s="30">
        <f>'Efectos y supuestos'!$B$9*MAX(0,D339-'Efectos y supuestos'!$B$10)/30</f>
        <v>-7.3000000000000001E-3</v>
      </c>
      <c r="H339" s="14">
        <f t="shared" si="5"/>
        <v>1.0542221999999999</v>
      </c>
    </row>
    <row r="340" spans="1:8" x14ac:dyDescent="0.35">
      <c r="A340" s="24" t="s">
        <v>116</v>
      </c>
      <c r="B340" s="29">
        <v>45976</v>
      </c>
      <c r="C340" s="24" t="s">
        <v>648</v>
      </c>
      <c r="D340" s="21">
        <v>82</v>
      </c>
      <c r="E340" s="25">
        <v>21.86</v>
      </c>
      <c r="F340" s="26">
        <v>102.8</v>
      </c>
      <c r="G340" s="30">
        <f>'Efectos y supuestos'!$B$9*MAX(0,D340-'Efectos y supuestos'!$B$10)/30</f>
        <v>0</v>
      </c>
      <c r="H340" s="14">
        <f t="shared" si="5"/>
        <v>0</v>
      </c>
    </row>
    <row r="341" spans="1:8" x14ac:dyDescent="0.35">
      <c r="A341" s="24" t="s">
        <v>384</v>
      </c>
      <c r="B341" s="29">
        <v>46280</v>
      </c>
      <c r="C341" s="24" t="s">
        <v>665</v>
      </c>
      <c r="D341" s="21">
        <v>36</v>
      </c>
      <c r="E341" s="25">
        <v>23.54</v>
      </c>
      <c r="F341" s="26">
        <v>105</v>
      </c>
      <c r="G341" s="30">
        <f>'Efectos y supuestos'!$B$9*MAX(0,D341-'Efectos y supuestos'!$B$10)/30</f>
        <v>0</v>
      </c>
      <c r="H341" s="14">
        <f t="shared" si="5"/>
        <v>0</v>
      </c>
    </row>
    <row r="342" spans="1:8" x14ac:dyDescent="0.35">
      <c r="A342" s="24" t="s">
        <v>484</v>
      </c>
      <c r="B342" s="29">
        <v>46006</v>
      </c>
      <c r="C342" s="24" t="s">
        <v>648</v>
      </c>
      <c r="D342" s="21">
        <v>88</v>
      </c>
      <c r="E342" s="25">
        <v>10.06</v>
      </c>
      <c r="F342" s="26">
        <v>117.8</v>
      </c>
      <c r="G342" s="30">
        <f>'Efectos y supuestos'!$B$9*MAX(0,D342-'Efectos y supuestos'!$B$10)/30</f>
        <v>0</v>
      </c>
      <c r="H342" s="14">
        <f t="shared" si="5"/>
        <v>0</v>
      </c>
    </row>
    <row r="343" spans="1:8" x14ac:dyDescent="0.35">
      <c r="A343" s="24" t="s">
        <v>485</v>
      </c>
      <c r="B343" s="29">
        <v>46006</v>
      </c>
      <c r="C343" s="24" t="s">
        <v>648</v>
      </c>
      <c r="D343" s="21">
        <v>88</v>
      </c>
      <c r="E343" s="25">
        <v>11.96</v>
      </c>
      <c r="F343" s="26">
        <v>108.1</v>
      </c>
      <c r="G343" s="30">
        <f>'Efectos y supuestos'!$B$9*MAX(0,D343-'Efectos y supuestos'!$B$10)/30</f>
        <v>0</v>
      </c>
      <c r="H343" s="14">
        <f t="shared" si="5"/>
        <v>0</v>
      </c>
    </row>
    <row r="344" spans="1:8" x14ac:dyDescent="0.35">
      <c r="A344" s="24" t="s">
        <v>172</v>
      </c>
      <c r="B344" s="29">
        <v>46188</v>
      </c>
      <c r="C344" s="24" t="s">
        <v>647</v>
      </c>
      <c r="D344" s="21">
        <v>79</v>
      </c>
      <c r="E344" s="25">
        <v>6.59</v>
      </c>
      <c r="F344" s="26">
        <v>105</v>
      </c>
      <c r="G344" s="30">
        <f>'Efectos y supuestos'!$B$9*MAX(0,D344-'Efectos y supuestos'!$B$10)/30</f>
        <v>0</v>
      </c>
      <c r="H344" s="14">
        <f t="shared" si="5"/>
        <v>0</v>
      </c>
    </row>
    <row r="345" spans="1:8" x14ac:dyDescent="0.35">
      <c r="A345" s="24" t="s">
        <v>173</v>
      </c>
      <c r="B345" s="29">
        <v>46096</v>
      </c>
      <c r="C345" s="24" t="s">
        <v>648</v>
      </c>
      <c r="D345" s="21">
        <v>60</v>
      </c>
      <c r="E345" s="25">
        <v>10.97</v>
      </c>
      <c r="F345" s="26">
        <v>115</v>
      </c>
      <c r="G345" s="30">
        <f>'Efectos y supuestos'!$B$9*MAX(0,D345-'Efectos y supuestos'!$B$10)/30</f>
        <v>0</v>
      </c>
      <c r="H345" s="14">
        <f t="shared" si="5"/>
        <v>0</v>
      </c>
    </row>
    <row r="346" spans="1:8" x14ac:dyDescent="0.35">
      <c r="A346" s="24" t="s">
        <v>385</v>
      </c>
      <c r="B346" s="29">
        <v>46280</v>
      </c>
      <c r="C346" s="24" t="s">
        <v>665</v>
      </c>
      <c r="D346" s="21">
        <v>36</v>
      </c>
      <c r="E346" s="25">
        <v>23.48</v>
      </c>
      <c r="F346" s="26">
        <v>105</v>
      </c>
      <c r="G346" s="30">
        <f>'Efectos y supuestos'!$B$9*MAX(0,D346-'Efectos y supuestos'!$B$10)/30</f>
        <v>0</v>
      </c>
      <c r="H346" s="14">
        <f t="shared" si="5"/>
        <v>0</v>
      </c>
    </row>
    <row r="347" spans="1:8" x14ac:dyDescent="0.35">
      <c r="A347" s="24" t="s">
        <v>80</v>
      </c>
      <c r="B347" s="29">
        <v>46303</v>
      </c>
      <c r="C347" s="24" t="s">
        <v>665</v>
      </c>
      <c r="D347" s="21">
        <v>13</v>
      </c>
      <c r="E347" s="25">
        <v>5.26</v>
      </c>
      <c r="F347" s="26">
        <v>105</v>
      </c>
      <c r="G347" s="30">
        <f>'Efectos y supuestos'!$B$9*MAX(0,D347-'Efectos y supuestos'!$B$10)/30</f>
        <v>0</v>
      </c>
      <c r="H347" s="14">
        <f t="shared" si="5"/>
        <v>0</v>
      </c>
    </row>
    <row r="348" spans="1:8" x14ac:dyDescent="0.35">
      <c r="A348" s="24" t="s">
        <v>486</v>
      </c>
      <c r="B348" s="29">
        <v>45976</v>
      </c>
      <c r="C348" s="24" t="s">
        <v>648</v>
      </c>
      <c r="D348" s="21">
        <v>104</v>
      </c>
      <c r="E348" s="25">
        <v>12.88</v>
      </c>
      <c r="F348" s="26">
        <v>80.7</v>
      </c>
      <c r="G348" s="30">
        <f>'Efectos y supuestos'!$B$9*MAX(0,D348-'Efectos y supuestos'!$B$10)/30</f>
        <v>-6.8133333333333336E-3</v>
      </c>
      <c r="H348" s="14">
        <f t="shared" si="5"/>
        <v>7.0818876800000004</v>
      </c>
    </row>
    <row r="349" spans="1:8" x14ac:dyDescent="0.35">
      <c r="A349" s="24" t="s">
        <v>174</v>
      </c>
      <c r="B349" s="29">
        <v>46218</v>
      </c>
      <c r="C349" s="24" t="s">
        <v>647</v>
      </c>
      <c r="D349" s="21">
        <v>82</v>
      </c>
      <c r="E349" s="25">
        <v>10.57</v>
      </c>
      <c r="F349" s="26">
        <v>105</v>
      </c>
      <c r="G349" s="30">
        <f>'Efectos y supuestos'!$B$9*MAX(0,D349-'Efectos y supuestos'!$B$10)/30</f>
        <v>0</v>
      </c>
      <c r="H349" s="14">
        <f t="shared" si="5"/>
        <v>0</v>
      </c>
    </row>
    <row r="350" spans="1:8" x14ac:dyDescent="0.35">
      <c r="A350" s="24" t="s">
        <v>82</v>
      </c>
      <c r="B350" s="29">
        <v>46218</v>
      </c>
      <c r="C350" s="24" t="s">
        <v>665</v>
      </c>
      <c r="D350" s="21">
        <v>98</v>
      </c>
      <c r="E350" s="25">
        <v>19.25</v>
      </c>
      <c r="F350" s="26">
        <v>105</v>
      </c>
      <c r="G350" s="30">
        <f>'Efectos y supuestos'!$B$9*MAX(0,D350-'Efectos y supuestos'!$B$10)/30</f>
        <v>-3.8933333333333333E-3</v>
      </c>
      <c r="H350" s="14">
        <f t="shared" si="5"/>
        <v>7.8693999999999997</v>
      </c>
    </row>
    <row r="351" spans="1:8" x14ac:dyDescent="0.35">
      <c r="A351" s="24" t="s">
        <v>175</v>
      </c>
      <c r="B351" s="29">
        <v>46249</v>
      </c>
      <c r="C351" s="24" t="s">
        <v>665</v>
      </c>
      <c r="D351" s="21">
        <v>67</v>
      </c>
      <c r="E351" s="25">
        <v>4.43</v>
      </c>
      <c r="F351" s="26">
        <v>105</v>
      </c>
      <c r="G351" s="30">
        <f>'Efectos y supuestos'!$B$9*MAX(0,D351-'Efectos y supuestos'!$B$10)/30</f>
        <v>0</v>
      </c>
      <c r="H351" s="14">
        <f t="shared" si="5"/>
        <v>0</v>
      </c>
    </row>
    <row r="352" spans="1:8" x14ac:dyDescent="0.35">
      <c r="A352" s="24" t="s">
        <v>176</v>
      </c>
      <c r="B352" s="29">
        <v>46218</v>
      </c>
      <c r="C352" s="24" t="s">
        <v>647</v>
      </c>
      <c r="D352" s="21">
        <v>42</v>
      </c>
      <c r="E352" s="25">
        <v>7.97</v>
      </c>
      <c r="F352" s="26">
        <v>105</v>
      </c>
      <c r="G352" s="30">
        <f>'Efectos y supuestos'!$B$9*MAX(0,D352-'Efectos y supuestos'!$B$10)/30</f>
        <v>0</v>
      </c>
      <c r="H352" s="14">
        <f t="shared" si="5"/>
        <v>0</v>
      </c>
    </row>
    <row r="353" spans="1:8" x14ac:dyDescent="0.35">
      <c r="A353" s="24" t="s">
        <v>602</v>
      </c>
      <c r="B353" s="29">
        <v>46249</v>
      </c>
      <c r="C353" s="24" t="s">
        <v>665</v>
      </c>
      <c r="D353" s="21">
        <v>67</v>
      </c>
      <c r="E353" s="25">
        <v>12.44</v>
      </c>
      <c r="F353" s="26">
        <v>105</v>
      </c>
      <c r="G353" s="30">
        <f>'Efectos y supuestos'!$B$9*MAX(0,D353-'Efectos y supuestos'!$B$10)/30</f>
        <v>0</v>
      </c>
      <c r="H353" s="14">
        <f t="shared" si="5"/>
        <v>0</v>
      </c>
    </row>
    <row r="354" spans="1:8" x14ac:dyDescent="0.35">
      <c r="A354" s="24" t="s">
        <v>387</v>
      </c>
      <c r="B354" s="29">
        <v>46315</v>
      </c>
      <c r="C354" s="24" t="s">
        <v>665</v>
      </c>
      <c r="D354" s="21">
        <v>1</v>
      </c>
      <c r="E354" s="25">
        <v>14.45</v>
      </c>
      <c r="F354" s="26">
        <v>123.8</v>
      </c>
      <c r="G354" s="30">
        <f>'Efectos y supuestos'!$B$9*MAX(0,D354-'Efectos y supuestos'!$B$10)/30</f>
        <v>0</v>
      </c>
      <c r="H354" s="14">
        <f t="shared" si="5"/>
        <v>0</v>
      </c>
    </row>
    <row r="355" spans="1:8" x14ac:dyDescent="0.35">
      <c r="A355" s="24" t="s">
        <v>551</v>
      </c>
      <c r="B355" s="29">
        <v>45976</v>
      </c>
      <c r="C355" s="24" t="s">
        <v>647</v>
      </c>
      <c r="D355" s="21">
        <v>67</v>
      </c>
      <c r="E355" s="25">
        <v>3.36</v>
      </c>
      <c r="F355" s="26">
        <v>95.2</v>
      </c>
      <c r="G355" s="30">
        <f>'Efectos y supuestos'!$B$9*MAX(0,D355-'Efectos y supuestos'!$B$10)/30</f>
        <v>0</v>
      </c>
      <c r="H355" s="14">
        <f t="shared" si="5"/>
        <v>0</v>
      </c>
    </row>
    <row r="356" spans="1:8" x14ac:dyDescent="0.35">
      <c r="A356" s="24" t="s">
        <v>388</v>
      </c>
      <c r="B356" s="29">
        <v>46280</v>
      </c>
      <c r="C356" s="24" t="s">
        <v>665</v>
      </c>
      <c r="D356" s="21">
        <v>36</v>
      </c>
      <c r="E356" s="25">
        <v>16.32</v>
      </c>
      <c r="F356" s="26">
        <v>105</v>
      </c>
      <c r="G356" s="30">
        <f>'Efectos y supuestos'!$B$9*MAX(0,D356-'Efectos y supuestos'!$B$10)/30</f>
        <v>0</v>
      </c>
      <c r="H356" s="14">
        <f t="shared" si="5"/>
        <v>0</v>
      </c>
    </row>
    <row r="357" spans="1:8" x14ac:dyDescent="0.35">
      <c r="A357" s="24" t="s">
        <v>561</v>
      </c>
      <c r="B357" s="29">
        <v>46249</v>
      </c>
      <c r="C357" s="24" t="s">
        <v>665</v>
      </c>
      <c r="D357" s="21">
        <v>67</v>
      </c>
      <c r="E357" s="25">
        <v>6.68</v>
      </c>
      <c r="F357" s="26">
        <v>105</v>
      </c>
      <c r="G357" s="30">
        <f>'Efectos y supuestos'!$B$9*MAX(0,D357-'Efectos y supuestos'!$B$10)/30</f>
        <v>0</v>
      </c>
      <c r="H357" s="14">
        <f t="shared" si="5"/>
        <v>0</v>
      </c>
    </row>
    <row r="358" spans="1:8" x14ac:dyDescent="0.35">
      <c r="A358" s="24" t="s">
        <v>177</v>
      </c>
      <c r="B358" s="29">
        <v>46127</v>
      </c>
      <c r="C358" s="24" t="s">
        <v>648</v>
      </c>
      <c r="D358" s="21">
        <v>57</v>
      </c>
      <c r="E358" s="25">
        <v>10.85</v>
      </c>
      <c r="F358" s="26">
        <v>112.9</v>
      </c>
      <c r="G358" s="30">
        <f>'Efectos y supuestos'!$B$9*MAX(0,D358-'Efectos y supuestos'!$B$10)/30</f>
        <v>0</v>
      </c>
      <c r="H358" s="14">
        <f t="shared" si="5"/>
        <v>0</v>
      </c>
    </row>
    <row r="359" spans="1:8" x14ac:dyDescent="0.35">
      <c r="A359" s="24" t="s">
        <v>411</v>
      </c>
      <c r="B359" s="29">
        <v>46096</v>
      </c>
      <c r="C359" s="24" t="s">
        <v>648</v>
      </c>
      <c r="D359" s="21">
        <v>26</v>
      </c>
      <c r="E359" s="25">
        <v>10.36</v>
      </c>
      <c r="F359" s="26">
        <v>94.1</v>
      </c>
      <c r="G359" s="30">
        <f>'Efectos y supuestos'!$B$9*MAX(0,D359-'Efectos y supuestos'!$B$10)/30</f>
        <v>0</v>
      </c>
      <c r="H359" s="14">
        <f t="shared" si="5"/>
        <v>0</v>
      </c>
    </row>
    <row r="360" spans="1:8" x14ac:dyDescent="0.35">
      <c r="A360" s="24" t="s">
        <v>603</v>
      </c>
      <c r="B360" s="29">
        <v>46006</v>
      </c>
      <c r="C360" s="24" t="s">
        <v>648</v>
      </c>
      <c r="D360" s="21">
        <v>88</v>
      </c>
      <c r="E360" s="25">
        <v>13.43</v>
      </c>
      <c r="F360" s="26">
        <v>76.5</v>
      </c>
      <c r="G360" s="30">
        <f>'Efectos y supuestos'!$B$9*MAX(0,D360-'Efectos y supuestos'!$B$10)/30</f>
        <v>0</v>
      </c>
      <c r="H360" s="14">
        <f t="shared" si="5"/>
        <v>0</v>
      </c>
    </row>
    <row r="361" spans="1:8" x14ac:dyDescent="0.35">
      <c r="A361" s="24" t="s">
        <v>180</v>
      </c>
      <c r="B361" s="29">
        <v>46188</v>
      </c>
      <c r="C361" s="24" t="s">
        <v>647</v>
      </c>
      <c r="D361" s="21">
        <v>106</v>
      </c>
      <c r="E361" s="25">
        <v>9.1999999999999993</v>
      </c>
      <c r="F361" s="26">
        <v>102.8</v>
      </c>
      <c r="G361" s="30">
        <f>'Efectos y supuestos'!$B$9*MAX(0,D361-'Efectos y supuestos'!$B$10)/30</f>
        <v>-7.7866666666666666E-3</v>
      </c>
      <c r="H361" s="14">
        <f t="shared" si="5"/>
        <v>7.3643178666666653</v>
      </c>
    </row>
    <row r="362" spans="1:8" x14ac:dyDescent="0.35">
      <c r="A362" s="24" t="s">
        <v>455</v>
      </c>
      <c r="B362" s="29">
        <v>46157</v>
      </c>
      <c r="C362" s="24" t="s">
        <v>647</v>
      </c>
      <c r="D362" s="21">
        <v>133</v>
      </c>
      <c r="E362" s="25">
        <v>9.32</v>
      </c>
      <c r="F362" s="26">
        <v>88.2</v>
      </c>
      <c r="G362" s="30">
        <f>'Efectos y supuestos'!$B$9*MAX(0,D362-'Efectos y supuestos'!$B$10)/30</f>
        <v>-2.0926666666666666E-2</v>
      </c>
      <c r="H362" s="14">
        <f t="shared" si="5"/>
        <v>17.202222240000001</v>
      </c>
    </row>
    <row r="363" spans="1:8" x14ac:dyDescent="0.35">
      <c r="A363" s="24" t="s">
        <v>457</v>
      </c>
      <c r="B363" s="29">
        <v>46188</v>
      </c>
      <c r="C363" s="24" t="s">
        <v>647</v>
      </c>
      <c r="D363" s="21">
        <v>101</v>
      </c>
      <c r="E363" s="25">
        <v>5.52</v>
      </c>
      <c r="F363" s="26">
        <v>94.1</v>
      </c>
      <c r="G363" s="30">
        <f>'Efectos y supuestos'!$B$9*MAX(0,D363-'Efectos y supuestos'!$B$10)/30</f>
        <v>-5.3533333333333332E-3</v>
      </c>
      <c r="H363" s="14">
        <f t="shared" si="5"/>
        <v>2.7806926399999994</v>
      </c>
    </row>
    <row r="364" spans="1:8" x14ac:dyDescent="0.35">
      <c r="A364" s="24" t="s">
        <v>181</v>
      </c>
      <c r="B364" s="29">
        <v>46249</v>
      </c>
      <c r="C364" s="24" t="s">
        <v>665</v>
      </c>
      <c r="D364" s="21">
        <v>67</v>
      </c>
      <c r="E364" s="25">
        <v>4.6500000000000004</v>
      </c>
      <c r="F364" s="26">
        <v>105</v>
      </c>
      <c r="G364" s="30">
        <f>'Efectos y supuestos'!$B$9*MAX(0,D364-'Efectos y supuestos'!$B$10)/30</f>
        <v>0</v>
      </c>
      <c r="H364" s="14">
        <f t="shared" si="5"/>
        <v>0</v>
      </c>
    </row>
    <row r="365" spans="1:8" x14ac:dyDescent="0.35">
      <c r="A365" s="24" t="s">
        <v>562</v>
      </c>
      <c r="B365" s="29">
        <v>46188</v>
      </c>
      <c r="C365" s="24" t="s">
        <v>665</v>
      </c>
      <c r="D365" s="21">
        <v>128</v>
      </c>
      <c r="E365" s="25">
        <v>1.1299999999999999</v>
      </c>
      <c r="F365" s="26">
        <v>83.2</v>
      </c>
      <c r="G365" s="30">
        <f>'Efectos y supuestos'!$B$9*MAX(0,D365-'Efectos y supuestos'!$B$10)/30</f>
        <v>-1.849333333333333E-2</v>
      </c>
      <c r="H365" s="14">
        <f t="shared" si="5"/>
        <v>1.7386692266666663</v>
      </c>
    </row>
    <row r="366" spans="1:8" x14ac:dyDescent="0.35">
      <c r="A366" s="24" t="s">
        <v>182</v>
      </c>
      <c r="B366" s="29">
        <v>46096</v>
      </c>
      <c r="C366" s="24" t="s">
        <v>647</v>
      </c>
      <c r="D366" s="21">
        <v>181</v>
      </c>
      <c r="E366" s="25">
        <v>14.11</v>
      </c>
      <c r="F366" s="26">
        <v>75.3</v>
      </c>
      <c r="G366" s="30">
        <f>'Efectos y supuestos'!$B$9*MAX(0,D366-'Efectos y supuestos'!$B$10)/30</f>
        <v>-4.4286666666666669E-2</v>
      </c>
      <c r="H366" s="14">
        <f t="shared" si="5"/>
        <v>47.053830459999993</v>
      </c>
    </row>
    <row r="367" spans="1:8" x14ac:dyDescent="0.35">
      <c r="A367" s="24" t="s">
        <v>183</v>
      </c>
      <c r="B367" s="29">
        <v>46096</v>
      </c>
      <c r="C367" s="24" t="s">
        <v>647</v>
      </c>
      <c r="D367" s="21">
        <v>181</v>
      </c>
      <c r="E367" s="25">
        <v>5.72</v>
      </c>
      <c r="F367" s="26">
        <v>74.3</v>
      </c>
      <c r="G367" s="30">
        <f>'Efectos y supuestos'!$B$9*MAX(0,D367-'Efectos y supuestos'!$B$10)/30</f>
        <v>-4.4286666666666669E-2</v>
      </c>
      <c r="H367" s="14">
        <f t="shared" si="5"/>
        <v>18.821656186666665</v>
      </c>
    </row>
    <row r="368" spans="1:8" x14ac:dyDescent="0.35">
      <c r="A368" s="24" t="s">
        <v>184</v>
      </c>
      <c r="B368" s="29">
        <v>46096</v>
      </c>
      <c r="C368" s="24" t="s">
        <v>647</v>
      </c>
      <c r="D368" s="21">
        <v>180</v>
      </c>
      <c r="E368" s="25">
        <v>5.51</v>
      </c>
      <c r="F368" s="26">
        <v>75.5</v>
      </c>
      <c r="G368" s="30">
        <f>'Efectos y supuestos'!$B$9*MAX(0,D368-'Efectos y supuestos'!$B$10)/30</f>
        <v>-4.3799999999999999E-2</v>
      </c>
      <c r="H368" s="14">
        <f t="shared" si="5"/>
        <v>18.221018999999998</v>
      </c>
    </row>
    <row r="369" spans="1:8" x14ac:dyDescent="0.35">
      <c r="A369" s="24" t="s">
        <v>185</v>
      </c>
      <c r="B369" s="29">
        <v>46096</v>
      </c>
      <c r="C369" s="24" t="s">
        <v>647</v>
      </c>
      <c r="D369" s="21">
        <v>181</v>
      </c>
      <c r="E369" s="25">
        <v>5.81</v>
      </c>
      <c r="F369" s="26">
        <v>75.3</v>
      </c>
      <c r="G369" s="30">
        <f>'Efectos y supuestos'!$B$9*MAX(0,D369-'Efectos y supuestos'!$B$10)/30</f>
        <v>-4.4286666666666669E-2</v>
      </c>
      <c r="H369" s="14">
        <f t="shared" si="5"/>
        <v>19.375106659999997</v>
      </c>
    </row>
    <row r="370" spans="1:8" x14ac:dyDescent="0.35">
      <c r="A370" s="24" t="s">
        <v>186</v>
      </c>
      <c r="B370" s="29">
        <v>46218</v>
      </c>
      <c r="C370" s="24" t="s">
        <v>647</v>
      </c>
      <c r="D370" s="21">
        <v>83</v>
      </c>
      <c r="E370" s="25">
        <v>20.170000000000002</v>
      </c>
      <c r="F370" s="26">
        <v>105</v>
      </c>
      <c r="G370" s="30">
        <f>'Efectos y supuestos'!$B$9*MAX(0,D370-'Efectos y supuestos'!$B$10)/30</f>
        <v>0</v>
      </c>
      <c r="H370" s="14">
        <f t="shared" si="5"/>
        <v>0</v>
      </c>
    </row>
    <row r="371" spans="1:8" x14ac:dyDescent="0.35">
      <c r="A371" s="24" t="s">
        <v>83</v>
      </c>
      <c r="B371" s="29">
        <v>46249</v>
      </c>
      <c r="C371" s="24" t="s">
        <v>665</v>
      </c>
      <c r="D371" s="21">
        <v>67</v>
      </c>
      <c r="E371" s="25">
        <v>14.42</v>
      </c>
      <c r="F371" s="26">
        <v>105</v>
      </c>
      <c r="G371" s="30">
        <f>'Efectos y supuestos'!$B$9*MAX(0,D371-'Efectos y supuestos'!$B$10)/30</f>
        <v>0</v>
      </c>
      <c r="H371" s="14">
        <f t="shared" si="5"/>
        <v>0</v>
      </c>
    </row>
    <row r="372" spans="1:8" x14ac:dyDescent="0.35">
      <c r="A372" s="24" t="s">
        <v>84</v>
      </c>
      <c r="B372" s="29">
        <v>46249</v>
      </c>
      <c r="C372" s="24" t="s">
        <v>665</v>
      </c>
      <c r="D372" s="21">
        <v>67</v>
      </c>
      <c r="E372" s="25">
        <v>3.72</v>
      </c>
      <c r="F372" s="26">
        <v>105</v>
      </c>
      <c r="G372" s="30">
        <f>'Efectos y supuestos'!$B$9*MAX(0,D372-'Efectos y supuestos'!$B$10)/30</f>
        <v>0</v>
      </c>
      <c r="H372" s="14">
        <f t="shared" si="5"/>
        <v>0</v>
      </c>
    </row>
    <row r="373" spans="1:8" x14ac:dyDescent="0.35">
      <c r="A373" s="24" t="s">
        <v>187</v>
      </c>
      <c r="B373" s="29">
        <v>46218</v>
      </c>
      <c r="C373" s="24" t="s">
        <v>665</v>
      </c>
      <c r="D373" s="21">
        <v>98</v>
      </c>
      <c r="E373" s="25">
        <v>8.9700000000000006</v>
      </c>
      <c r="F373" s="26">
        <v>105</v>
      </c>
      <c r="G373" s="30">
        <f>'Efectos y supuestos'!$B$9*MAX(0,D373-'Efectos y supuestos'!$B$10)/30</f>
        <v>-3.8933333333333333E-3</v>
      </c>
      <c r="H373" s="14">
        <f t="shared" si="5"/>
        <v>3.6669360000000002</v>
      </c>
    </row>
    <row r="374" spans="1:8" x14ac:dyDescent="0.35">
      <c r="A374" s="24" t="s">
        <v>85</v>
      </c>
      <c r="B374" s="29">
        <v>46218</v>
      </c>
      <c r="C374" s="24" t="s">
        <v>647</v>
      </c>
      <c r="D374" s="21">
        <v>71</v>
      </c>
      <c r="E374" s="25">
        <v>8.94</v>
      </c>
      <c r="F374" s="26">
        <v>105</v>
      </c>
      <c r="G374" s="30">
        <f>'Efectos y supuestos'!$B$9*MAX(0,D374-'Efectos y supuestos'!$B$10)/30</f>
        <v>0</v>
      </c>
      <c r="H374" s="14">
        <f t="shared" si="5"/>
        <v>0</v>
      </c>
    </row>
    <row r="375" spans="1:8" x14ac:dyDescent="0.35">
      <c r="A375" s="24" t="s">
        <v>604</v>
      </c>
      <c r="B375" s="29">
        <v>46006</v>
      </c>
      <c r="C375" s="24" t="s">
        <v>648</v>
      </c>
      <c r="D375" s="21">
        <v>88</v>
      </c>
      <c r="E375" s="25">
        <v>14.02</v>
      </c>
      <c r="F375" s="26">
        <v>82.7</v>
      </c>
      <c r="G375" s="30">
        <f>'Efectos y supuestos'!$B$9*MAX(0,D375-'Efectos y supuestos'!$B$10)/30</f>
        <v>0</v>
      </c>
      <c r="H375" s="14">
        <f t="shared" si="5"/>
        <v>0</v>
      </c>
    </row>
    <row r="376" spans="1:8" x14ac:dyDescent="0.35">
      <c r="A376" s="24" t="s">
        <v>389</v>
      </c>
      <c r="B376" s="29">
        <v>46249</v>
      </c>
      <c r="C376" s="24" t="s">
        <v>665</v>
      </c>
      <c r="D376" s="21">
        <v>67</v>
      </c>
      <c r="E376" s="25">
        <v>3.58</v>
      </c>
      <c r="F376" s="26">
        <v>105</v>
      </c>
      <c r="G376" s="30">
        <f>'Efectos y supuestos'!$B$9*MAX(0,D376-'Efectos y supuestos'!$B$10)/30</f>
        <v>0</v>
      </c>
      <c r="H376" s="14">
        <f t="shared" si="5"/>
        <v>0</v>
      </c>
    </row>
    <row r="377" spans="1:8" x14ac:dyDescent="0.35">
      <c r="A377" s="24" t="s">
        <v>563</v>
      </c>
      <c r="B377" s="29">
        <v>46249</v>
      </c>
      <c r="C377" s="24" t="s">
        <v>665</v>
      </c>
      <c r="D377" s="21">
        <v>67</v>
      </c>
      <c r="E377" s="25">
        <v>10.33</v>
      </c>
      <c r="F377" s="26">
        <v>105</v>
      </c>
      <c r="G377" s="30">
        <f>'Efectos y supuestos'!$B$9*MAX(0,D377-'Efectos y supuestos'!$B$10)/30</f>
        <v>0</v>
      </c>
      <c r="H377" s="14">
        <f t="shared" si="5"/>
        <v>0</v>
      </c>
    </row>
    <row r="378" spans="1:8" x14ac:dyDescent="0.35">
      <c r="A378" s="24" t="s">
        <v>188</v>
      </c>
      <c r="B378" s="29">
        <v>46096</v>
      </c>
      <c r="C378" s="24" t="s">
        <v>648</v>
      </c>
      <c r="D378" s="21">
        <v>81</v>
      </c>
      <c r="E378" s="25">
        <v>8.44</v>
      </c>
      <c r="F378" s="26">
        <v>91.4</v>
      </c>
      <c r="G378" s="30">
        <f>'Efectos y supuestos'!$B$9*MAX(0,D378-'Efectos y supuestos'!$B$10)/30</f>
        <v>0</v>
      </c>
      <c r="H378" s="14">
        <f t="shared" si="5"/>
        <v>0</v>
      </c>
    </row>
    <row r="379" spans="1:8" x14ac:dyDescent="0.35">
      <c r="A379" s="24" t="s">
        <v>189</v>
      </c>
      <c r="B379" s="29">
        <v>46218</v>
      </c>
      <c r="C379" s="24" t="s">
        <v>647</v>
      </c>
      <c r="D379" s="21">
        <v>84</v>
      </c>
      <c r="E379" s="25">
        <v>8.9700000000000006</v>
      </c>
      <c r="F379" s="26">
        <v>105</v>
      </c>
      <c r="G379" s="30">
        <f>'Efectos y supuestos'!$B$9*MAX(0,D379-'Efectos y supuestos'!$B$10)/30</f>
        <v>0</v>
      </c>
      <c r="H379" s="14">
        <f t="shared" si="5"/>
        <v>0</v>
      </c>
    </row>
    <row r="380" spans="1:8" x14ac:dyDescent="0.35">
      <c r="A380" s="24" t="s">
        <v>190</v>
      </c>
      <c r="B380" s="29">
        <v>46249</v>
      </c>
      <c r="C380" s="24" t="s">
        <v>665</v>
      </c>
      <c r="D380" s="21">
        <v>67</v>
      </c>
      <c r="E380" s="25">
        <v>7.29</v>
      </c>
      <c r="F380" s="26">
        <v>105</v>
      </c>
      <c r="G380" s="30">
        <f>'Efectos y supuestos'!$B$9*MAX(0,D380-'Efectos y supuestos'!$B$10)/30</f>
        <v>0</v>
      </c>
      <c r="H380" s="14">
        <f t="shared" si="5"/>
        <v>0</v>
      </c>
    </row>
    <row r="381" spans="1:8" x14ac:dyDescent="0.35">
      <c r="A381" s="24" t="s">
        <v>191</v>
      </c>
      <c r="B381" s="29">
        <v>46218</v>
      </c>
      <c r="C381" s="24" t="s">
        <v>647</v>
      </c>
      <c r="D381" s="21">
        <v>83</v>
      </c>
      <c r="E381" s="25">
        <v>6.74</v>
      </c>
      <c r="F381" s="26">
        <v>105</v>
      </c>
      <c r="G381" s="30">
        <f>'Efectos y supuestos'!$B$9*MAX(0,D381-'Efectos y supuestos'!$B$10)/30</f>
        <v>0</v>
      </c>
      <c r="H381" s="14">
        <f t="shared" si="5"/>
        <v>0</v>
      </c>
    </row>
    <row r="382" spans="1:8" x14ac:dyDescent="0.35">
      <c r="A382" s="24" t="s">
        <v>192</v>
      </c>
      <c r="B382" s="29">
        <v>46249</v>
      </c>
      <c r="C382" s="24" t="s">
        <v>665</v>
      </c>
      <c r="D382" s="21">
        <v>67</v>
      </c>
      <c r="E382" s="25">
        <v>5.74</v>
      </c>
      <c r="F382" s="26">
        <v>105</v>
      </c>
      <c r="G382" s="30">
        <f>'Efectos y supuestos'!$B$9*MAX(0,D382-'Efectos y supuestos'!$B$10)/30</f>
        <v>0</v>
      </c>
      <c r="H382" s="14">
        <f t="shared" si="5"/>
        <v>0</v>
      </c>
    </row>
    <row r="383" spans="1:8" x14ac:dyDescent="0.35">
      <c r="A383" s="24" t="s">
        <v>193</v>
      </c>
      <c r="B383" s="29">
        <v>46249</v>
      </c>
      <c r="C383" s="24" t="s">
        <v>665</v>
      </c>
      <c r="D383" s="21">
        <v>67</v>
      </c>
      <c r="E383" s="25">
        <v>6.73</v>
      </c>
      <c r="F383" s="26">
        <v>105</v>
      </c>
      <c r="G383" s="30">
        <f>'Efectos y supuestos'!$B$9*MAX(0,D383-'Efectos y supuestos'!$B$10)/30</f>
        <v>0</v>
      </c>
      <c r="H383" s="14">
        <f t="shared" si="5"/>
        <v>0</v>
      </c>
    </row>
    <row r="384" spans="1:8" x14ac:dyDescent="0.35">
      <c r="A384" s="24" t="s">
        <v>552</v>
      </c>
      <c r="B384" s="29">
        <v>46006</v>
      </c>
      <c r="C384" s="24" t="s">
        <v>648</v>
      </c>
      <c r="D384" s="21">
        <v>95</v>
      </c>
      <c r="E384" s="25">
        <v>8.27</v>
      </c>
      <c r="F384" s="26">
        <v>105.1</v>
      </c>
      <c r="G384" s="30">
        <f>'Efectos y supuestos'!$B$9*MAX(0,D384-'Efectos y supuestos'!$B$10)/30</f>
        <v>-2.4333333333333334E-3</v>
      </c>
      <c r="H384" s="14">
        <f t="shared" si="5"/>
        <v>2.1149973666666666</v>
      </c>
    </row>
    <row r="385" spans="1:8" x14ac:dyDescent="0.35">
      <c r="A385" s="24" t="s">
        <v>194</v>
      </c>
      <c r="B385" s="29">
        <v>46218</v>
      </c>
      <c r="C385" s="24" t="s">
        <v>647</v>
      </c>
      <c r="D385" s="21">
        <v>71</v>
      </c>
      <c r="E385" s="25">
        <v>7.92</v>
      </c>
      <c r="F385" s="26">
        <v>105</v>
      </c>
      <c r="G385" s="30">
        <f>'Efectos y supuestos'!$B$9*MAX(0,D385-'Efectos y supuestos'!$B$10)/30</f>
        <v>0</v>
      </c>
      <c r="H385" s="14">
        <f t="shared" si="5"/>
        <v>0</v>
      </c>
    </row>
    <row r="386" spans="1:8" x14ac:dyDescent="0.35">
      <c r="A386" s="24" t="s">
        <v>487</v>
      </c>
      <c r="B386" s="29">
        <v>45976</v>
      </c>
      <c r="C386" s="24" t="s">
        <v>648</v>
      </c>
      <c r="D386" s="21">
        <v>104</v>
      </c>
      <c r="E386" s="25">
        <v>8.32</v>
      </c>
      <c r="F386" s="26">
        <v>112.4</v>
      </c>
      <c r="G386" s="30">
        <f>'Efectos y supuestos'!$B$9*MAX(0,D386-'Efectos y supuestos'!$B$10)/30</f>
        <v>-6.8133333333333336E-3</v>
      </c>
      <c r="H386" s="14">
        <f t="shared" si="5"/>
        <v>6.3716113066666678</v>
      </c>
    </row>
    <row r="387" spans="1:8" x14ac:dyDescent="0.35">
      <c r="A387" s="24" t="s">
        <v>195</v>
      </c>
      <c r="B387" s="29">
        <v>46218</v>
      </c>
      <c r="C387" s="24" t="s">
        <v>665</v>
      </c>
      <c r="D387" s="21">
        <v>98</v>
      </c>
      <c r="E387" s="25">
        <v>7.72</v>
      </c>
      <c r="F387" s="26">
        <v>105</v>
      </c>
      <c r="G387" s="30">
        <f>'Efectos y supuestos'!$B$9*MAX(0,D387-'Efectos y supuestos'!$B$10)/30</f>
        <v>-3.8933333333333333E-3</v>
      </c>
      <c r="H387" s="14">
        <f t="shared" si="5"/>
        <v>3.1559360000000001</v>
      </c>
    </row>
    <row r="388" spans="1:8" x14ac:dyDescent="0.35">
      <c r="A388" s="24" t="s">
        <v>117</v>
      </c>
      <c r="B388" s="29">
        <v>46006</v>
      </c>
      <c r="C388" s="24" t="s">
        <v>648</v>
      </c>
      <c r="D388" s="21">
        <v>136</v>
      </c>
      <c r="E388" s="25">
        <v>4.84</v>
      </c>
      <c r="F388" s="26">
        <v>86.3</v>
      </c>
      <c r="G388" s="30">
        <f>'Efectos y supuestos'!$B$9*MAX(0,D388-'Efectos y supuestos'!$B$10)/30</f>
        <v>-2.2386666666666666E-2</v>
      </c>
      <c r="H388" s="14">
        <f t="shared" si="5"/>
        <v>9.3507315733333325</v>
      </c>
    </row>
    <row r="389" spans="1:8" x14ac:dyDescent="0.35">
      <c r="A389" s="24" t="s">
        <v>118</v>
      </c>
      <c r="B389" s="29">
        <v>46006</v>
      </c>
      <c r="C389" s="24" t="s">
        <v>648</v>
      </c>
      <c r="D389" s="21">
        <v>136</v>
      </c>
      <c r="E389" s="25">
        <v>4.9400000000000004</v>
      </c>
      <c r="F389" s="26">
        <v>66.3</v>
      </c>
      <c r="G389" s="30">
        <f>'Efectos y supuestos'!$B$9*MAX(0,D389-'Efectos y supuestos'!$B$10)/30</f>
        <v>-2.2386666666666666E-2</v>
      </c>
      <c r="H389" s="14">
        <f t="shared" si="5"/>
        <v>7.3321258399999998</v>
      </c>
    </row>
    <row r="390" spans="1:8" x14ac:dyDescent="0.35">
      <c r="A390" s="24" t="s">
        <v>196</v>
      </c>
      <c r="B390" s="29">
        <v>46157</v>
      </c>
      <c r="C390" s="24" t="s">
        <v>647</v>
      </c>
      <c r="D390" s="21">
        <v>105</v>
      </c>
      <c r="E390" s="25">
        <v>8.07</v>
      </c>
      <c r="F390" s="26">
        <v>101.5</v>
      </c>
      <c r="G390" s="30">
        <f>'Efectos y supuestos'!$B$9*MAX(0,D390-'Efectos y supuestos'!$B$10)/30</f>
        <v>-7.3000000000000001E-3</v>
      </c>
      <c r="H390" s="14">
        <f t="shared" si="5"/>
        <v>5.9794665</v>
      </c>
    </row>
    <row r="391" spans="1:8" x14ac:dyDescent="0.35">
      <c r="A391" s="24" t="s">
        <v>86</v>
      </c>
      <c r="B391" s="29">
        <v>46249</v>
      </c>
      <c r="C391" s="24" t="s">
        <v>665</v>
      </c>
      <c r="D391" s="21">
        <v>67</v>
      </c>
      <c r="E391" s="25">
        <v>8.41</v>
      </c>
      <c r="F391" s="26">
        <v>105</v>
      </c>
      <c r="G391" s="30">
        <f>'Efectos y supuestos'!$B$9*MAX(0,D391-'Efectos y supuestos'!$B$10)/30</f>
        <v>0</v>
      </c>
      <c r="H391" s="14">
        <f t="shared" ref="H391:H454" si="6">-G391*F391*E391</f>
        <v>0</v>
      </c>
    </row>
    <row r="392" spans="1:8" x14ac:dyDescent="0.35">
      <c r="A392" s="24" t="s">
        <v>593</v>
      </c>
      <c r="B392" s="29">
        <v>46249</v>
      </c>
      <c r="C392" s="24" t="s">
        <v>665</v>
      </c>
      <c r="D392" s="21">
        <v>67</v>
      </c>
      <c r="E392" s="25">
        <v>10.36</v>
      </c>
      <c r="F392" s="26">
        <v>105</v>
      </c>
      <c r="G392" s="30">
        <f>'Efectos y supuestos'!$B$9*MAX(0,D392-'Efectos y supuestos'!$B$10)/30</f>
        <v>0</v>
      </c>
      <c r="H392" s="14">
        <f t="shared" si="6"/>
        <v>0</v>
      </c>
    </row>
    <row r="393" spans="1:8" x14ac:dyDescent="0.35">
      <c r="A393" s="24" t="s">
        <v>488</v>
      </c>
      <c r="B393" s="29">
        <v>46280</v>
      </c>
      <c r="C393" s="24" t="s">
        <v>665</v>
      </c>
      <c r="D393" s="21">
        <v>36</v>
      </c>
      <c r="E393" s="25">
        <v>11.26</v>
      </c>
      <c r="F393" s="26">
        <v>105</v>
      </c>
      <c r="G393" s="30">
        <f>'Efectos y supuestos'!$B$9*MAX(0,D393-'Efectos y supuestos'!$B$10)/30</f>
        <v>0</v>
      </c>
      <c r="H393" s="14">
        <f t="shared" si="6"/>
        <v>0</v>
      </c>
    </row>
    <row r="394" spans="1:8" x14ac:dyDescent="0.35">
      <c r="A394" s="24" t="s">
        <v>197</v>
      </c>
      <c r="B394" s="29">
        <v>46218</v>
      </c>
      <c r="C394" s="24" t="s">
        <v>665</v>
      </c>
      <c r="D394" s="21">
        <v>98</v>
      </c>
      <c r="E394" s="25">
        <v>10.74</v>
      </c>
      <c r="F394" s="26">
        <v>105</v>
      </c>
      <c r="G394" s="30">
        <f>'Efectos y supuestos'!$B$9*MAX(0,D394-'Efectos y supuestos'!$B$10)/30</f>
        <v>-3.8933333333333333E-3</v>
      </c>
      <c r="H394" s="14">
        <f t="shared" si="6"/>
        <v>4.3905120000000002</v>
      </c>
    </row>
    <row r="395" spans="1:8" x14ac:dyDescent="0.35">
      <c r="A395" s="24" t="s">
        <v>564</v>
      </c>
      <c r="B395" s="29">
        <v>46280</v>
      </c>
      <c r="C395" s="24" t="s">
        <v>665</v>
      </c>
      <c r="D395" s="21">
        <v>36</v>
      </c>
      <c r="E395" s="25">
        <v>17.78</v>
      </c>
      <c r="F395" s="26">
        <v>105</v>
      </c>
      <c r="G395" s="30">
        <f>'Efectos y supuestos'!$B$9*MAX(0,D395-'Efectos y supuestos'!$B$10)/30</f>
        <v>0</v>
      </c>
      <c r="H395" s="14">
        <f t="shared" si="6"/>
        <v>0</v>
      </c>
    </row>
    <row r="396" spans="1:8" x14ac:dyDescent="0.35">
      <c r="A396" s="24" t="s">
        <v>565</v>
      </c>
      <c r="B396" s="29">
        <v>46280</v>
      </c>
      <c r="C396" s="24" t="s">
        <v>665</v>
      </c>
      <c r="D396" s="21">
        <v>36</v>
      </c>
      <c r="E396" s="25">
        <v>3.9</v>
      </c>
      <c r="F396" s="26">
        <v>105</v>
      </c>
      <c r="G396" s="30">
        <f>'Efectos y supuestos'!$B$9*MAX(0,D396-'Efectos y supuestos'!$B$10)/30</f>
        <v>0</v>
      </c>
      <c r="H396" s="14">
        <f t="shared" si="6"/>
        <v>0</v>
      </c>
    </row>
    <row r="397" spans="1:8" x14ac:dyDescent="0.35">
      <c r="A397" s="24" t="s">
        <v>489</v>
      </c>
      <c r="B397" s="29">
        <v>46218</v>
      </c>
      <c r="C397" s="24" t="s">
        <v>647</v>
      </c>
      <c r="D397" s="21">
        <v>87</v>
      </c>
      <c r="E397" s="25">
        <v>9.02</v>
      </c>
      <c r="F397" s="26">
        <v>105</v>
      </c>
      <c r="G397" s="30">
        <f>'Efectos y supuestos'!$B$9*MAX(0,D397-'Efectos y supuestos'!$B$10)/30</f>
        <v>0</v>
      </c>
      <c r="H397" s="14">
        <f t="shared" si="6"/>
        <v>0</v>
      </c>
    </row>
    <row r="398" spans="1:8" x14ac:dyDescent="0.35">
      <c r="A398" s="24" t="s">
        <v>490</v>
      </c>
      <c r="B398" s="29">
        <v>46218</v>
      </c>
      <c r="C398" s="24" t="s">
        <v>648</v>
      </c>
      <c r="D398" s="21">
        <v>85</v>
      </c>
      <c r="E398" s="25">
        <v>8.2799999999999994</v>
      </c>
      <c r="F398" s="26">
        <v>105</v>
      </c>
      <c r="G398" s="30">
        <f>'Efectos y supuestos'!$B$9*MAX(0,D398-'Efectos y supuestos'!$B$10)/30</f>
        <v>0</v>
      </c>
      <c r="H398" s="14">
        <f t="shared" si="6"/>
        <v>0</v>
      </c>
    </row>
    <row r="399" spans="1:8" x14ac:dyDescent="0.35">
      <c r="A399" s="24" t="s">
        <v>491</v>
      </c>
      <c r="B399" s="29">
        <v>46218</v>
      </c>
      <c r="C399" s="24" t="s">
        <v>648</v>
      </c>
      <c r="D399" s="21">
        <v>85</v>
      </c>
      <c r="E399" s="25">
        <v>7.97</v>
      </c>
      <c r="F399" s="26">
        <v>105</v>
      </c>
      <c r="G399" s="30">
        <f>'Efectos y supuestos'!$B$9*MAX(0,D399-'Efectos y supuestos'!$B$10)/30</f>
        <v>0</v>
      </c>
      <c r="H399" s="14">
        <f t="shared" si="6"/>
        <v>0</v>
      </c>
    </row>
    <row r="400" spans="1:8" x14ac:dyDescent="0.35">
      <c r="A400" s="24" t="s">
        <v>198</v>
      </c>
      <c r="B400" s="29">
        <v>46249</v>
      </c>
      <c r="C400" s="24" t="s">
        <v>665</v>
      </c>
      <c r="D400" s="21">
        <v>67</v>
      </c>
      <c r="E400" s="25">
        <v>7.57</v>
      </c>
      <c r="F400" s="26">
        <v>105</v>
      </c>
      <c r="G400" s="30">
        <f>'Efectos y supuestos'!$B$9*MAX(0,D400-'Efectos y supuestos'!$B$10)/30</f>
        <v>0</v>
      </c>
      <c r="H400" s="14">
        <f t="shared" si="6"/>
        <v>0</v>
      </c>
    </row>
    <row r="401" spans="1:8" x14ac:dyDescent="0.35">
      <c r="A401" s="24" t="s">
        <v>492</v>
      </c>
      <c r="B401" s="29">
        <v>46006</v>
      </c>
      <c r="C401" s="24" t="s">
        <v>648</v>
      </c>
      <c r="D401" s="21">
        <v>66</v>
      </c>
      <c r="E401" s="25">
        <v>13.87</v>
      </c>
      <c r="F401" s="26">
        <v>129.69999999999999</v>
      </c>
      <c r="G401" s="30">
        <f>'Efectos y supuestos'!$B$9*MAX(0,D401-'Efectos y supuestos'!$B$10)/30</f>
        <v>0</v>
      </c>
      <c r="H401" s="14">
        <f t="shared" si="6"/>
        <v>0</v>
      </c>
    </row>
    <row r="402" spans="1:8" x14ac:dyDescent="0.35">
      <c r="A402" s="24" t="s">
        <v>199</v>
      </c>
      <c r="B402" s="29">
        <v>46218</v>
      </c>
      <c r="C402" s="24" t="s">
        <v>647</v>
      </c>
      <c r="D402" s="21">
        <v>80</v>
      </c>
      <c r="E402" s="25">
        <v>11.44</v>
      </c>
      <c r="F402" s="26">
        <v>105</v>
      </c>
      <c r="G402" s="30">
        <f>'Efectos y supuestos'!$B$9*MAX(0,D402-'Efectos y supuestos'!$B$10)/30</f>
        <v>0</v>
      </c>
      <c r="H402" s="14">
        <f t="shared" si="6"/>
        <v>0</v>
      </c>
    </row>
    <row r="403" spans="1:8" x14ac:dyDescent="0.35">
      <c r="A403" s="24" t="s">
        <v>493</v>
      </c>
      <c r="B403" s="29">
        <v>46006</v>
      </c>
      <c r="C403" s="24" t="s">
        <v>648</v>
      </c>
      <c r="D403" s="21">
        <v>66</v>
      </c>
      <c r="E403" s="25">
        <v>9.23</v>
      </c>
      <c r="F403" s="26">
        <v>95.9</v>
      </c>
      <c r="G403" s="30">
        <f>'Efectos y supuestos'!$B$9*MAX(0,D403-'Efectos y supuestos'!$B$10)/30</f>
        <v>0</v>
      </c>
      <c r="H403" s="14">
        <f t="shared" si="6"/>
        <v>0</v>
      </c>
    </row>
    <row r="404" spans="1:8" x14ac:dyDescent="0.35">
      <c r="A404" s="24" t="s">
        <v>494</v>
      </c>
      <c r="B404" s="29">
        <v>45976</v>
      </c>
      <c r="C404" s="24" t="s">
        <v>648</v>
      </c>
      <c r="D404" s="21">
        <v>104</v>
      </c>
      <c r="E404" s="25">
        <v>5.0199999999999996</v>
      </c>
      <c r="F404" s="26">
        <v>86.9</v>
      </c>
      <c r="G404" s="30">
        <f>'Efectos y supuestos'!$B$9*MAX(0,D404-'Efectos y supuestos'!$B$10)/30</f>
        <v>-6.8133333333333336E-3</v>
      </c>
      <c r="H404" s="14">
        <f t="shared" si="6"/>
        <v>2.9722349066666669</v>
      </c>
    </row>
    <row r="405" spans="1:8" x14ac:dyDescent="0.35">
      <c r="A405" s="24" t="s">
        <v>87</v>
      </c>
      <c r="B405" s="29">
        <v>46188</v>
      </c>
      <c r="C405" s="24" t="s">
        <v>647</v>
      </c>
      <c r="D405" s="21">
        <v>100</v>
      </c>
      <c r="E405" s="25">
        <v>10.18</v>
      </c>
      <c r="F405" s="26">
        <v>105</v>
      </c>
      <c r="G405" s="30">
        <f>'Efectos y supuestos'!$B$9*MAX(0,D405-'Efectos y supuestos'!$B$10)/30</f>
        <v>-4.8666666666666667E-3</v>
      </c>
      <c r="H405" s="14">
        <f t="shared" si="6"/>
        <v>5.2019799999999998</v>
      </c>
    </row>
    <row r="406" spans="1:8" x14ac:dyDescent="0.35">
      <c r="A406" s="24" t="s">
        <v>495</v>
      </c>
      <c r="B406" s="29">
        <v>45976</v>
      </c>
      <c r="C406" s="24" t="s">
        <v>648</v>
      </c>
      <c r="D406" s="21">
        <v>104</v>
      </c>
      <c r="E406" s="25">
        <v>18.23</v>
      </c>
      <c r="F406" s="26">
        <v>98</v>
      </c>
      <c r="G406" s="30">
        <f>'Efectos y supuestos'!$B$9*MAX(0,D406-'Efectos y supuestos'!$B$10)/30</f>
        <v>-6.8133333333333336E-3</v>
      </c>
      <c r="H406" s="14">
        <f t="shared" si="6"/>
        <v>12.172292533333334</v>
      </c>
    </row>
    <row r="407" spans="1:8" x14ac:dyDescent="0.35">
      <c r="A407" s="24" t="s">
        <v>605</v>
      </c>
      <c r="B407" s="29">
        <v>46006</v>
      </c>
      <c r="C407" s="24" t="s">
        <v>648</v>
      </c>
      <c r="D407" s="21">
        <v>66</v>
      </c>
      <c r="E407" s="25">
        <v>8.7899999999999991</v>
      </c>
      <c r="F407" s="26">
        <v>79.599999999999994</v>
      </c>
      <c r="G407" s="30">
        <f>'Efectos y supuestos'!$B$9*MAX(0,D407-'Efectos y supuestos'!$B$10)/30</f>
        <v>0</v>
      </c>
      <c r="H407" s="14">
        <f t="shared" si="6"/>
        <v>0</v>
      </c>
    </row>
    <row r="408" spans="1:8" x14ac:dyDescent="0.35">
      <c r="A408" s="24" t="s">
        <v>496</v>
      </c>
      <c r="B408" s="29">
        <v>45976</v>
      </c>
      <c r="C408" s="24" t="s">
        <v>648</v>
      </c>
      <c r="D408" s="21">
        <v>96</v>
      </c>
      <c r="E408" s="25">
        <v>11.13</v>
      </c>
      <c r="F408" s="26">
        <v>95.3</v>
      </c>
      <c r="G408" s="30">
        <f>'Efectos y supuestos'!$B$9*MAX(0,D408-'Efectos y supuestos'!$B$10)/30</f>
        <v>-2.9199999999999999E-3</v>
      </c>
      <c r="H408" s="14">
        <f t="shared" si="6"/>
        <v>3.0972118799999997</v>
      </c>
    </row>
    <row r="409" spans="1:8" x14ac:dyDescent="0.35">
      <c r="A409" s="24" t="s">
        <v>594</v>
      </c>
      <c r="B409" s="29">
        <v>46006</v>
      </c>
      <c r="C409" s="24" t="s">
        <v>648</v>
      </c>
      <c r="D409" s="21">
        <v>-10</v>
      </c>
      <c r="E409" s="25">
        <v>13.88</v>
      </c>
      <c r="F409" s="26">
        <v>69.599999999999994</v>
      </c>
      <c r="G409" s="30">
        <f>'Efectos y supuestos'!$B$9*MAX(0,D409-'Efectos y supuestos'!$B$10)/30</f>
        <v>0</v>
      </c>
      <c r="H409" s="14">
        <f t="shared" si="6"/>
        <v>0</v>
      </c>
    </row>
    <row r="410" spans="1:8" x14ac:dyDescent="0.35">
      <c r="A410" s="24" t="s">
        <v>202</v>
      </c>
      <c r="B410" s="29">
        <v>46188</v>
      </c>
      <c r="C410" s="24" t="s">
        <v>647</v>
      </c>
      <c r="D410" s="21">
        <v>106</v>
      </c>
      <c r="E410" s="25">
        <v>10.18</v>
      </c>
      <c r="F410" s="26">
        <v>83.3</v>
      </c>
      <c r="G410" s="30">
        <f>'Efectos y supuestos'!$B$9*MAX(0,D410-'Efectos y supuestos'!$B$10)/30</f>
        <v>-7.7866666666666666E-3</v>
      </c>
      <c r="H410" s="14">
        <f t="shared" si="6"/>
        <v>6.6030466133333325</v>
      </c>
    </row>
    <row r="411" spans="1:8" x14ac:dyDescent="0.35">
      <c r="A411" s="24" t="s">
        <v>606</v>
      </c>
      <c r="B411" s="29">
        <v>45976</v>
      </c>
      <c r="C411" s="24" t="s">
        <v>648</v>
      </c>
      <c r="D411" s="21">
        <v>96</v>
      </c>
      <c r="E411" s="25">
        <v>13.09</v>
      </c>
      <c r="F411" s="26">
        <v>121.7</v>
      </c>
      <c r="G411" s="30">
        <f>'Efectos y supuestos'!$B$9*MAX(0,D411-'Efectos y supuestos'!$B$10)/30</f>
        <v>-2.9199999999999999E-3</v>
      </c>
      <c r="H411" s="14">
        <f t="shared" si="6"/>
        <v>4.6517147599999999</v>
      </c>
    </row>
    <row r="412" spans="1:8" x14ac:dyDescent="0.35">
      <c r="A412" s="24" t="s">
        <v>119</v>
      </c>
      <c r="B412" s="29">
        <v>45976</v>
      </c>
      <c r="C412" s="24" t="s">
        <v>648</v>
      </c>
      <c r="D412" s="21">
        <v>125</v>
      </c>
      <c r="E412" s="25">
        <v>11.96</v>
      </c>
      <c r="F412" s="26">
        <v>105.4</v>
      </c>
      <c r="G412" s="30">
        <f>'Efectos y supuestos'!$B$9*MAX(0,D412-'Efectos y supuestos'!$B$10)/30</f>
        <v>-1.7033333333333334E-2</v>
      </c>
      <c r="H412" s="14">
        <f t="shared" si="6"/>
        <v>21.47194746666667</v>
      </c>
    </row>
    <row r="413" spans="1:8" x14ac:dyDescent="0.35">
      <c r="A413" s="24" t="s">
        <v>88</v>
      </c>
      <c r="B413" s="29">
        <v>46218</v>
      </c>
      <c r="C413" s="24" t="s">
        <v>647</v>
      </c>
      <c r="D413" s="21">
        <v>66</v>
      </c>
      <c r="E413" s="25">
        <v>4.74</v>
      </c>
      <c r="F413" s="26">
        <v>105</v>
      </c>
      <c r="G413" s="30">
        <f>'Efectos y supuestos'!$B$9*MAX(0,D413-'Efectos y supuestos'!$B$10)/30</f>
        <v>0</v>
      </c>
      <c r="H413" s="14">
        <f t="shared" si="6"/>
        <v>0</v>
      </c>
    </row>
    <row r="414" spans="1:8" x14ac:dyDescent="0.35">
      <c r="A414" s="24" t="s">
        <v>566</v>
      </c>
      <c r="B414" s="29">
        <v>46218</v>
      </c>
      <c r="C414" s="24" t="s">
        <v>647</v>
      </c>
      <c r="D414" s="21">
        <v>68</v>
      </c>
      <c r="E414" s="25">
        <v>4.66</v>
      </c>
      <c r="F414" s="26">
        <v>105</v>
      </c>
      <c r="G414" s="30">
        <f>'Efectos y supuestos'!$B$9*MAX(0,D414-'Efectos y supuestos'!$B$10)/30</f>
        <v>0</v>
      </c>
      <c r="H414" s="14">
        <f t="shared" si="6"/>
        <v>0</v>
      </c>
    </row>
    <row r="415" spans="1:8" x14ac:dyDescent="0.35">
      <c r="A415" s="24" t="s">
        <v>553</v>
      </c>
      <c r="B415" s="29">
        <v>46006</v>
      </c>
      <c r="C415" s="24" t="s">
        <v>647</v>
      </c>
      <c r="D415" s="21">
        <v>31</v>
      </c>
      <c r="E415" s="25">
        <v>6.31</v>
      </c>
      <c r="F415" s="26">
        <v>93.7</v>
      </c>
      <c r="G415" s="30">
        <f>'Efectos y supuestos'!$B$9*MAX(0,D415-'Efectos y supuestos'!$B$10)/30</f>
        <v>0</v>
      </c>
      <c r="H415" s="14">
        <f t="shared" si="6"/>
        <v>0</v>
      </c>
    </row>
    <row r="416" spans="1:8" x14ac:dyDescent="0.35">
      <c r="A416" s="24" t="s">
        <v>497</v>
      </c>
      <c r="B416" s="29">
        <v>45976</v>
      </c>
      <c r="C416" s="24" t="s">
        <v>647</v>
      </c>
      <c r="D416" s="21">
        <v>74</v>
      </c>
      <c r="E416" s="25">
        <v>9.41</v>
      </c>
      <c r="F416" s="26">
        <v>110.7</v>
      </c>
      <c r="G416" s="30">
        <f>'Efectos y supuestos'!$B$9*MAX(0,D416-'Efectos y supuestos'!$B$10)/30</f>
        <v>0</v>
      </c>
      <c r="H416" s="14">
        <f t="shared" si="6"/>
        <v>0</v>
      </c>
    </row>
    <row r="417" spans="1:8" x14ac:dyDescent="0.35">
      <c r="A417" s="24" t="s">
        <v>498</v>
      </c>
      <c r="B417" s="29">
        <v>45976</v>
      </c>
      <c r="C417" s="24" t="s">
        <v>647</v>
      </c>
      <c r="D417" s="21">
        <v>74</v>
      </c>
      <c r="E417" s="25">
        <v>13.45</v>
      </c>
      <c r="F417" s="26">
        <v>108.1</v>
      </c>
      <c r="G417" s="30">
        <f>'Efectos y supuestos'!$B$9*MAX(0,D417-'Efectos y supuestos'!$B$10)/30</f>
        <v>0</v>
      </c>
      <c r="H417" s="14">
        <f t="shared" si="6"/>
        <v>0</v>
      </c>
    </row>
    <row r="418" spans="1:8" x14ac:dyDescent="0.35">
      <c r="A418" s="24" t="s">
        <v>554</v>
      </c>
      <c r="B418" s="29">
        <v>46096</v>
      </c>
      <c r="C418" s="24" t="s">
        <v>648</v>
      </c>
      <c r="D418" s="21">
        <v>109</v>
      </c>
      <c r="E418" s="25">
        <v>6.19</v>
      </c>
      <c r="F418" s="26">
        <v>113.1</v>
      </c>
      <c r="G418" s="30">
        <f>'Efectos y supuestos'!$B$9*MAX(0,D418-'Efectos y supuestos'!$B$10)/30</f>
        <v>-9.2466666666666652E-3</v>
      </c>
      <c r="H418" s="14">
        <f t="shared" si="6"/>
        <v>6.4734896199999987</v>
      </c>
    </row>
    <row r="419" spans="1:8" x14ac:dyDescent="0.35">
      <c r="A419" s="24" t="s">
        <v>89</v>
      </c>
      <c r="B419" s="29">
        <v>46096</v>
      </c>
      <c r="C419" s="24" t="s">
        <v>648</v>
      </c>
      <c r="D419" s="21">
        <v>96</v>
      </c>
      <c r="E419" s="25">
        <v>1.93</v>
      </c>
      <c r="F419" s="26">
        <v>80.099999999999994</v>
      </c>
      <c r="G419" s="30">
        <f>'Efectos y supuestos'!$B$9*MAX(0,D419-'Efectos y supuestos'!$B$10)/30</f>
        <v>-2.9199999999999999E-3</v>
      </c>
      <c r="H419" s="14">
        <f t="shared" si="6"/>
        <v>0.45141155999999993</v>
      </c>
    </row>
    <row r="420" spans="1:8" x14ac:dyDescent="0.35">
      <c r="A420" s="24" t="s">
        <v>203</v>
      </c>
      <c r="B420" s="29">
        <v>46188</v>
      </c>
      <c r="C420" s="24" t="s">
        <v>647</v>
      </c>
      <c r="D420" s="21">
        <v>101</v>
      </c>
      <c r="E420" s="25">
        <v>13.85</v>
      </c>
      <c r="F420" s="26">
        <v>105</v>
      </c>
      <c r="G420" s="30">
        <f>'Efectos y supuestos'!$B$9*MAX(0,D420-'Efectos y supuestos'!$B$10)/30</f>
        <v>-5.3533333333333332E-3</v>
      </c>
      <c r="H420" s="14">
        <f t="shared" si="6"/>
        <v>7.7850849999999987</v>
      </c>
    </row>
    <row r="421" spans="1:8" x14ac:dyDescent="0.35">
      <c r="A421" s="24" t="s">
        <v>567</v>
      </c>
      <c r="B421" s="29">
        <v>46006</v>
      </c>
      <c r="C421" s="24" t="s">
        <v>648</v>
      </c>
      <c r="D421" s="21">
        <v>74</v>
      </c>
      <c r="E421" s="25">
        <v>12.88</v>
      </c>
      <c r="F421" s="26">
        <v>113.5</v>
      </c>
      <c r="G421" s="30">
        <f>'Efectos y supuestos'!$B$9*MAX(0,D421-'Efectos y supuestos'!$B$10)/30</f>
        <v>0</v>
      </c>
      <c r="H421" s="14">
        <f t="shared" si="6"/>
        <v>0</v>
      </c>
    </row>
    <row r="422" spans="1:8" x14ac:dyDescent="0.35">
      <c r="A422" s="24" t="s">
        <v>607</v>
      </c>
      <c r="B422" s="29">
        <v>46006</v>
      </c>
      <c r="C422" s="24" t="s">
        <v>648</v>
      </c>
      <c r="D422" s="21">
        <v>74</v>
      </c>
      <c r="E422" s="25">
        <v>13.47</v>
      </c>
      <c r="F422" s="26">
        <v>129.30000000000001</v>
      </c>
      <c r="G422" s="30">
        <f>'Efectos y supuestos'!$B$9*MAX(0,D422-'Efectos y supuestos'!$B$10)/30</f>
        <v>0</v>
      </c>
      <c r="H422" s="14">
        <f t="shared" si="6"/>
        <v>0</v>
      </c>
    </row>
    <row r="423" spans="1:8" x14ac:dyDescent="0.35">
      <c r="A423" s="24" t="s">
        <v>390</v>
      </c>
      <c r="B423" s="29">
        <v>46314</v>
      </c>
      <c r="C423" s="24" t="s">
        <v>665</v>
      </c>
      <c r="D423" s="21">
        <v>2</v>
      </c>
      <c r="E423" s="25">
        <v>13.37</v>
      </c>
      <c r="F423" s="26">
        <v>125.3</v>
      </c>
      <c r="G423" s="30">
        <f>'Efectos y supuestos'!$B$9*MAX(0,D423-'Efectos y supuestos'!$B$10)/30</f>
        <v>0</v>
      </c>
      <c r="H423" s="14">
        <f t="shared" si="6"/>
        <v>0</v>
      </c>
    </row>
    <row r="424" spans="1:8" x14ac:dyDescent="0.35">
      <c r="A424" s="24" t="s">
        <v>90</v>
      </c>
      <c r="B424" s="29">
        <v>46280</v>
      </c>
      <c r="C424" s="24" t="s">
        <v>665</v>
      </c>
      <c r="D424" s="21">
        <v>36</v>
      </c>
      <c r="E424" s="25">
        <v>7.28</v>
      </c>
      <c r="F424" s="26">
        <v>105</v>
      </c>
      <c r="G424" s="30">
        <f>'Efectos y supuestos'!$B$9*MAX(0,D424-'Efectos y supuestos'!$B$10)/30</f>
        <v>0</v>
      </c>
      <c r="H424" s="14">
        <f t="shared" si="6"/>
        <v>0</v>
      </c>
    </row>
    <row r="425" spans="1:8" x14ac:dyDescent="0.35">
      <c r="A425" s="24" t="s">
        <v>499</v>
      </c>
      <c r="B425" s="29">
        <v>46006</v>
      </c>
      <c r="C425" s="24" t="s">
        <v>648</v>
      </c>
      <c r="D425" s="21">
        <v>74</v>
      </c>
      <c r="E425" s="25">
        <v>7.1</v>
      </c>
      <c r="F425" s="26">
        <v>115.4</v>
      </c>
      <c r="G425" s="30">
        <f>'Efectos y supuestos'!$B$9*MAX(0,D425-'Efectos y supuestos'!$B$10)/30</f>
        <v>0</v>
      </c>
      <c r="H425" s="14">
        <f t="shared" si="6"/>
        <v>0</v>
      </c>
    </row>
    <row r="426" spans="1:8" x14ac:dyDescent="0.35">
      <c r="A426" s="24" t="s">
        <v>207</v>
      </c>
      <c r="B426" s="29">
        <v>46218</v>
      </c>
      <c r="C426" s="24" t="s">
        <v>647</v>
      </c>
      <c r="D426" s="21">
        <v>78</v>
      </c>
      <c r="E426" s="25">
        <v>4.07</v>
      </c>
      <c r="F426" s="26">
        <v>105</v>
      </c>
      <c r="G426" s="30">
        <f>'Efectos y supuestos'!$B$9*MAX(0,D426-'Efectos y supuestos'!$B$10)/30</f>
        <v>0</v>
      </c>
      <c r="H426" s="14">
        <f t="shared" si="6"/>
        <v>0</v>
      </c>
    </row>
    <row r="427" spans="1:8" x14ac:dyDescent="0.35">
      <c r="A427" s="24" t="s">
        <v>500</v>
      </c>
      <c r="B427" s="29">
        <v>45976</v>
      </c>
      <c r="C427" s="24" t="s">
        <v>648</v>
      </c>
      <c r="D427" s="21">
        <v>104</v>
      </c>
      <c r="E427" s="25">
        <v>4.43</v>
      </c>
      <c r="F427" s="26">
        <v>130</v>
      </c>
      <c r="G427" s="30">
        <f>'Efectos y supuestos'!$B$9*MAX(0,D427-'Efectos y supuestos'!$B$10)/30</f>
        <v>-6.8133333333333336E-3</v>
      </c>
      <c r="H427" s="14">
        <f t="shared" si="6"/>
        <v>3.9237986666666664</v>
      </c>
    </row>
    <row r="428" spans="1:8" x14ac:dyDescent="0.35">
      <c r="A428" s="24" t="s">
        <v>501</v>
      </c>
      <c r="B428" s="29">
        <v>45976</v>
      </c>
      <c r="C428" s="24" t="s">
        <v>648</v>
      </c>
      <c r="D428" s="21">
        <v>96</v>
      </c>
      <c r="E428" s="25">
        <v>10.63</v>
      </c>
      <c r="F428" s="26">
        <v>132.1</v>
      </c>
      <c r="G428" s="30">
        <f>'Efectos y supuestos'!$B$9*MAX(0,D428-'Efectos y supuestos'!$B$10)/30</f>
        <v>-2.9199999999999999E-3</v>
      </c>
      <c r="H428" s="14">
        <f t="shared" si="6"/>
        <v>4.1003311599999996</v>
      </c>
    </row>
    <row r="429" spans="1:8" x14ac:dyDescent="0.35">
      <c r="A429" s="24" t="s">
        <v>208</v>
      </c>
      <c r="B429" s="29">
        <v>46127</v>
      </c>
      <c r="C429" s="24" t="s">
        <v>648</v>
      </c>
      <c r="D429" s="21">
        <v>65</v>
      </c>
      <c r="E429" s="25">
        <v>19.329999999999998</v>
      </c>
      <c r="F429" s="26">
        <v>118.4</v>
      </c>
      <c r="G429" s="30">
        <f>'Efectos y supuestos'!$B$9*MAX(0,D429-'Efectos y supuestos'!$B$10)/30</f>
        <v>0</v>
      </c>
      <c r="H429" s="14">
        <f t="shared" si="6"/>
        <v>0</v>
      </c>
    </row>
    <row r="430" spans="1:8" x14ac:dyDescent="0.35">
      <c r="A430" s="24" t="s">
        <v>91</v>
      </c>
      <c r="B430" s="29">
        <v>46280</v>
      </c>
      <c r="C430" s="24" t="s">
        <v>665</v>
      </c>
      <c r="D430" s="21">
        <v>36</v>
      </c>
      <c r="E430" s="25">
        <v>14.22</v>
      </c>
      <c r="F430" s="26">
        <v>105</v>
      </c>
      <c r="G430" s="30">
        <f>'Efectos y supuestos'!$B$9*MAX(0,D430-'Efectos y supuestos'!$B$10)/30</f>
        <v>0</v>
      </c>
      <c r="H430" s="14">
        <f t="shared" si="6"/>
        <v>0</v>
      </c>
    </row>
    <row r="431" spans="1:8" x14ac:dyDescent="0.35">
      <c r="A431" s="24" t="s">
        <v>209</v>
      </c>
      <c r="B431" s="29">
        <v>46096</v>
      </c>
      <c r="C431" s="24" t="s">
        <v>648</v>
      </c>
      <c r="D431" s="21">
        <v>81</v>
      </c>
      <c r="E431" s="25">
        <v>19.21</v>
      </c>
      <c r="F431" s="26">
        <v>123.8</v>
      </c>
      <c r="G431" s="30">
        <f>'Efectos y supuestos'!$B$9*MAX(0,D431-'Efectos y supuestos'!$B$10)/30</f>
        <v>0</v>
      </c>
      <c r="H431" s="14">
        <f t="shared" si="6"/>
        <v>0</v>
      </c>
    </row>
    <row r="432" spans="1:8" x14ac:dyDescent="0.35">
      <c r="A432" s="24" t="s">
        <v>502</v>
      </c>
      <c r="B432" s="29">
        <v>46280</v>
      </c>
      <c r="C432" s="24" t="s">
        <v>665</v>
      </c>
      <c r="D432" s="21">
        <v>36</v>
      </c>
      <c r="E432" s="25">
        <v>15.55</v>
      </c>
      <c r="F432" s="26">
        <v>105</v>
      </c>
      <c r="G432" s="30">
        <f>'Efectos y supuestos'!$B$9*MAX(0,D432-'Efectos y supuestos'!$B$10)/30</f>
        <v>0</v>
      </c>
      <c r="H432" s="14">
        <f t="shared" si="6"/>
        <v>0</v>
      </c>
    </row>
    <row r="433" spans="1:8" x14ac:dyDescent="0.35">
      <c r="A433" s="24" t="s">
        <v>210</v>
      </c>
      <c r="B433" s="29">
        <v>46300</v>
      </c>
      <c r="C433" s="24" t="s">
        <v>665</v>
      </c>
      <c r="D433" s="21">
        <v>16</v>
      </c>
      <c r="E433" s="25">
        <v>17.670000000000002</v>
      </c>
      <c r="F433" s="26">
        <v>105</v>
      </c>
      <c r="G433" s="30">
        <f>'Efectos y supuestos'!$B$9*MAX(0,D433-'Efectos y supuestos'!$B$10)/30</f>
        <v>0</v>
      </c>
      <c r="H433" s="14">
        <f t="shared" si="6"/>
        <v>0</v>
      </c>
    </row>
    <row r="434" spans="1:8" x14ac:dyDescent="0.35">
      <c r="A434" s="24" t="s">
        <v>568</v>
      </c>
      <c r="B434" s="29">
        <v>46006</v>
      </c>
      <c r="C434" s="24" t="s">
        <v>648</v>
      </c>
      <c r="D434" s="21">
        <v>95</v>
      </c>
      <c r="E434" s="25">
        <v>12</v>
      </c>
      <c r="F434" s="26">
        <v>114</v>
      </c>
      <c r="G434" s="30">
        <f>'Efectos y supuestos'!$B$9*MAX(0,D434-'Efectos y supuestos'!$B$10)/30</f>
        <v>-2.4333333333333334E-3</v>
      </c>
      <c r="H434" s="14">
        <f t="shared" si="6"/>
        <v>3.3287999999999998</v>
      </c>
    </row>
    <row r="435" spans="1:8" x14ac:dyDescent="0.35">
      <c r="A435" s="24" t="s">
        <v>412</v>
      </c>
      <c r="B435" s="29">
        <v>46188</v>
      </c>
      <c r="C435" s="24" t="s">
        <v>665</v>
      </c>
      <c r="D435" s="21">
        <v>128</v>
      </c>
      <c r="E435" s="25">
        <v>11.68</v>
      </c>
      <c r="F435" s="26">
        <v>105</v>
      </c>
      <c r="G435" s="30">
        <f>'Efectos y supuestos'!$B$9*MAX(0,D435-'Efectos y supuestos'!$B$10)/30</f>
        <v>-1.849333333333333E-2</v>
      </c>
      <c r="H435" s="14">
        <f t="shared" si="6"/>
        <v>22.680223999999995</v>
      </c>
    </row>
    <row r="436" spans="1:8" x14ac:dyDescent="0.35">
      <c r="A436" s="24" t="s">
        <v>569</v>
      </c>
      <c r="B436" s="29">
        <v>46006</v>
      </c>
      <c r="C436" s="24" t="s">
        <v>648</v>
      </c>
      <c r="D436" s="21">
        <v>95</v>
      </c>
      <c r="E436" s="25">
        <v>9.6999999999999993</v>
      </c>
      <c r="F436" s="26">
        <v>119.7</v>
      </c>
      <c r="G436" s="30">
        <f>'Efectos y supuestos'!$B$9*MAX(0,D436-'Efectos y supuestos'!$B$10)/30</f>
        <v>-2.4333333333333334E-3</v>
      </c>
      <c r="H436" s="14">
        <f t="shared" si="6"/>
        <v>2.8253189999999999</v>
      </c>
    </row>
    <row r="437" spans="1:8" x14ac:dyDescent="0.35">
      <c r="A437" s="24" t="s">
        <v>92</v>
      </c>
      <c r="B437" s="29">
        <v>46303</v>
      </c>
      <c r="C437" s="24" t="s">
        <v>665</v>
      </c>
      <c r="D437" s="21">
        <v>13</v>
      </c>
      <c r="E437" s="25">
        <v>17.11</v>
      </c>
      <c r="F437" s="26">
        <v>105</v>
      </c>
      <c r="G437" s="30">
        <f>'Efectos y supuestos'!$B$9*MAX(0,D437-'Efectos y supuestos'!$B$10)/30</f>
        <v>0</v>
      </c>
      <c r="H437" s="14">
        <f t="shared" si="6"/>
        <v>0</v>
      </c>
    </row>
    <row r="438" spans="1:8" x14ac:dyDescent="0.35">
      <c r="A438" s="24" t="s">
        <v>413</v>
      </c>
      <c r="B438" s="29">
        <v>46218</v>
      </c>
      <c r="C438" s="24" t="s">
        <v>665</v>
      </c>
      <c r="D438" s="21">
        <v>98</v>
      </c>
      <c r="E438" s="25">
        <v>20.22</v>
      </c>
      <c r="F438" s="26">
        <v>105</v>
      </c>
      <c r="G438" s="30">
        <f>'Efectos y supuestos'!$B$9*MAX(0,D438-'Efectos y supuestos'!$B$10)/30</f>
        <v>-3.8933333333333333E-3</v>
      </c>
      <c r="H438" s="14">
        <f t="shared" si="6"/>
        <v>8.265936</v>
      </c>
    </row>
    <row r="439" spans="1:8" x14ac:dyDescent="0.35">
      <c r="A439" s="24" t="s">
        <v>211</v>
      </c>
      <c r="B439" s="29">
        <v>46249</v>
      </c>
      <c r="C439" s="24" t="s">
        <v>665</v>
      </c>
      <c r="D439" s="21">
        <v>67</v>
      </c>
      <c r="E439" s="25">
        <v>17.34</v>
      </c>
      <c r="F439" s="26">
        <v>105</v>
      </c>
      <c r="G439" s="30">
        <f>'Efectos y supuestos'!$B$9*MAX(0,D439-'Efectos y supuestos'!$B$10)/30</f>
        <v>0</v>
      </c>
      <c r="H439" s="14">
        <f t="shared" si="6"/>
        <v>0</v>
      </c>
    </row>
    <row r="440" spans="1:8" x14ac:dyDescent="0.35">
      <c r="A440" s="24" t="s">
        <v>608</v>
      </c>
      <c r="B440" s="29">
        <v>46006</v>
      </c>
      <c r="C440" s="24" t="s">
        <v>648</v>
      </c>
      <c r="D440" s="21">
        <v>143</v>
      </c>
      <c r="E440" s="25">
        <v>17.78</v>
      </c>
      <c r="F440" s="26">
        <v>95.1</v>
      </c>
      <c r="G440" s="30">
        <f>'Efectos y supuestos'!$B$9*MAX(0,D440-'Efectos y supuestos'!$B$10)/30</f>
        <v>-2.5793333333333335E-2</v>
      </c>
      <c r="H440" s="14">
        <f t="shared" si="6"/>
        <v>43.613379879999997</v>
      </c>
    </row>
    <row r="441" spans="1:8" x14ac:dyDescent="0.35">
      <c r="A441" s="24" t="s">
        <v>212</v>
      </c>
      <c r="B441" s="29">
        <v>46096</v>
      </c>
      <c r="C441" s="24" t="s">
        <v>648</v>
      </c>
      <c r="D441" s="21">
        <v>96</v>
      </c>
      <c r="E441" s="25">
        <v>17.850000000000001</v>
      </c>
      <c r="F441" s="26">
        <v>77.099999999999994</v>
      </c>
      <c r="G441" s="30">
        <f>'Efectos y supuestos'!$B$9*MAX(0,D441-'Efectos y supuestos'!$B$10)/30</f>
        <v>-2.9199999999999999E-3</v>
      </c>
      <c r="H441" s="14">
        <f t="shared" si="6"/>
        <v>4.0186061999999998</v>
      </c>
    </row>
    <row r="442" spans="1:8" x14ac:dyDescent="0.35">
      <c r="A442" s="24" t="s">
        <v>391</v>
      </c>
      <c r="B442" s="29">
        <v>46280</v>
      </c>
      <c r="C442" s="24" t="s">
        <v>665</v>
      </c>
      <c r="D442" s="21">
        <v>36</v>
      </c>
      <c r="E442" s="25">
        <v>6.39</v>
      </c>
      <c r="F442" s="26">
        <v>105</v>
      </c>
      <c r="G442" s="30">
        <f>'Efectos y supuestos'!$B$9*MAX(0,D442-'Efectos y supuestos'!$B$10)/30</f>
        <v>0</v>
      </c>
      <c r="H442" s="14">
        <f t="shared" si="6"/>
        <v>0</v>
      </c>
    </row>
    <row r="443" spans="1:8" x14ac:dyDescent="0.35">
      <c r="A443" s="24" t="s">
        <v>213</v>
      </c>
      <c r="B443" s="29">
        <v>46249</v>
      </c>
      <c r="C443" s="24" t="s">
        <v>665</v>
      </c>
      <c r="D443" s="21">
        <v>67</v>
      </c>
      <c r="E443" s="25">
        <v>11.1</v>
      </c>
      <c r="F443" s="26">
        <v>105</v>
      </c>
      <c r="G443" s="30">
        <f>'Efectos y supuestos'!$B$9*MAX(0,D443-'Efectos y supuestos'!$B$10)/30</f>
        <v>0</v>
      </c>
      <c r="H443" s="14">
        <f t="shared" si="6"/>
        <v>0</v>
      </c>
    </row>
    <row r="444" spans="1:8" x14ac:dyDescent="0.35">
      <c r="A444" s="24" t="s">
        <v>214</v>
      </c>
      <c r="B444" s="29">
        <v>46280</v>
      </c>
      <c r="C444" s="24" t="s">
        <v>665</v>
      </c>
      <c r="D444" s="21">
        <v>36</v>
      </c>
      <c r="E444" s="25">
        <v>17.559999999999999</v>
      </c>
      <c r="F444" s="26">
        <v>105</v>
      </c>
      <c r="G444" s="30">
        <f>'Efectos y supuestos'!$B$9*MAX(0,D444-'Efectos y supuestos'!$B$10)/30</f>
        <v>0</v>
      </c>
      <c r="H444" s="14">
        <f t="shared" si="6"/>
        <v>0</v>
      </c>
    </row>
    <row r="445" spans="1:8" x14ac:dyDescent="0.35">
      <c r="A445" s="24" t="s">
        <v>503</v>
      </c>
      <c r="B445" s="29">
        <v>45976</v>
      </c>
      <c r="C445" s="24" t="s">
        <v>648</v>
      </c>
      <c r="D445" s="21">
        <v>118</v>
      </c>
      <c r="E445" s="25">
        <v>3.01</v>
      </c>
      <c r="F445" s="26">
        <v>108.9</v>
      </c>
      <c r="G445" s="30">
        <f>'Efectos y supuestos'!$B$9*MAX(0,D445-'Efectos y supuestos'!$B$10)/30</f>
        <v>-1.3626666666666667E-2</v>
      </c>
      <c r="H445" s="14">
        <f t="shared" si="6"/>
        <v>4.4666714399999998</v>
      </c>
    </row>
    <row r="446" spans="1:8" x14ac:dyDescent="0.35">
      <c r="A446" s="24" t="s">
        <v>93</v>
      </c>
      <c r="B446" s="29">
        <v>46302</v>
      </c>
      <c r="C446" s="24" t="s">
        <v>665</v>
      </c>
      <c r="D446" s="21">
        <v>14</v>
      </c>
      <c r="E446" s="25">
        <v>17.14</v>
      </c>
      <c r="F446" s="26">
        <v>105</v>
      </c>
      <c r="G446" s="30">
        <f>'Efectos y supuestos'!$B$9*MAX(0,D446-'Efectos y supuestos'!$B$10)/30</f>
        <v>0</v>
      </c>
      <c r="H446" s="14">
        <f t="shared" si="6"/>
        <v>0</v>
      </c>
    </row>
    <row r="447" spans="1:8" x14ac:dyDescent="0.35">
      <c r="A447" s="24" t="s">
        <v>504</v>
      </c>
      <c r="B447" s="29">
        <v>45976</v>
      </c>
      <c r="C447" s="24" t="s">
        <v>648</v>
      </c>
      <c r="D447" s="21">
        <v>135</v>
      </c>
      <c r="E447" s="25">
        <v>10.54</v>
      </c>
      <c r="F447" s="26">
        <v>111</v>
      </c>
      <c r="G447" s="30">
        <f>'Efectos y supuestos'!$B$9*MAX(0,D447-'Efectos y supuestos'!$B$10)/30</f>
        <v>-2.1899999999999999E-2</v>
      </c>
      <c r="H447" s="14">
        <f t="shared" si="6"/>
        <v>25.621685999999997</v>
      </c>
    </row>
    <row r="448" spans="1:8" x14ac:dyDescent="0.35">
      <c r="A448" s="24" t="s">
        <v>215</v>
      </c>
      <c r="B448" s="29">
        <v>46249</v>
      </c>
      <c r="C448" s="24" t="s">
        <v>665</v>
      </c>
      <c r="D448" s="21">
        <v>67</v>
      </c>
      <c r="E448" s="25">
        <v>5.24</v>
      </c>
      <c r="F448" s="26">
        <v>105</v>
      </c>
      <c r="G448" s="30">
        <f>'Efectos y supuestos'!$B$9*MAX(0,D448-'Efectos y supuestos'!$B$10)/30</f>
        <v>0</v>
      </c>
      <c r="H448" s="14">
        <f t="shared" si="6"/>
        <v>0</v>
      </c>
    </row>
    <row r="449" spans="1:8" x14ac:dyDescent="0.35">
      <c r="A449" s="24" t="s">
        <v>458</v>
      </c>
      <c r="B449" s="29">
        <v>46300</v>
      </c>
      <c r="C449" s="24" t="s">
        <v>665</v>
      </c>
      <c r="D449" s="21">
        <v>16</v>
      </c>
      <c r="E449" s="25">
        <v>5.23</v>
      </c>
      <c r="F449" s="26">
        <v>105</v>
      </c>
      <c r="G449" s="30">
        <f>'Efectos y supuestos'!$B$9*MAX(0,D449-'Efectos y supuestos'!$B$10)/30</f>
        <v>0</v>
      </c>
      <c r="H449" s="14">
        <f t="shared" si="6"/>
        <v>0</v>
      </c>
    </row>
    <row r="450" spans="1:8" x14ac:dyDescent="0.35">
      <c r="A450" s="24" t="s">
        <v>459</v>
      </c>
      <c r="B450" s="29">
        <v>46303</v>
      </c>
      <c r="C450" s="24" t="s">
        <v>665</v>
      </c>
      <c r="D450" s="21">
        <v>13</v>
      </c>
      <c r="E450" s="25">
        <v>8.7799999999999994</v>
      </c>
      <c r="F450" s="26">
        <v>105</v>
      </c>
      <c r="G450" s="30">
        <f>'Efectos y supuestos'!$B$9*MAX(0,D450-'Efectos y supuestos'!$B$10)/30</f>
        <v>0</v>
      </c>
      <c r="H450" s="14">
        <f t="shared" si="6"/>
        <v>0</v>
      </c>
    </row>
    <row r="451" spans="1:8" x14ac:dyDescent="0.35">
      <c r="A451" s="24" t="s">
        <v>120</v>
      </c>
      <c r="B451" s="29">
        <v>45976</v>
      </c>
      <c r="C451" s="24" t="s">
        <v>647</v>
      </c>
      <c r="D451" s="21">
        <v>62</v>
      </c>
      <c r="E451" s="25">
        <v>4.4800000000000004</v>
      </c>
      <c r="F451" s="26">
        <v>117.1</v>
      </c>
      <c r="G451" s="30">
        <f>'Efectos y supuestos'!$B$9*MAX(0,D451-'Efectos y supuestos'!$B$10)/30</f>
        <v>0</v>
      </c>
      <c r="H451" s="14">
        <f t="shared" si="6"/>
        <v>0</v>
      </c>
    </row>
    <row r="452" spans="1:8" x14ac:dyDescent="0.35">
      <c r="A452" s="24" t="s">
        <v>505</v>
      </c>
      <c r="B452" s="29">
        <v>45976</v>
      </c>
      <c r="C452" s="24" t="s">
        <v>648</v>
      </c>
      <c r="D452" s="21">
        <v>118</v>
      </c>
      <c r="E452" s="25">
        <v>4.46</v>
      </c>
      <c r="F452" s="26">
        <v>81.099999999999994</v>
      </c>
      <c r="G452" s="30">
        <f>'Efectos y supuestos'!$B$9*MAX(0,D452-'Efectos y supuestos'!$B$10)/30</f>
        <v>-1.3626666666666667E-2</v>
      </c>
      <c r="H452" s="14">
        <f t="shared" si="6"/>
        <v>4.9288470933333333</v>
      </c>
    </row>
    <row r="453" spans="1:8" x14ac:dyDescent="0.35">
      <c r="A453" s="24" t="s">
        <v>121</v>
      </c>
      <c r="B453" s="29">
        <v>45976</v>
      </c>
      <c r="C453" s="24" t="s">
        <v>648</v>
      </c>
      <c r="D453" s="21">
        <v>118</v>
      </c>
      <c r="E453" s="25">
        <v>5.26</v>
      </c>
      <c r="F453" s="26">
        <v>107.9</v>
      </c>
      <c r="G453" s="30">
        <f>'Efectos y supuestos'!$B$9*MAX(0,D453-'Efectos y supuestos'!$B$10)/30</f>
        <v>-1.3626666666666667E-2</v>
      </c>
      <c r="H453" s="14">
        <f t="shared" si="6"/>
        <v>7.7338691733333338</v>
      </c>
    </row>
    <row r="454" spans="1:8" x14ac:dyDescent="0.35">
      <c r="A454" s="24" t="s">
        <v>415</v>
      </c>
      <c r="B454" s="29">
        <v>46096</v>
      </c>
      <c r="C454" s="24" t="s">
        <v>648</v>
      </c>
      <c r="D454" s="21">
        <v>53</v>
      </c>
      <c r="E454" s="25">
        <v>5.73</v>
      </c>
      <c r="F454" s="26">
        <v>87.6</v>
      </c>
      <c r="G454" s="30">
        <f>'Efectos y supuestos'!$B$9*MAX(0,D454-'Efectos y supuestos'!$B$10)/30</f>
        <v>0</v>
      </c>
      <c r="H454" s="14">
        <f t="shared" si="6"/>
        <v>0</v>
      </c>
    </row>
    <row r="455" spans="1:8" x14ac:dyDescent="0.35">
      <c r="A455" s="24" t="s">
        <v>506</v>
      </c>
      <c r="B455" s="29">
        <v>46006</v>
      </c>
      <c r="C455" s="24" t="s">
        <v>648</v>
      </c>
      <c r="D455" s="21">
        <v>143</v>
      </c>
      <c r="E455" s="25">
        <v>8.82</v>
      </c>
      <c r="F455" s="26">
        <v>84.7</v>
      </c>
      <c r="G455" s="30">
        <f>'Efectos y supuestos'!$B$9*MAX(0,D455-'Efectos y supuestos'!$B$10)/30</f>
        <v>-2.5793333333333335E-2</v>
      </c>
      <c r="H455" s="14">
        <f t="shared" ref="H455:H518" si="7">-G455*F455*E455</f>
        <v>19.269012840000002</v>
      </c>
    </row>
    <row r="456" spans="1:8" x14ac:dyDescent="0.35">
      <c r="A456" s="24" t="s">
        <v>123</v>
      </c>
      <c r="B456" s="29">
        <v>45976</v>
      </c>
      <c r="C456" s="24" t="s">
        <v>648</v>
      </c>
      <c r="D456" s="21">
        <v>118</v>
      </c>
      <c r="E456" s="25">
        <v>8.7799999999999994</v>
      </c>
      <c r="F456" s="26">
        <v>101.7</v>
      </c>
      <c r="G456" s="30">
        <f>'Efectos y supuestos'!$B$9*MAX(0,D456-'Efectos y supuestos'!$B$10)/30</f>
        <v>-1.3626666666666667E-2</v>
      </c>
      <c r="H456" s="14">
        <f t="shared" si="7"/>
        <v>12.16760496</v>
      </c>
    </row>
    <row r="457" spans="1:8" x14ac:dyDescent="0.35">
      <c r="A457" s="24" t="s">
        <v>216</v>
      </c>
      <c r="B457" s="29">
        <v>46218</v>
      </c>
      <c r="C457" s="24" t="s">
        <v>665</v>
      </c>
      <c r="D457" s="21">
        <v>98</v>
      </c>
      <c r="E457" s="25">
        <v>17.72</v>
      </c>
      <c r="F457" s="26">
        <v>105</v>
      </c>
      <c r="G457" s="30">
        <f>'Efectos y supuestos'!$B$9*MAX(0,D457-'Efectos y supuestos'!$B$10)/30</f>
        <v>-3.8933333333333333E-3</v>
      </c>
      <c r="H457" s="14">
        <f t="shared" si="7"/>
        <v>7.2439359999999997</v>
      </c>
    </row>
    <row r="458" spans="1:8" x14ac:dyDescent="0.35">
      <c r="A458" s="24" t="s">
        <v>217</v>
      </c>
      <c r="B458" s="29">
        <v>46068</v>
      </c>
      <c r="C458" s="24" t="s">
        <v>648</v>
      </c>
      <c r="D458" s="21">
        <v>88</v>
      </c>
      <c r="E458" s="25">
        <v>17.59</v>
      </c>
      <c r="F458" s="26">
        <v>92.5</v>
      </c>
      <c r="G458" s="30">
        <f>'Efectos y supuestos'!$B$9*MAX(0,D458-'Efectos y supuestos'!$B$10)/30</f>
        <v>0</v>
      </c>
      <c r="H458" s="14">
        <f t="shared" si="7"/>
        <v>0</v>
      </c>
    </row>
    <row r="459" spans="1:8" x14ac:dyDescent="0.35">
      <c r="A459" s="24" t="s">
        <v>416</v>
      </c>
      <c r="B459" s="29">
        <v>46096</v>
      </c>
      <c r="C459" s="24" t="s">
        <v>648</v>
      </c>
      <c r="D459" s="21">
        <v>60</v>
      </c>
      <c r="E459" s="25">
        <v>8.52</v>
      </c>
      <c r="F459" s="26">
        <v>125.9</v>
      </c>
      <c r="G459" s="30">
        <f>'Efectos y supuestos'!$B$9*MAX(0,D459-'Efectos y supuestos'!$B$10)/30</f>
        <v>0</v>
      </c>
      <c r="H459" s="14">
        <f t="shared" si="7"/>
        <v>0</v>
      </c>
    </row>
    <row r="460" spans="1:8" x14ac:dyDescent="0.35">
      <c r="A460" s="24" t="s">
        <v>460</v>
      </c>
      <c r="B460" s="29">
        <v>46300</v>
      </c>
      <c r="C460" s="24" t="s">
        <v>665</v>
      </c>
      <c r="D460" s="21">
        <v>16</v>
      </c>
      <c r="E460" s="25">
        <v>8.82</v>
      </c>
      <c r="F460" s="26">
        <v>105</v>
      </c>
      <c r="G460" s="30">
        <f>'Efectos y supuestos'!$B$9*MAX(0,D460-'Efectos y supuestos'!$B$10)/30</f>
        <v>0</v>
      </c>
      <c r="H460" s="14">
        <f t="shared" si="7"/>
        <v>0</v>
      </c>
    </row>
    <row r="461" spans="1:8" x14ac:dyDescent="0.35">
      <c r="A461" s="24" t="s">
        <v>570</v>
      </c>
      <c r="B461" s="29">
        <v>46218</v>
      </c>
      <c r="C461" s="24" t="s">
        <v>665</v>
      </c>
      <c r="D461" s="21">
        <v>98</v>
      </c>
      <c r="E461" s="25">
        <v>9.94</v>
      </c>
      <c r="F461" s="26">
        <v>105</v>
      </c>
      <c r="G461" s="30">
        <f>'Efectos y supuestos'!$B$9*MAX(0,D461-'Efectos y supuestos'!$B$10)/30</f>
        <v>-3.8933333333333333E-3</v>
      </c>
      <c r="H461" s="14">
        <f t="shared" si="7"/>
        <v>4.063472</v>
      </c>
    </row>
    <row r="462" spans="1:8" x14ac:dyDescent="0.35">
      <c r="A462" s="24" t="s">
        <v>571</v>
      </c>
      <c r="B462" s="29">
        <v>46218</v>
      </c>
      <c r="C462" s="24" t="s">
        <v>665</v>
      </c>
      <c r="D462" s="21">
        <v>98</v>
      </c>
      <c r="E462" s="25">
        <v>1.97</v>
      </c>
      <c r="F462" s="26">
        <v>105</v>
      </c>
      <c r="G462" s="30">
        <f>'Efectos y supuestos'!$B$9*MAX(0,D462-'Efectos y supuestos'!$B$10)/30</f>
        <v>-3.8933333333333333E-3</v>
      </c>
      <c r="H462" s="14">
        <f t="shared" si="7"/>
        <v>0.80533599999999994</v>
      </c>
    </row>
    <row r="463" spans="1:8" x14ac:dyDescent="0.35">
      <c r="A463" s="24" t="s">
        <v>218</v>
      </c>
      <c r="B463" s="29">
        <v>46096</v>
      </c>
      <c r="C463" s="24" t="s">
        <v>648</v>
      </c>
      <c r="D463" s="21">
        <v>109</v>
      </c>
      <c r="E463" s="25">
        <v>7.52</v>
      </c>
      <c r="F463" s="26">
        <v>95.6</v>
      </c>
      <c r="G463" s="30">
        <f>'Efectos y supuestos'!$B$9*MAX(0,D463-'Efectos y supuestos'!$B$10)/30</f>
        <v>-9.2466666666666652E-3</v>
      </c>
      <c r="H463" s="14">
        <f t="shared" si="7"/>
        <v>6.6475396266666653</v>
      </c>
    </row>
    <row r="464" spans="1:8" x14ac:dyDescent="0.35">
      <c r="A464" s="24" t="s">
        <v>219</v>
      </c>
      <c r="B464" s="29">
        <v>46280</v>
      </c>
      <c r="C464" s="24" t="s">
        <v>665</v>
      </c>
      <c r="D464" s="21">
        <v>36</v>
      </c>
      <c r="E464" s="25">
        <v>5.59</v>
      </c>
      <c r="F464" s="26">
        <v>105</v>
      </c>
      <c r="G464" s="30">
        <f>'Efectos y supuestos'!$B$9*MAX(0,D464-'Efectos y supuestos'!$B$10)/30</f>
        <v>0</v>
      </c>
      <c r="H464" s="14">
        <f t="shared" si="7"/>
        <v>0</v>
      </c>
    </row>
    <row r="465" spans="1:8" x14ac:dyDescent="0.35">
      <c r="A465" s="24" t="s">
        <v>461</v>
      </c>
      <c r="B465" s="29">
        <v>46068</v>
      </c>
      <c r="C465" s="24" t="s">
        <v>648</v>
      </c>
      <c r="D465" s="21">
        <v>71</v>
      </c>
      <c r="E465" s="25">
        <v>5.53</v>
      </c>
      <c r="F465" s="26">
        <v>105.1</v>
      </c>
      <c r="G465" s="30">
        <f>'Efectos y supuestos'!$B$9*MAX(0,D465-'Efectos y supuestos'!$B$10)/30</f>
        <v>0</v>
      </c>
      <c r="H465" s="14">
        <f t="shared" si="7"/>
        <v>0</v>
      </c>
    </row>
    <row r="466" spans="1:8" x14ac:dyDescent="0.35">
      <c r="A466" s="24" t="s">
        <v>507</v>
      </c>
      <c r="B466" s="29">
        <v>45976</v>
      </c>
      <c r="C466" s="24" t="s">
        <v>648</v>
      </c>
      <c r="D466" s="21">
        <v>118</v>
      </c>
      <c r="E466" s="25">
        <v>2.34</v>
      </c>
      <c r="F466" s="26">
        <v>122.9</v>
      </c>
      <c r="G466" s="30">
        <f>'Efectos y supuestos'!$B$9*MAX(0,D466-'Efectos y supuestos'!$B$10)/30</f>
        <v>-1.3626666666666667E-2</v>
      </c>
      <c r="H466" s="14">
        <f t="shared" si="7"/>
        <v>3.9188385599999997</v>
      </c>
    </row>
    <row r="467" spans="1:8" x14ac:dyDescent="0.35">
      <c r="A467" s="24" t="s">
        <v>462</v>
      </c>
      <c r="B467" s="29">
        <v>46068</v>
      </c>
      <c r="C467" s="24" t="s">
        <v>648</v>
      </c>
      <c r="D467" s="21">
        <v>71</v>
      </c>
      <c r="E467" s="25">
        <v>5.94</v>
      </c>
      <c r="F467" s="26">
        <v>108.3</v>
      </c>
      <c r="G467" s="30">
        <f>'Efectos y supuestos'!$B$9*MAX(0,D467-'Efectos y supuestos'!$B$10)/30</f>
        <v>0</v>
      </c>
      <c r="H467" s="14">
        <f t="shared" si="7"/>
        <v>0</v>
      </c>
    </row>
    <row r="468" spans="1:8" x14ac:dyDescent="0.35">
      <c r="A468" s="24" t="s">
        <v>463</v>
      </c>
      <c r="B468" s="29">
        <v>46280</v>
      </c>
      <c r="C468" s="24" t="s">
        <v>665</v>
      </c>
      <c r="D468" s="21">
        <v>36</v>
      </c>
      <c r="E468" s="25">
        <v>6.09</v>
      </c>
      <c r="F468" s="26">
        <v>105</v>
      </c>
      <c r="G468" s="30">
        <f>'Efectos y supuestos'!$B$9*MAX(0,D468-'Efectos y supuestos'!$B$10)/30</f>
        <v>0</v>
      </c>
      <c r="H468" s="14">
        <f t="shared" si="7"/>
        <v>0</v>
      </c>
    </row>
    <row r="469" spans="1:8" x14ac:dyDescent="0.35">
      <c r="A469" s="24" t="s">
        <v>572</v>
      </c>
      <c r="B469" s="29">
        <v>46006</v>
      </c>
      <c r="C469" s="24" t="s">
        <v>648</v>
      </c>
      <c r="D469" s="21">
        <v>88</v>
      </c>
      <c r="E469" s="25">
        <v>5.38</v>
      </c>
      <c r="F469" s="26">
        <v>110.8</v>
      </c>
      <c r="G469" s="30">
        <f>'Efectos y supuestos'!$B$9*MAX(0,D469-'Efectos y supuestos'!$B$10)/30</f>
        <v>0</v>
      </c>
      <c r="H469" s="14">
        <f t="shared" si="7"/>
        <v>0</v>
      </c>
    </row>
    <row r="470" spans="1:8" x14ac:dyDescent="0.35">
      <c r="A470" s="24" t="s">
        <v>417</v>
      </c>
      <c r="B470" s="29">
        <v>46127</v>
      </c>
      <c r="C470" s="24" t="s">
        <v>648</v>
      </c>
      <c r="D470" s="21">
        <v>50</v>
      </c>
      <c r="E470" s="25">
        <v>1.84</v>
      </c>
      <c r="F470" s="26">
        <v>105</v>
      </c>
      <c r="G470" s="30">
        <f>'Efectos y supuestos'!$B$9*MAX(0,D470-'Efectos y supuestos'!$B$10)/30</f>
        <v>0</v>
      </c>
      <c r="H470" s="14">
        <f t="shared" si="7"/>
        <v>0</v>
      </c>
    </row>
    <row r="471" spans="1:8" x14ac:dyDescent="0.35">
      <c r="A471" s="24" t="s">
        <v>220</v>
      </c>
      <c r="B471" s="29">
        <v>46249</v>
      </c>
      <c r="C471" s="24" t="s">
        <v>665</v>
      </c>
      <c r="D471" s="21">
        <v>67</v>
      </c>
      <c r="E471" s="25">
        <v>10.82</v>
      </c>
      <c r="F471" s="26">
        <v>105</v>
      </c>
      <c r="G471" s="30">
        <f>'Efectos y supuestos'!$B$9*MAX(0,D471-'Efectos y supuestos'!$B$10)/30</f>
        <v>0</v>
      </c>
      <c r="H471" s="14">
        <f t="shared" si="7"/>
        <v>0</v>
      </c>
    </row>
    <row r="472" spans="1:8" x14ac:dyDescent="0.35">
      <c r="A472" s="24" t="s">
        <v>221</v>
      </c>
      <c r="B472" s="29">
        <v>46280</v>
      </c>
      <c r="C472" s="24" t="s">
        <v>665</v>
      </c>
      <c r="D472" s="21">
        <v>36</v>
      </c>
      <c r="E472" s="25">
        <v>5.03</v>
      </c>
      <c r="F472" s="26">
        <v>105</v>
      </c>
      <c r="G472" s="30">
        <f>'Efectos y supuestos'!$B$9*MAX(0,D472-'Efectos y supuestos'!$B$10)/30</f>
        <v>0</v>
      </c>
      <c r="H472" s="14">
        <f t="shared" si="7"/>
        <v>0</v>
      </c>
    </row>
    <row r="473" spans="1:8" x14ac:dyDescent="0.35">
      <c r="A473" s="24" t="s">
        <v>222</v>
      </c>
      <c r="B473" s="29">
        <v>46280</v>
      </c>
      <c r="C473" s="24" t="s">
        <v>665</v>
      </c>
      <c r="D473" s="21">
        <v>36</v>
      </c>
      <c r="E473" s="25">
        <v>4.25</v>
      </c>
      <c r="F473" s="26">
        <v>105</v>
      </c>
      <c r="G473" s="30">
        <f>'Efectos y supuestos'!$B$9*MAX(0,D473-'Efectos y supuestos'!$B$10)/30</f>
        <v>0</v>
      </c>
      <c r="H473" s="14">
        <f t="shared" si="7"/>
        <v>0</v>
      </c>
    </row>
    <row r="474" spans="1:8" x14ac:dyDescent="0.35">
      <c r="A474" s="24" t="s">
        <v>464</v>
      </c>
      <c r="B474" s="29">
        <v>46280</v>
      </c>
      <c r="C474" s="24" t="s">
        <v>665</v>
      </c>
      <c r="D474" s="21">
        <v>36</v>
      </c>
      <c r="E474" s="25">
        <v>4.6100000000000003</v>
      </c>
      <c r="F474" s="26">
        <v>105</v>
      </c>
      <c r="G474" s="30">
        <f>'Efectos y supuestos'!$B$9*MAX(0,D474-'Efectos y supuestos'!$B$10)/30</f>
        <v>0</v>
      </c>
      <c r="H474" s="14">
        <f t="shared" si="7"/>
        <v>0</v>
      </c>
    </row>
    <row r="475" spans="1:8" x14ac:dyDescent="0.35">
      <c r="A475" s="24" t="s">
        <v>573</v>
      </c>
      <c r="B475" s="29">
        <v>46006</v>
      </c>
      <c r="C475" s="24" t="s">
        <v>648</v>
      </c>
      <c r="D475" s="21">
        <v>105</v>
      </c>
      <c r="E475" s="25">
        <v>6.44</v>
      </c>
      <c r="F475" s="26">
        <v>110.8</v>
      </c>
      <c r="G475" s="30">
        <f>'Efectos y supuestos'!$B$9*MAX(0,D475-'Efectos y supuestos'!$B$10)/30</f>
        <v>-7.3000000000000001E-3</v>
      </c>
      <c r="H475" s="14">
        <f t="shared" si="7"/>
        <v>5.2089296000000003</v>
      </c>
    </row>
    <row r="476" spans="1:8" x14ac:dyDescent="0.35">
      <c r="A476" s="24" t="s">
        <v>224</v>
      </c>
      <c r="B476" s="29">
        <v>46096</v>
      </c>
      <c r="C476" s="24" t="s">
        <v>648</v>
      </c>
      <c r="D476" s="21">
        <v>81</v>
      </c>
      <c r="E476" s="25">
        <v>9.73</v>
      </c>
      <c r="F476" s="26">
        <v>114.8</v>
      </c>
      <c r="G476" s="30">
        <f>'Efectos y supuestos'!$B$9*MAX(0,D476-'Efectos y supuestos'!$B$10)/30</f>
        <v>0</v>
      </c>
      <c r="H476" s="14">
        <f t="shared" si="7"/>
        <v>0</v>
      </c>
    </row>
    <row r="477" spans="1:8" x14ac:dyDescent="0.35">
      <c r="A477" s="24" t="s">
        <v>465</v>
      </c>
      <c r="B477" s="29">
        <v>46303</v>
      </c>
      <c r="C477" s="24" t="s">
        <v>665</v>
      </c>
      <c r="D477" s="21">
        <v>13</v>
      </c>
      <c r="E477" s="25">
        <v>3.3</v>
      </c>
      <c r="F477" s="26">
        <v>105</v>
      </c>
      <c r="G477" s="30">
        <f>'Efectos y supuestos'!$B$9*MAX(0,D477-'Efectos y supuestos'!$B$10)/30</f>
        <v>0</v>
      </c>
      <c r="H477" s="14">
        <f t="shared" si="7"/>
        <v>0</v>
      </c>
    </row>
    <row r="478" spans="1:8" x14ac:dyDescent="0.35">
      <c r="A478" s="24" t="s">
        <v>124</v>
      </c>
      <c r="B478" s="29">
        <v>46006</v>
      </c>
      <c r="C478" s="24" t="s">
        <v>648</v>
      </c>
      <c r="D478" s="21">
        <v>133</v>
      </c>
      <c r="E478" s="25">
        <v>6.72</v>
      </c>
      <c r="F478" s="26">
        <v>98.7</v>
      </c>
      <c r="G478" s="30">
        <f>'Efectos y supuestos'!$B$9*MAX(0,D478-'Efectos y supuestos'!$B$10)/30</f>
        <v>-2.0926666666666666E-2</v>
      </c>
      <c r="H478" s="14">
        <f t="shared" si="7"/>
        <v>13.879904640000001</v>
      </c>
    </row>
    <row r="479" spans="1:8" x14ac:dyDescent="0.35">
      <c r="A479" s="24" t="s">
        <v>225</v>
      </c>
      <c r="B479" s="29">
        <v>46068</v>
      </c>
      <c r="C479" s="24" t="s">
        <v>648</v>
      </c>
      <c r="D479" s="21">
        <v>124</v>
      </c>
      <c r="E479" s="25">
        <v>11.97</v>
      </c>
      <c r="F479" s="26">
        <v>97.1</v>
      </c>
      <c r="G479" s="30">
        <f>'Efectos y supuestos'!$B$9*MAX(0,D479-'Efectos y supuestos'!$B$10)/30</f>
        <v>-1.6546666666666668E-2</v>
      </c>
      <c r="H479" s="14">
        <f t="shared" si="7"/>
        <v>19.231975560000002</v>
      </c>
    </row>
    <row r="480" spans="1:8" x14ac:dyDescent="0.35">
      <c r="A480" s="24" t="s">
        <v>508</v>
      </c>
      <c r="B480" s="29">
        <v>46096</v>
      </c>
      <c r="C480" s="24" t="s">
        <v>648</v>
      </c>
      <c r="D480" s="21">
        <v>53</v>
      </c>
      <c r="E480" s="25">
        <v>4.47</v>
      </c>
      <c r="F480" s="26">
        <v>126.7</v>
      </c>
      <c r="G480" s="30">
        <f>'Efectos y supuestos'!$B$9*MAX(0,D480-'Efectos y supuestos'!$B$10)/30</f>
        <v>0</v>
      </c>
      <c r="H480" s="14">
        <f t="shared" si="7"/>
        <v>0</v>
      </c>
    </row>
    <row r="481" spans="1:8" x14ac:dyDescent="0.35">
      <c r="A481" s="24" t="s">
        <v>509</v>
      </c>
      <c r="B481" s="29">
        <v>46096</v>
      </c>
      <c r="C481" s="24" t="s">
        <v>648</v>
      </c>
      <c r="D481" s="21">
        <v>53</v>
      </c>
      <c r="E481" s="25">
        <v>5.1100000000000003</v>
      </c>
      <c r="F481" s="26">
        <v>110.6</v>
      </c>
      <c r="G481" s="30">
        <f>'Efectos y supuestos'!$B$9*MAX(0,D481-'Efectos y supuestos'!$B$10)/30</f>
        <v>0</v>
      </c>
      <c r="H481" s="14">
        <f t="shared" si="7"/>
        <v>0</v>
      </c>
    </row>
    <row r="482" spans="1:8" x14ac:dyDescent="0.35">
      <c r="A482" s="24" t="s">
        <v>510</v>
      </c>
      <c r="B482" s="29">
        <v>46096</v>
      </c>
      <c r="C482" s="24" t="s">
        <v>648</v>
      </c>
      <c r="D482" s="21">
        <v>75</v>
      </c>
      <c r="E482" s="25">
        <v>7.4</v>
      </c>
      <c r="F482" s="26">
        <v>87.5</v>
      </c>
      <c r="G482" s="30">
        <f>'Efectos y supuestos'!$B$9*MAX(0,D482-'Efectos y supuestos'!$B$10)/30</f>
        <v>0</v>
      </c>
      <c r="H482" s="14">
        <f t="shared" si="7"/>
        <v>0</v>
      </c>
    </row>
    <row r="483" spans="1:8" x14ac:dyDescent="0.35">
      <c r="A483" s="24" t="s">
        <v>418</v>
      </c>
      <c r="B483" s="29">
        <v>46096</v>
      </c>
      <c r="C483" s="24" t="s">
        <v>648</v>
      </c>
      <c r="D483" s="21">
        <v>-16</v>
      </c>
      <c r="E483" s="25">
        <v>4.92</v>
      </c>
      <c r="F483" s="26">
        <v>67</v>
      </c>
      <c r="G483" s="30">
        <f>'Efectos y supuestos'!$B$9*MAX(0,D483-'Efectos y supuestos'!$B$10)/30</f>
        <v>0</v>
      </c>
      <c r="H483" s="14">
        <f t="shared" si="7"/>
        <v>0</v>
      </c>
    </row>
    <row r="484" spans="1:8" x14ac:dyDescent="0.35">
      <c r="A484" s="24" t="s">
        <v>574</v>
      </c>
      <c r="B484" s="29">
        <v>46096</v>
      </c>
      <c r="C484" s="24" t="s">
        <v>648</v>
      </c>
      <c r="D484" s="21">
        <v>116</v>
      </c>
      <c r="E484" s="25">
        <v>7.06</v>
      </c>
      <c r="F484" s="26">
        <v>88.7</v>
      </c>
      <c r="G484" s="30">
        <f>'Efectos y supuestos'!$B$9*MAX(0,D484-'Efectos y supuestos'!$B$10)/30</f>
        <v>-1.2653333333333332E-2</v>
      </c>
      <c r="H484" s="14">
        <f t="shared" si="7"/>
        <v>7.9237957066666667</v>
      </c>
    </row>
    <row r="485" spans="1:8" x14ac:dyDescent="0.35">
      <c r="A485" s="24" t="s">
        <v>595</v>
      </c>
      <c r="B485" s="29">
        <v>46249</v>
      </c>
      <c r="C485" s="24" t="s">
        <v>665</v>
      </c>
      <c r="D485" s="21">
        <v>67</v>
      </c>
      <c r="E485" s="25">
        <v>19.57</v>
      </c>
      <c r="F485" s="26">
        <v>105</v>
      </c>
      <c r="G485" s="30">
        <f>'Efectos y supuestos'!$B$9*MAX(0,D485-'Efectos y supuestos'!$B$10)/30</f>
        <v>0</v>
      </c>
      <c r="H485" s="14">
        <f t="shared" si="7"/>
        <v>0</v>
      </c>
    </row>
    <row r="486" spans="1:8" x14ac:dyDescent="0.35">
      <c r="A486" s="24" t="s">
        <v>419</v>
      </c>
      <c r="B486" s="29">
        <v>46249</v>
      </c>
      <c r="C486" s="24" t="s">
        <v>665</v>
      </c>
      <c r="D486" s="21">
        <v>67</v>
      </c>
      <c r="E486" s="25">
        <v>17.13</v>
      </c>
      <c r="F486" s="26">
        <v>105</v>
      </c>
      <c r="G486" s="30">
        <f>'Efectos y supuestos'!$B$9*MAX(0,D486-'Efectos y supuestos'!$B$10)/30</f>
        <v>0</v>
      </c>
      <c r="H486" s="14">
        <f t="shared" si="7"/>
        <v>0</v>
      </c>
    </row>
    <row r="487" spans="1:8" x14ac:dyDescent="0.35">
      <c r="A487" s="24" t="s">
        <v>420</v>
      </c>
      <c r="B487" s="29">
        <v>46188</v>
      </c>
      <c r="C487" s="24" t="s">
        <v>647</v>
      </c>
      <c r="D487" s="21">
        <v>112</v>
      </c>
      <c r="E487" s="25">
        <v>4</v>
      </c>
      <c r="F487" s="26">
        <v>105</v>
      </c>
      <c r="G487" s="30">
        <f>'Efectos y supuestos'!$B$9*MAX(0,D487-'Efectos y supuestos'!$B$10)/30</f>
        <v>-1.0706666666666666E-2</v>
      </c>
      <c r="H487" s="14">
        <f t="shared" si="7"/>
        <v>4.4967999999999995</v>
      </c>
    </row>
    <row r="488" spans="1:8" x14ac:dyDescent="0.35">
      <c r="A488" s="24" t="s">
        <v>511</v>
      </c>
      <c r="B488" s="29">
        <v>46006</v>
      </c>
      <c r="C488" s="24" t="s">
        <v>648</v>
      </c>
      <c r="D488" s="21">
        <v>116</v>
      </c>
      <c r="E488" s="25">
        <v>3.56</v>
      </c>
      <c r="F488" s="26">
        <v>86.9</v>
      </c>
      <c r="G488" s="30">
        <f>'Efectos y supuestos'!$B$9*MAX(0,D488-'Efectos y supuestos'!$B$10)/30</f>
        <v>-1.2653333333333332E-2</v>
      </c>
      <c r="H488" s="14">
        <f t="shared" si="7"/>
        <v>3.9144858133333331</v>
      </c>
    </row>
    <row r="489" spans="1:8" x14ac:dyDescent="0.35">
      <c r="A489" s="24" t="s">
        <v>237</v>
      </c>
      <c r="B489" s="29">
        <v>46249</v>
      </c>
      <c r="C489" s="24" t="s">
        <v>665</v>
      </c>
      <c r="D489" s="21">
        <v>67</v>
      </c>
      <c r="E489" s="25">
        <v>17.64</v>
      </c>
      <c r="F489" s="26">
        <v>105</v>
      </c>
      <c r="G489" s="30">
        <f>'Efectos y supuestos'!$B$9*MAX(0,D489-'Efectos y supuestos'!$B$10)/30</f>
        <v>0</v>
      </c>
      <c r="H489" s="14">
        <f t="shared" si="7"/>
        <v>0</v>
      </c>
    </row>
    <row r="490" spans="1:8" x14ac:dyDescent="0.35">
      <c r="A490" s="24" t="s">
        <v>238</v>
      </c>
      <c r="B490" s="29">
        <v>46037</v>
      </c>
      <c r="C490" s="24" t="s">
        <v>648</v>
      </c>
      <c r="D490" s="21">
        <v>112</v>
      </c>
      <c r="E490" s="25">
        <v>9.6300000000000008</v>
      </c>
      <c r="F490" s="26">
        <v>89.1</v>
      </c>
      <c r="G490" s="30">
        <f>'Efectos y supuestos'!$B$9*MAX(0,D490-'Efectos y supuestos'!$B$10)/30</f>
        <v>-1.0706666666666666E-2</v>
      </c>
      <c r="H490" s="14">
        <f t="shared" si="7"/>
        <v>9.1866733200000006</v>
      </c>
    </row>
    <row r="491" spans="1:8" x14ac:dyDescent="0.35">
      <c r="A491" s="24" t="s">
        <v>239</v>
      </c>
      <c r="B491" s="29">
        <v>46280</v>
      </c>
      <c r="C491" s="24" t="s">
        <v>665</v>
      </c>
      <c r="D491" s="21">
        <v>36</v>
      </c>
      <c r="E491" s="25">
        <v>9.01</v>
      </c>
      <c r="F491" s="26">
        <v>105</v>
      </c>
      <c r="G491" s="30">
        <f>'Efectos y supuestos'!$B$9*MAX(0,D491-'Efectos y supuestos'!$B$10)/30</f>
        <v>0</v>
      </c>
      <c r="H491" s="14">
        <f t="shared" si="7"/>
        <v>0</v>
      </c>
    </row>
    <row r="492" spans="1:8" x14ac:dyDescent="0.35">
      <c r="A492" s="24" t="s">
        <v>512</v>
      </c>
      <c r="B492" s="29">
        <v>46006</v>
      </c>
      <c r="C492" s="24" t="s">
        <v>648</v>
      </c>
      <c r="D492" s="21">
        <v>165</v>
      </c>
      <c r="E492" s="25">
        <v>16.27</v>
      </c>
      <c r="F492" s="26">
        <v>93.2</v>
      </c>
      <c r="G492" s="30">
        <f>'Efectos y supuestos'!$B$9*MAX(0,D492-'Efectos y supuestos'!$B$10)/30</f>
        <v>-3.6499999999999998E-2</v>
      </c>
      <c r="H492" s="14">
        <f t="shared" si="7"/>
        <v>55.347285999999997</v>
      </c>
    </row>
    <row r="493" spans="1:8" x14ac:dyDescent="0.35">
      <c r="A493" s="24" t="s">
        <v>97</v>
      </c>
      <c r="B493" s="29">
        <v>46249</v>
      </c>
      <c r="C493" s="24" t="s">
        <v>665</v>
      </c>
      <c r="D493" s="21">
        <v>67</v>
      </c>
      <c r="E493" s="25">
        <v>11.39</v>
      </c>
      <c r="F493" s="26">
        <v>105</v>
      </c>
      <c r="G493" s="30">
        <f>'Efectos y supuestos'!$B$9*MAX(0,D493-'Efectos y supuestos'!$B$10)/30</f>
        <v>0</v>
      </c>
      <c r="H493" s="14">
        <f t="shared" si="7"/>
        <v>0</v>
      </c>
    </row>
    <row r="494" spans="1:8" x14ac:dyDescent="0.35">
      <c r="A494" s="24" t="s">
        <v>240</v>
      </c>
      <c r="B494" s="29">
        <v>46037</v>
      </c>
      <c r="C494" s="24" t="s">
        <v>648</v>
      </c>
      <c r="D494" s="21">
        <v>102</v>
      </c>
      <c r="E494" s="25">
        <v>5.62</v>
      </c>
      <c r="F494" s="26">
        <v>96.2</v>
      </c>
      <c r="G494" s="30">
        <f>'Efectos y supuestos'!$B$9*MAX(0,D494-'Efectos y supuestos'!$B$10)/30</f>
        <v>-5.8399999999999997E-3</v>
      </c>
      <c r="H494" s="14">
        <f t="shared" si="7"/>
        <v>3.1573609600000001</v>
      </c>
    </row>
    <row r="495" spans="1:8" x14ac:dyDescent="0.35">
      <c r="A495" s="24" t="s">
        <v>513</v>
      </c>
      <c r="B495" s="29">
        <v>46006</v>
      </c>
      <c r="C495" s="24" t="s">
        <v>648</v>
      </c>
      <c r="D495" s="21">
        <v>143</v>
      </c>
      <c r="E495" s="25">
        <v>12.62</v>
      </c>
      <c r="F495" s="26">
        <v>93.3</v>
      </c>
      <c r="G495" s="30">
        <f>'Efectos y supuestos'!$B$9*MAX(0,D495-'Efectos y supuestos'!$B$10)/30</f>
        <v>-2.5793333333333335E-2</v>
      </c>
      <c r="H495" s="14">
        <f t="shared" si="7"/>
        <v>30.370257160000001</v>
      </c>
    </row>
    <row r="496" spans="1:8" x14ac:dyDescent="0.35">
      <c r="A496" s="24" t="s">
        <v>514</v>
      </c>
      <c r="B496" s="29">
        <v>46006</v>
      </c>
      <c r="C496" s="24" t="s">
        <v>648</v>
      </c>
      <c r="D496" s="21">
        <v>150</v>
      </c>
      <c r="E496" s="25">
        <v>3.17</v>
      </c>
      <c r="F496" s="26">
        <v>91.6</v>
      </c>
      <c r="G496" s="30">
        <f>'Efectos y supuestos'!$B$9*MAX(0,D496-'Efectos y supuestos'!$B$10)/30</f>
        <v>-2.92E-2</v>
      </c>
      <c r="H496" s="14">
        <f t="shared" si="7"/>
        <v>8.4788623999999988</v>
      </c>
    </row>
    <row r="497" spans="1:8" x14ac:dyDescent="0.35">
      <c r="A497" s="24" t="s">
        <v>241</v>
      </c>
      <c r="B497" s="29">
        <v>46127</v>
      </c>
      <c r="C497" s="24" t="s">
        <v>648</v>
      </c>
      <c r="D497" s="21">
        <v>65</v>
      </c>
      <c r="E497" s="25">
        <v>19.34</v>
      </c>
      <c r="F497" s="26">
        <v>95.9</v>
      </c>
      <c r="G497" s="30">
        <f>'Efectos y supuestos'!$B$9*MAX(0,D497-'Efectos y supuestos'!$B$10)/30</f>
        <v>0</v>
      </c>
      <c r="H497" s="14">
        <f t="shared" si="7"/>
        <v>0</v>
      </c>
    </row>
    <row r="498" spans="1:8" x14ac:dyDescent="0.35">
      <c r="A498" s="24" t="s">
        <v>515</v>
      </c>
      <c r="B498" s="29">
        <v>46006</v>
      </c>
      <c r="C498" s="24" t="s">
        <v>648</v>
      </c>
      <c r="D498" s="21">
        <v>133</v>
      </c>
      <c r="E498" s="25">
        <v>11.92</v>
      </c>
      <c r="F498" s="26">
        <v>82.4</v>
      </c>
      <c r="G498" s="30">
        <f>'Efectos y supuestos'!$B$9*MAX(0,D498-'Efectos y supuestos'!$B$10)/30</f>
        <v>-2.0926666666666666E-2</v>
      </c>
      <c r="H498" s="14">
        <f t="shared" si="7"/>
        <v>20.554339413333334</v>
      </c>
    </row>
    <row r="499" spans="1:8" x14ac:dyDescent="0.35">
      <c r="A499" s="24" t="s">
        <v>125</v>
      </c>
      <c r="B499" s="29">
        <v>46006</v>
      </c>
      <c r="C499" s="24" t="s">
        <v>648</v>
      </c>
      <c r="D499" s="21">
        <v>133</v>
      </c>
      <c r="E499" s="25">
        <v>2.14</v>
      </c>
      <c r="F499" s="26">
        <v>83.4</v>
      </c>
      <c r="G499" s="30">
        <f>'Efectos y supuestos'!$B$9*MAX(0,D499-'Efectos y supuestos'!$B$10)/30</f>
        <v>-2.0926666666666666E-2</v>
      </c>
      <c r="H499" s="14">
        <f t="shared" si="7"/>
        <v>3.7349077600000005</v>
      </c>
    </row>
    <row r="500" spans="1:8" x14ac:dyDescent="0.35">
      <c r="A500" s="24" t="s">
        <v>609</v>
      </c>
      <c r="B500" s="29">
        <v>46157</v>
      </c>
      <c r="C500" s="24" t="s">
        <v>648</v>
      </c>
      <c r="D500" s="21">
        <v>112</v>
      </c>
      <c r="E500" s="25">
        <v>1.61</v>
      </c>
      <c r="F500" s="26">
        <v>88.8</v>
      </c>
      <c r="G500" s="30">
        <f>'Efectos y supuestos'!$B$9*MAX(0,D500-'Efectos y supuestos'!$B$10)/30</f>
        <v>-1.0706666666666666E-2</v>
      </c>
      <c r="H500" s="14">
        <f t="shared" si="7"/>
        <v>1.5307107200000001</v>
      </c>
    </row>
    <row r="501" spans="1:8" x14ac:dyDescent="0.35">
      <c r="A501" s="24" t="s">
        <v>516</v>
      </c>
      <c r="B501" s="29">
        <v>46006</v>
      </c>
      <c r="C501" s="24" t="s">
        <v>648</v>
      </c>
      <c r="D501" s="21">
        <v>143</v>
      </c>
      <c r="E501" s="25">
        <v>4.9800000000000004</v>
      </c>
      <c r="F501" s="26">
        <v>94</v>
      </c>
      <c r="G501" s="30">
        <f>'Efectos y supuestos'!$B$9*MAX(0,D501-'Efectos y supuestos'!$B$10)/30</f>
        <v>-2.5793333333333335E-2</v>
      </c>
      <c r="H501" s="14">
        <f t="shared" si="7"/>
        <v>12.074375200000002</v>
      </c>
    </row>
    <row r="502" spans="1:8" x14ac:dyDescent="0.35">
      <c r="A502" s="24" t="s">
        <v>517</v>
      </c>
      <c r="B502" s="29">
        <v>46006</v>
      </c>
      <c r="C502" s="24" t="s">
        <v>648</v>
      </c>
      <c r="D502" s="21">
        <v>143</v>
      </c>
      <c r="E502" s="25">
        <v>7.56</v>
      </c>
      <c r="F502" s="26">
        <v>88.8</v>
      </c>
      <c r="G502" s="30">
        <f>'Efectos y supuestos'!$B$9*MAX(0,D502-'Efectos y supuestos'!$B$10)/30</f>
        <v>-2.5793333333333335E-2</v>
      </c>
      <c r="H502" s="14">
        <f t="shared" si="7"/>
        <v>17.315786880000001</v>
      </c>
    </row>
    <row r="503" spans="1:8" x14ac:dyDescent="0.35">
      <c r="A503" s="24" t="s">
        <v>596</v>
      </c>
      <c r="B503" s="29">
        <v>46249</v>
      </c>
      <c r="C503" s="24" t="s">
        <v>665</v>
      </c>
      <c r="D503" s="21">
        <v>67</v>
      </c>
      <c r="E503" s="25">
        <v>7.8</v>
      </c>
      <c r="F503" s="26">
        <v>105</v>
      </c>
      <c r="G503" s="30">
        <f>'Efectos y supuestos'!$B$9*MAX(0,D503-'Efectos y supuestos'!$B$10)/30</f>
        <v>0</v>
      </c>
      <c r="H503" s="14">
        <f t="shared" si="7"/>
        <v>0</v>
      </c>
    </row>
    <row r="504" spans="1:8" x14ac:dyDescent="0.35">
      <c r="A504" s="24" t="s">
        <v>597</v>
      </c>
      <c r="B504" s="29">
        <v>46249</v>
      </c>
      <c r="C504" s="24" t="s">
        <v>665</v>
      </c>
      <c r="D504" s="21">
        <v>67</v>
      </c>
      <c r="E504" s="25">
        <v>7.84</v>
      </c>
      <c r="F504" s="26">
        <v>105</v>
      </c>
      <c r="G504" s="30">
        <f>'Efectos y supuestos'!$B$9*MAX(0,D504-'Efectos y supuestos'!$B$10)/30</f>
        <v>0</v>
      </c>
      <c r="H504" s="14">
        <f t="shared" si="7"/>
        <v>0</v>
      </c>
    </row>
    <row r="505" spans="1:8" x14ac:dyDescent="0.35">
      <c r="A505" s="24" t="s">
        <v>610</v>
      </c>
      <c r="B505" s="29">
        <v>46006</v>
      </c>
      <c r="C505" s="24" t="s">
        <v>665</v>
      </c>
      <c r="D505" s="21">
        <v>310</v>
      </c>
      <c r="E505" s="25">
        <v>2.1</v>
      </c>
      <c r="F505" s="26">
        <v>67.8</v>
      </c>
      <c r="G505" s="30">
        <f>'Efectos y supuestos'!$B$9*MAX(0,D505-'Efectos y supuestos'!$B$10)/30</f>
        <v>-0.10706666666666667</v>
      </c>
      <c r="H505" s="14">
        <f t="shared" si="7"/>
        <v>15.244152000000001</v>
      </c>
    </row>
    <row r="506" spans="1:8" x14ac:dyDescent="0.35">
      <c r="A506" s="24" t="s">
        <v>575</v>
      </c>
      <c r="B506" s="29">
        <v>46068</v>
      </c>
      <c r="C506" s="24" t="s">
        <v>665</v>
      </c>
      <c r="D506" s="21">
        <v>248</v>
      </c>
      <c r="E506" s="25">
        <v>2.84</v>
      </c>
      <c r="F506" s="26">
        <v>81.400000000000006</v>
      </c>
      <c r="G506" s="30">
        <f>'Efectos y supuestos'!$B$9*MAX(0,D506-'Efectos y supuestos'!$B$10)/30</f>
        <v>-7.6893333333333327E-2</v>
      </c>
      <c r="H506" s="14">
        <f t="shared" si="7"/>
        <v>17.775893226666664</v>
      </c>
    </row>
    <row r="507" spans="1:8" x14ac:dyDescent="0.35">
      <c r="A507" s="24" t="s">
        <v>392</v>
      </c>
      <c r="B507" s="29">
        <v>46249</v>
      </c>
      <c r="C507" s="24" t="s">
        <v>665</v>
      </c>
      <c r="D507" s="21">
        <v>67</v>
      </c>
      <c r="E507" s="25">
        <v>16.88</v>
      </c>
      <c r="F507" s="26">
        <v>105</v>
      </c>
      <c r="G507" s="30">
        <f>'Efectos y supuestos'!$B$9*MAX(0,D507-'Efectos y supuestos'!$B$10)/30</f>
        <v>0</v>
      </c>
      <c r="H507" s="14">
        <f t="shared" si="7"/>
        <v>0</v>
      </c>
    </row>
    <row r="508" spans="1:8" x14ac:dyDescent="0.35">
      <c r="A508" s="24" t="s">
        <v>393</v>
      </c>
      <c r="B508" s="29">
        <v>46280</v>
      </c>
      <c r="C508" s="24" t="s">
        <v>665</v>
      </c>
      <c r="D508" s="21">
        <v>36</v>
      </c>
      <c r="E508" s="25">
        <v>5.53</v>
      </c>
      <c r="F508" s="26">
        <v>105</v>
      </c>
      <c r="G508" s="30">
        <f>'Efectos y supuestos'!$B$9*MAX(0,D508-'Efectos y supuestos'!$B$10)/30</f>
        <v>0</v>
      </c>
      <c r="H508" s="14">
        <f t="shared" si="7"/>
        <v>0</v>
      </c>
    </row>
    <row r="509" spans="1:8" x14ac:dyDescent="0.35">
      <c r="A509" s="24" t="s">
        <v>126</v>
      </c>
      <c r="B509" s="29">
        <v>46006</v>
      </c>
      <c r="C509" s="24" t="s">
        <v>648</v>
      </c>
      <c r="D509" s="21">
        <v>133</v>
      </c>
      <c r="E509" s="25">
        <v>5.66</v>
      </c>
      <c r="F509" s="26">
        <v>91.1</v>
      </c>
      <c r="G509" s="30">
        <f>'Efectos y supuestos'!$B$9*MAX(0,D509-'Efectos y supuestos'!$B$10)/30</f>
        <v>-2.0926666666666666E-2</v>
      </c>
      <c r="H509" s="14">
        <f t="shared" si="7"/>
        <v>10.790333426666667</v>
      </c>
    </row>
    <row r="510" spans="1:8" x14ac:dyDescent="0.35">
      <c r="A510" s="24" t="s">
        <v>242</v>
      </c>
      <c r="B510" s="29">
        <v>46249</v>
      </c>
      <c r="C510" s="24" t="s">
        <v>665</v>
      </c>
      <c r="D510" s="21">
        <v>67</v>
      </c>
      <c r="E510" s="25">
        <v>4.3600000000000003</v>
      </c>
      <c r="F510" s="26">
        <v>105</v>
      </c>
      <c r="G510" s="30">
        <f>'Efectos y supuestos'!$B$9*MAX(0,D510-'Efectos y supuestos'!$B$10)/30</f>
        <v>0</v>
      </c>
      <c r="H510" s="14">
        <f t="shared" si="7"/>
        <v>0</v>
      </c>
    </row>
    <row r="511" spans="1:8" x14ac:dyDescent="0.35">
      <c r="A511" s="24" t="s">
        <v>243</v>
      </c>
      <c r="B511" s="29">
        <v>46280</v>
      </c>
      <c r="C511" s="24" t="s">
        <v>665</v>
      </c>
      <c r="D511" s="21">
        <v>36</v>
      </c>
      <c r="E511" s="25">
        <v>8.82</v>
      </c>
      <c r="F511" s="26">
        <v>105</v>
      </c>
      <c r="G511" s="30">
        <f>'Efectos y supuestos'!$B$9*MAX(0,D511-'Efectos y supuestos'!$B$10)/30</f>
        <v>0</v>
      </c>
      <c r="H511" s="14">
        <f t="shared" si="7"/>
        <v>0</v>
      </c>
    </row>
    <row r="512" spans="1:8" x14ac:dyDescent="0.35">
      <c r="A512" s="24" t="s">
        <v>598</v>
      </c>
      <c r="B512" s="29">
        <v>46249</v>
      </c>
      <c r="C512" s="24" t="s">
        <v>665</v>
      </c>
      <c r="D512" s="21">
        <v>67</v>
      </c>
      <c r="E512" s="25">
        <v>17.32</v>
      </c>
      <c r="F512" s="26">
        <v>105</v>
      </c>
      <c r="G512" s="30">
        <f>'Efectos y supuestos'!$B$9*MAX(0,D512-'Efectos y supuestos'!$B$10)/30</f>
        <v>0</v>
      </c>
      <c r="H512" s="14">
        <f t="shared" si="7"/>
        <v>0</v>
      </c>
    </row>
    <row r="513" spans="1:8" x14ac:dyDescent="0.35">
      <c r="A513" s="24" t="s">
        <v>421</v>
      </c>
      <c r="B513" s="29">
        <v>46249</v>
      </c>
      <c r="C513" s="24" t="s">
        <v>665</v>
      </c>
      <c r="D513" s="21">
        <v>67</v>
      </c>
      <c r="E513" s="25">
        <v>4.7</v>
      </c>
      <c r="F513" s="26">
        <v>105</v>
      </c>
      <c r="G513" s="30">
        <f>'Efectos y supuestos'!$B$9*MAX(0,D513-'Efectos y supuestos'!$B$10)/30</f>
        <v>0</v>
      </c>
      <c r="H513" s="14">
        <f t="shared" si="7"/>
        <v>0</v>
      </c>
    </row>
    <row r="514" spans="1:8" x14ac:dyDescent="0.35">
      <c r="A514" s="24" t="s">
        <v>394</v>
      </c>
      <c r="B514" s="29">
        <v>46280</v>
      </c>
      <c r="C514" s="24" t="s">
        <v>665</v>
      </c>
      <c r="D514" s="21">
        <v>36</v>
      </c>
      <c r="E514" s="25">
        <v>11.93</v>
      </c>
      <c r="F514" s="26">
        <v>105</v>
      </c>
      <c r="G514" s="30">
        <f>'Efectos y supuestos'!$B$9*MAX(0,D514-'Efectos y supuestos'!$B$10)/30</f>
        <v>0</v>
      </c>
      <c r="H514" s="14">
        <f t="shared" si="7"/>
        <v>0</v>
      </c>
    </row>
    <row r="515" spans="1:8" x14ac:dyDescent="0.35">
      <c r="A515" s="24" t="s">
        <v>245</v>
      </c>
      <c r="B515" s="29">
        <v>46300</v>
      </c>
      <c r="C515" s="24" t="s">
        <v>665</v>
      </c>
      <c r="D515" s="21">
        <v>16</v>
      </c>
      <c r="E515" s="25">
        <v>9.68</v>
      </c>
      <c r="F515" s="26">
        <v>105</v>
      </c>
      <c r="G515" s="30">
        <f>'Efectos y supuestos'!$B$9*MAX(0,D515-'Efectos y supuestos'!$B$10)/30</f>
        <v>0</v>
      </c>
      <c r="H515" s="14">
        <f t="shared" si="7"/>
        <v>0</v>
      </c>
    </row>
    <row r="516" spans="1:8" x14ac:dyDescent="0.35">
      <c r="A516" s="24" t="s">
        <v>518</v>
      </c>
      <c r="B516" s="29">
        <v>46006</v>
      </c>
      <c r="C516" s="24" t="s">
        <v>648</v>
      </c>
      <c r="D516" s="21">
        <v>66</v>
      </c>
      <c r="E516" s="25">
        <v>15.27</v>
      </c>
      <c r="F516" s="26">
        <v>113.3</v>
      </c>
      <c r="G516" s="30">
        <f>'Efectos y supuestos'!$B$9*MAX(0,D516-'Efectos y supuestos'!$B$10)/30</f>
        <v>0</v>
      </c>
      <c r="H516" s="14">
        <f t="shared" si="7"/>
        <v>0</v>
      </c>
    </row>
    <row r="517" spans="1:8" x14ac:dyDescent="0.35">
      <c r="A517" s="24" t="s">
        <v>599</v>
      </c>
      <c r="B517" s="29">
        <v>46249</v>
      </c>
      <c r="C517" s="24" t="s">
        <v>665</v>
      </c>
      <c r="D517" s="21">
        <v>67</v>
      </c>
      <c r="E517" s="25">
        <v>7.59</v>
      </c>
      <c r="F517" s="26">
        <v>105</v>
      </c>
      <c r="G517" s="30">
        <f>'Efectos y supuestos'!$B$9*MAX(0,D517-'Efectos y supuestos'!$B$10)/30</f>
        <v>0</v>
      </c>
      <c r="H517" s="14">
        <f t="shared" si="7"/>
        <v>0</v>
      </c>
    </row>
    <row r="518" spans="1:8" x14ac:dyDescent="0.35">
      <c r="A518" s="24" t="s">
        <v>246</v>
      </c>
      <c r="B518" s="29">
        <v>46249</v>
      </c>
      <c r="C518" s="24" t="s">
        <v>665</v>
      </c>
      <c r="D518" s="21">
        <v>67</v>
      </c>
      <c r="E518" s="25">
        <v>12.22</v>
      </c>
      <c r="F518" s="26">
        <v>105</v>
      </c>
      <c r="G518" s="30">
        <f>'Efectos y supuestos'!$B$9*MAX(0,D518-'Efectos y supuestos'!$B$10)/30</f>
        <v>0</v>
      </c>
      <c r="H518" s="14">
        <f t="shared" si="7"/>
        <v>0</v>
      </c>
    </row>
    <row r="519" spans="1:8" x14ac:dyDescent="0.35">
      <c r="A519" s="24" t="s">
        <v>247</v>
      </c>
      <c r="B519" s="29">
        <v>46127</v>
      </c>
      <c r="C519" s="24" t="s">
        <v>648</v>
      </c>
      <c r="D519" s="21">
        <v>65</v>
      </c>
      <c r="E519" s="25">
        <v>10.62</v>
      </c>
      <c r="F519" s="26">
        <v>94.9</v>
      </c>
      <c r="G519" s="30">
        <f>'Efectos y supuestos'!$B$9*MAX(0,D519-'Efectos y supuestos'!$B$10)/30</f>
        <v>0</v>
      </c>
      <c r="H519" s="14">
        <f t="shared" ref="H519:H582" si="8">-G519*F519*E519</f>
        <v>0</v>
      </c>
    </row>
    <row r="520" spans="1:8" x14ac:dyDescent="0.35">
      <c r="A520" s="24" t="s">
        <v>611</v>
      </c>
      <c r="B520" s="29">
        <v>46006</v>
      </c>
      <c r="C520" s="24" t="s">
        <v>648</v>
      </c>
      <c r="D520" s="21">
        <v>88</v>
      </c>
      <c r="E520" s="25">
        <v>4.72</v>
      </c>
      <c r="F520" s="26">
        <v>83.3</v>
      </c>
      <c r="G520" s="30">
        <f>'Efectos y supuestos'!$B$9*MAX(0,D520-'Efectos y supuestos'!$B$10)/30</f>
        <v>0</v>
      </c>
      <c r="H520" s="14">
        <f t="shared" si="8"/>
        <v>0</v>
      </c>
    </row>
    <row r="521" spans="1:8" x14ac:dyDescent="0.35">
      <c r="A521" s="24" t="s">
        <v>612</v>
      </c>
      <c r="B521" s="29">
        <v>46006</v>
      </c>
      <c r="C521" s="24" t="s">
        <v>648</v>
      </c>
      <c r="D521" s="21">
        <v>95</v>
      </c>
      <c r="E521" s="25">
        <v>3.1</v>
      </c>
      <c r="F521" s="26">
        <v>114.4</v>
      </c>
      <c r="G521" s="30">
        <f>'Efectos y supuestos'!$B$9*MAX(0,D521-'Efectos y supuestos'!$B$10)/30</f>
        <v>-2.4333333333333334E-3</v>
      </c>
      <c r="H521" s="14">
        <f t="shared" si="8"/>
        <v>0.86295733333333347</v>
      </c>
    </row>
    <row r="522" spans="1:8" x14ac:dyDescent="0.35">
      <c r="A522" s="24" t="s">
        <v>613</v>
      </c>
      <c r="B522" s="29">
        <v>46006</v>
      </c>
      <c r="C522" s="24" t="s">
        <v>648</v>
      </c>
      <c r="D522" s="21">
        <v>95</v>
      </c>
      <c r="E522" s="25">
        <v>3.02</v>
      </c>
      <c r="F522" s="26">
        <v>80</v>
      </c>
      <c r="G522" s="30">
        <f>'Efectos y supuestos'!$B$9*MAX(0,D522-'Efectos y supuestos'!$B$10)/30</f>
        <v>-2.4333333333333334E-3</v>
      </c>
      <c r="H522" s="14">
        <f t="shared" si="8"/>
        <v>0.58789333333333327</v>
      </c>
    </row>
    <row r="523" spans="1:8" x14ac:dyDescent="0.35">
      <c r="A523" s="24" t="s">
        <v>519</v>
      </c>
      <c r="B523" s="29">
        <v>46006</v>
      </c>
      <c r="C523" s="24" t="s">
        <v>648</v>
      </c>
      <c r="D523" s="21">
        <v>88</v>
      </c>
      <c r="E523" s="25">
        <v>10.42</v>
      </c>
      <c r="F523" s="26">
        <v>119.5</v>
      </c>
      <c r="G523" s="30">
        <f>'Efectos y supuestos'!$B$9*MAX(0,D523-'Efectos y supuestos'!$B$10)/30</f>
        <v>0</v>
      </c>
      <c r="H523" s="14">
        <f t="shared" si="8"/>
        <v>0</v>
      </c>
    </row>
    <row r="524" spans="1:8" x14ac:dyDescent="0.35">
      <c r="A524" s="24" t="s">
        <v>248</v>
      </c>
      <c r="B524" s="29">
        <v>46127</v>
      </c>
      <c r="C524" s="24" t="s">
        <v>648</v>
      </c>
      <c r="D524" s="21">
        <v>106</v>
      </c>
      <c r="E524" s="25">
        <v>4.7</v>
      </c>
      <c r="F524" s="26">
        <v>82.3</v>
      </c>
      <c r="G524" s="30">
        <f>'Efectos y supuestos'!$B$9*MAX(0,D524-'Efectos y supuestos'!$B$10)/30</f>
        <v>-7.7866666666666666E-3</v>
      </c>
      <c r="H524" s="14">
        <f t="shared" si="8"/>
        <v>3.0119605333333337</v>
      </c>
    </row>
    <row r="525" spans="1:8" x14ac:dyDescent="0.35">
      <c r="A525" s="24" t="s">
        <v>520</v>
      </c>
      <c r="B525" s="29">
        <v>46006</v>
      </c>
      <c r="C525" s="24" t="s">
        <v>648</v>
      </c>
      <c r="D525" s="21">
        <v>88</v>
      </c>
      <c r="E525" s="25">
        <v>3.42</v>
      </c>
      <c r="F525" s="26">
        <v>110.3</v>
      </c>
      <c r="G525" s="30">
        <f>'Efectos y supuestos'!$B$9*MAX(0,D525-'Efectos y supuestos'!$B$10)/30</f>
        <v>0</v>
      </c>
      <c r="H525" s="14">
        <f t="shared" si="8"/>
        <v>0</v>
      </c>
    </row>
    <row r="526" spans="1:8" x14ac:dyDescent="0.35">
      <c r="A526" s="24" t="s">
        <v>249</v>
      </c>
      <c r="B526" s="29">
        <v>46096</v>
      </c>
      <c r="C526" s="24" t="s">
        <v>648</v>
      </c>
      <c r="D526" s="21">
        <v>-2</v>
      </c>
      <c r="E526" s="25">
        <v>5.21</v>
      </c>
      <c r="F526" s="26">
        <v>93.8</v>
      </c>
      <c r="G526" s="30">
        <f>'Efectos y supuestos'!$B$9*MAX(0,D526-'Efectos y supuestos'!$B$10)/30</f>
        <v>0</v>
      </c>
      <c r="H526" s="14">
        <f t="shared" si="8"/>
        <v>0</v>
      </c>
    </row>
    <row r="527" spans="1:8" x14ac:dyDescent="0.35">
      <c r="A527" s="24" t="s">
        <v>521</v>
      </c>
      <c r="B527" s="29">
        <v>46006</v>
      </c>
      <c r="C527" s="24" t="s">
        <v>648</v>
      </c>
      <c r="D527" s="21">
        <v>88</v>
      </c>
      <c r="E527" s="25">
        <v>3.3</v>
      </c>
      <c r="F527" s="26">
        <v>116.7</v>
      </c>
      <c r="G527" s="30">
        <f>'Efectos y supuestos'!$B$9*MAX(0,D527-'Efectos y supuestos'!$B$10)/30</f>
        <v>0</v>
      </c>
      <c r="H527" s="14">
        <f t="shared" si="8"/>
        <v>0</v>
      </c>
    </row>
    <row r="528" spans="1:8" x14ac:dyDescent="0.35">
      <c r="A528" s="24" t="s">
        <v>129</v>
      </c>
      <c r="B528" s="29">
        <v>45976</v>
      </c>
      <c r="C528" s="24" t="s">
        <v>648</v>
      </c>
      <c r="D528" s="21">
        <v>118</v>
      </c>
      <c r="E528" s="25">
        <v>6.79</v>
      </c>
      <c r="F528" s="26">
        <v>84</v>
      </c>
      <c r="G528" s="30">
        <f>'Efectos y supuestos'!$B$9*MAX(0,D528-'Efectos y supuestos'!$B$10)/30</f>
        <v>-1.3626666666666667E-2</v>
      </c>
      <c r="H528" s="14">
        <f t="shared" si="8"/>
        <v>7.7721056000000006</v>
      </c>
    </row>
    <row r="529" spans="1:8" x14ac:dyDescent="0.35">
      <c r="A529" s="24" t="s">
        <v>130</v>
      </c>
      <c r="B529" s="29">
        <v>45976</v>
      </c>
      <c r="C529" s="24" t="s">
        <v>648</v>
      </c>
      <c r="D529" s="21">
        <v>135</v>
      </c>
      <c r="E529" s="25">
        <v>10.98</v>
      </c>
      <c r="F529" s="26">
        <v>92.7</v>
      </c>
      <c r="G529" s="30">
        <f>'Efectos y supuestos'!$B$9*MAX(0,D529-'Efectos y supuestos'!$B$10)/30</f>
        <v>-2.1899999999999999E-2</v>
      </c>
      <c r="H529" s="14">
        <f t="shared" si="8"/>
        <v>22.290827400000005</v>
      </c>
    </row>
    <row r="530" spans="1:8" x14ac:dyDescent="0.35">
      <c r="A530" s="24" t="s">
        <v>555</v>
      </c>
      <c r="B530" s="29">
        <v>46006</v>
      </c>
      <c r="C530" s="24" t="s">
        <v>648</v>
      </c>
      <c r="D530" s="21">
        <v>95</v>
      </c>
      <c r="E530" s="25">
        <v>3.63</v>
      </c>
      <c r="F530" s="26">
        <v>105</v>
      </c>
      <c r="G530" s="30">
        <f>'Efectos y supuestos'!$B$9*MAX(0,D530-'Efectos y supuestos'!$B$10)/30</f>
        <v>-2.4333333333333334E-3</v>
      </c>
      <c r="H530" s="14">
        <f t="shared" si="8"/>
        <v>0.92746499999999998</v>
      </c>
    </row>
    <row r="531" spans="1:8" x14ac:dyDescent="0.35">
      <c r="A531" s="24" t="s">
        <v>250</v>
      </c>
      <c r="B531" s="29">
        <v>46218</v>
      </c>
      <c r="C531" s="24" t="s">
        <v>665</v>
      </c>
      <c r="D531" s="21">
        <v>98</v>
      </c>
      <c r="E531" s="25">
        <v>11.73</v>
      </c>
      <c r="F531" s="26">
        <v>105</v>
      </c>
      <c r="G531" s="30">
        <f>'Efectos y supuestos'!$B$9*MAX(0,D531-'Efectos y supuestos'!$B$10)/30</f>
        <v>-3.8933333333333333E-3</v>
      </c>
      <c r="H531" s="14">
        <f t="shared" si="8"/>
        <v>4.7952240000000002</v>
      </c>
    </row>
    <row r="532" spans="1:8" x14ac:dyDescent="0.35">
      <c r="A532" s="24" t="s">
        <v>251</v>
      </c>
      <c r="B532" s="29">
        <v>46280</v>
      </c>
      <c r="C532" s="24" t="s">
        <v>665</v>
      </c>
      <c r="D532" s="21">
        <v>36</v>
      </c>
      <c r="E532" s="25">
        <v>15.7</v>
      </c>
      <c r="F532" s="26">
        <v>105</v>
      </c>
      <c r="G532" s="30">
        <f>'Efectos y supuestos'!$B$9*MAX(0,D532-'Efectos y supuestos'!$B$10)/30</f>
        <v>0</v>
      </c>
      <c r="H532" s="14">
        <f t="shared" si="8"/>
        <v>0</v>
      </c>
    </row>
    <row r="533" spans="1:8" x14ac:dyDescent="0.35">
      <c r="A533" s="24" t="s">
        <v>252</v>
      </c>
      <c r="B533" s="29">
        <v>46249</v>
      </c>
      <c r="C533" s="24" t="s">
        <v>647</v>
      </c>
      <c r="D533" s="21">
        <v>52</v>
      </c>
      <c r="E533" s="25">
        <v>1.98</v>
      </c>
      <c r="F533" s="26">
        <v>105</v>
      </c>
      <c r="G533" s="30">
        <f>'Efectos y supuestos'!$B$9*MAX(0,D533-'Efectos y supuestos'!$B$10)/30</f>
        <v>0</v>
      </c>
      <c r="H533" s="14">
        <f t="shared" si="8"/>
        <v>0</v>
      </c>
    </row>
    <row r="534" spans="1:8" x14ac:dyDescent="0.35">
      <c r="A534" s="24" t="s">
        <v>253</v>
      </c>
      <c r="B534" s="29">
        <v>46249</v>
      </c>
      <c r="C534" s="24" t="s">
        <v>665</v>
      </c>
      <c r="D534" s="21">
        <v>67</v>
      </c>
      <c r="E534" s="25">
        <v>16.100000000000001</v>
      </c>
      <c r="F534" s="26">
        <v>105</v>
      </c>
      <c r="G534" s="30">
        <f>'Efectos y supuestos'!$B$9*MAX(0,D534-'Efectos y supuestos'!$B$10)/30</f>
        <v>0</v>
      </c>
      <c r="H534" s="14">
        <f t="shared" si="8"/>
        <v>0</v>
      </c>
    </row>
    <row r="535" spans="1:8" x14ac:dyDescent="0.35">
      <c r="A535" s="24" t="s">
        <v>255</v>
      </c>
      <c r="B535" s="29">
        <v>46249</v>
      </c>
      <c r="C535" s="24" t="s">
        <v>665</v>
      </c>
      <c r="D535" s="21">
        <v>67</v>
      </c>
      <c r="E535" s="25">
        <v>6.06</v>
      </c>
      <c r="F535" s="26">
        <v>105</v>
      </c>
      <c r="G535" s="30">
        <f>'Efectos y supuestos'!$B$9*MAX(0,D535-'Efectos y supuestos'!$B$10)/30</f>
        <v>0</v>
      </c>
      <c r="H535" s="14">
        <f t="shared" si="8"/>
        <v>0</v>
      </c>
    </row>
    <row r="536" spans="1:8" x14ac:dyDescent="0.35">
      <c r="A536" s="24" t="s">
        <v>256</v>
      </c>
      <c r="B536" s="29">
        <v>46249</v>
      </c>
      <c r="C536" s="24" t="s">
        <v>647</v>
      </c>
      <c r="D536" s="21">
        <v>37</v>
      </c>
      <c r="E536" s="25">
        <v>11.65</v>
      </c>
      <c r="F536" s="26">
        <v>105</v>
      </c>
      <c r="G536" s="30">
        <f>'Efectos y supuestos'!$B$9*MAX(0,D536-'Efectos y supuestos'!$B$10)/30</f>
        <v>0</v>
      </c>
      <c r="H536" s="14">
        <f t="shared" si="8"/>
        <v>0</v>
      </c>
    </row>
    <row r="537" spans="1:8" x14ac:dyDescent="0.35">
      <c r="A537" s="24" t="s">
        <v>257</v>
      </c>
      <c r="B537" s="29">
        <v>46280</v>
      </c>
      <c r="C537" s="24" t="s">
        <v>665</v>
      </c>
      <c r="D537" s="21">
        <v>36</v>
      </c>
      <c r="E537" s="25">
        <v>5.98</v>
      </c>
      <c r="F537" s="26">
        <v>105</v>
      </c>
      <c r="G537" s="30">
        <f>'Efectos y supuestos'!$B$9*MAX(0,D537-'Efectos y supuestos'!$B$10)/30</f>
        <v>0</v>
      </c>
      <c r="H537" s="14">
        <f t="shared" si="8"/>
        <v>0</v>
      </c>
    </row>
    <row r="538" spans="1:8" x14ac:dyDescent="0.35">
      <c r="A538" s="24" t="s">
        <v>258</v>
      </c>
      <c r="B538" s="29">
        <v>46249</v>
      </c>
      <c r="C538" s="24" t="s">
        <v>665</v>
      </c>
      <c r="D538" s="21">
        <v>67</v>
      </c>
      <c r="E538" s="25">
        <v>5.58</v>
      </c>
      <c r="F538" s="26">
        <v>105</v>
      </c>
      <c r="G538" s="30">
        <f>'Efectos y supuestos'!$B$9*MAX(0,D538-'Efectos y supuestos'!$B$10)/30</f>
        <v>0</v>
      </c>
      <c r="H538" s="14">
        <f t="shared" si="8"/>
        <v>0</v>
      </c>
    </row>
    <row r="539" spans="1:8" x14ac:dyDescent="0.35">
      <c r="A539" s="24" t="s">
        <v>259</v>
      </c>
      <c r="B539" s="29">
        <v>46218</v>
      </c>
      <c r="C539" s="24" t="s">
        <v>665</v>
      </c>
      <c r="D539" s="21">
        <v>98</v>
      </c>
      <c r="E539" s="25">
        <v>5.97</v>
      </c>
      <c r="F539" s="26">
        <v>105</v>
      </c>
      <c r="G539" s="30">
        <f>'Efectos y supuestos'!$B$9*MAX(0,D539-'Efectos y supuestos'!$B$10)/30</f>
        <v>-3.8933333333333333E-3</v>
      </c>
      <c r="H539" s="14">
        <f t="shared" si="8"/>
        <v>2.4405359999999998</v>
      </c>
    </row>
    <row r="540" spans="1:8" x14ac:dyDescent="0.35">
      <c r="A540" s="24" t="s">
        <v>98</v>
      </c>
      <c r="B540" s="29">
        <v>46307</v>
      </c>
      <c r="C540" s="24" t="s">
        <v>665</v>
      </c>
      <c r="D540" s="21">
        <v>9</v>
      </c>
      <c r="E540" s="25">
        <v>11.71</v>
      </c>
      <c r="F540" s="26">
        <v>105</v>
      </c>
      <c r="G540" s="30">
        <f>'Efectos y supuestos'!$B$9*MAX(0,D540-'Efectos y supuestos'!$B$10)/30</f>
        <v>0</v>
      </c>
      <c r="H540" s="14">
        <f t="shared" si="8"/>
        <v>0</v>
      </c>
    </row>
    <row r="541" spans="1:8" x14ac:dyDescent="0.35">
      <c r="A541" s="24" t="s">
        <v>260</v>
      </c>
      <c r="B541" s="29">
        <v>46249</v>
      </c>
      <c r="C541" s="24" t="s">
        <v>665</v>
      </c>
      <c r="D541" s="21">
        <v>67</v>
      </c>
      <c r="E541" s="25">
        <v>9.64</v>
      </c>
      <c r="F541" s="26">
        <v>105</v>
      </c>
      <c r="G541" s="30">
        <f>'Efectos y supuestos'!$B$9*MAX(0,D541-'Efectos y supuestos'!$B$10)/30</f>
        <v>0</v>
      </c>
      <c r="H541" s="14">
        <f t="shared" si="8"/>
        <v>0</v>
      </c>
    </row>
    <row r="542" spans="1:8" x14ac:dyDescent="0.35">
      <c r="A542" s="24" t="s">
        <v>261</v>
      </c>
      <c r="B542" s="29">
        <v>46218</v>
      </c>
      <c r="C542" s="24" t="s">
        <v>665</v>
      </c>
      <c r="D542" s="21">
        <v>98</v>
      </c>
      <c r="E542" s="25">
        <v>16.329999999999998</v>
      </c>
      <c r="F542" s="26">
        <v>105</v>
      </c>
      <c r="G542" s="30">
        <f>'Efectos y supuestos'!$B$9*MAX(0,D542-'Efectos y supuestos'!$B$10)/30</f>
        <v>-3.8933333333333333E-3</v>
      </c>
      <c r="H542" s="14">
        <f t="shared" si="8"/>
        <v>6.6757039999999996</v>
      </c>
    </row>
    <row r="543" spans="1:8" x14ac:dyDescent="0.35">
      <c r="A543" s="24" t="s">
        <v>395</v>
      </c>
      <c r="B543" s="29">
        <v>46280</v>
      </c>
      <c r="C543" s="24" t="s">
        <v>665</v>
      </c>
      <c r="D543" s="21">
        <v>36</v>
      </c>
      <c r="E543" s="25">
        <v>22.26</v>
      </c>
      <c r="F543" s="26">
        <v>105</v>
      </c>
      <c r="G543" s="30">
        <f>'Efectos y supuestos'!$B$9*MAX(0,D543-'Efectos y supuestos'!$B$10)/30</f>
        <v>0</v>
      </c>
      <c r="H543" s="14">
        <f t="shared" si="8"/>
        <v>0</v>
      </c>
    </row>
    <row r="544" spans="1:8" x14ac:dyDescent="0.35">
      <c r="A544" s="24" t="s">
        <v>522</v>
      </c>
      <c r="B544" s="29">
        <v>46006</v>
      </c>
      <c r="C544" s="24" t="s">
        <v>648</v>
      </c>
      <c r="D544" s="21">
        <v>88</v>
      </c>
      <c r="E544" s="25">
        <v>16.559999999999999</v>
      </c>
      <c r="F544" s="26">
        <v>122.5</v>
      </c>
      <c r="G544" s="30">
        <f>'Efectos y supuestos'!$B$9*MAX(0,D544-'Efectos y supuestos'!$B$10)/30</f>
        <v>0</v>
      </c>
      <c r="H544" s="14">
        <f t="shared" si="8"/>
        <v>0</v>
      </c>
    </row>
    <row r="545" spans="1:8" x14ac:dyDescent="0.35">
      <c r="A545" s="24" t="s">
        <v>262</v>
      </c>
      <c r="B545" s="29">
        <v>46218</v>
      </c>
      <c r="C545" s="24" t="s">
        <v>665</v>
      </c>
      <c r="D545" s="21">
        <v>98</v>
      </c>
      <c r="E545" s="25">
        <v>16.170000000000002</v>
      </c>
      <c r="F545" s="26">
        <v>105</v>
      </c>
      <c r="G545" s="30">
        <f>'Efectos y supuestos'!$B$9*MAX(0,D545-'Efectos y supuestos'!$B$10)/30</f>
        <v>-3.8933333333333333E-3</v>
      </c>
      <c r="H545" s="14">
        <f t="shared" si="8"/>
        <v>6.6102960000000008</v>
      </c>
    </row>
    <row r="546" spans="1:8" x14ac:dyDescent="0.35">
      <c r="A546" s="24" t="s">
        <v>263</v>
      </c>
      <c r="B546" s="29">
        <v>46249</v>
      </c>
      <c r="C546" s="24" t="s">
        <v>665</v>
      </c>
      <c r="D546" s="21">
        <v>67</v>
      </c>
      <c r="E546" s="25">
        <v>17.38</v>
      </c>
      <c r="F546" s="26">
        <v>105</v>
      </c>
      <c r="G546" s="30">
        <f>'Efectos y supuestos'!$B$9*MAX(0,D546-'Efectos y supuestos'!$B$10)/30</f>
        <v>0</v>
      </c>
      <c r="H546" s="14">
        <f t="shared" si="8"/>
        <v>0</v>
      </c>
    </row>
    <row r="547" spans="1:8" x14ac:dyDescent="0.35">
      <c r="A547" s="24" t="s">
        <v>264</v>
      </c>
      <c r="B547" s="29">
        <v>46188</v>
      </c>
      <c r="C547" s="24" t="s">
        <v>647</v>
      </c>
      <c r="D547" s="21">
        <v>101</v>
      </c>
      <c r="E547" s="25">
        <v>9.9600000000000009</v>
      </c>
      <c r="F547" s="26">
        <v>85.6</v>
      </c>
      <c r="G547" s="30">
        <f>'Efectos y supuestos'!$B$9*MAX(0,D547-'Efectos y supuestos'!$B$10)/30</f>
        <v>-5.3533333333333332E-3</v>
      </c>
      <c r="H547" s="14">
        <f t="shared" si="8"/>
        <v>4.5641235199999999</v>
      </c>
    </row>
    <row r="548" spans="1:8" x14ac:dyDescent="0.35">
      <c r="A548" s="24" t="s">
        <v>265</v>
      </c>
      <c r="B548" s="29">
        <v>46157</v>
      </c>
      <c r="C548" s="24" t="s">
        <v>647</v>
      </c>
      <c r="D548" s="21">
        <v>124</v>
      </c>
      <c r="E548" s="25">
        <v>3.18</v>
      </c>
      <c r="F548" s="26">
        <v>100.5</v>
      </c>
      <c r="G548" s="30">
        <f>'Efectos y supuestos'!$B$9*MAX(0,D548-'Efectos y supuestos'!$B$10)/30</f>
        <v>-1.6546666666666668E-2</v>
      </c>
      <c r="H548" s="14">
        <f t="shared" si="8"/>
        <v>5.2881492000000003</v>
      </c>
    </row>
    <row r="549" spans="1:8" x14ac:dyDescent="0.35">
      <c r="A549" s="24" t="s">
        <v>600</v>
      </c>
      <c r="B549" s="29">
        <v>46249</v>
      </c>
      <c r="C549" s="24" t="s">
        <v>665</v>
      </c>
      <c r="D549" s="21">
        <v>67</v>
      </c>
      <c r="E549" s="25">
        <v>5.95</v>
      </c>
      <c r="F549" s="26">
        <v>105</v>
      </c>
      <c r="G549" s="30">
        <f>'Efectos y supuestos'!$B$9*MAX(0,D549-'Efectos y supuestos'!$B$10)/30</f>
        <v>0</v>
      </c>
      <c r="H549" s="14">
        <f t="shared" si="8"/>
        <v>0</v>
      </c>
    </row>
    <row r="550" spans="1:8" x14ac:dyDescent="0.35">
      <c r="A550" s="24" t="s">
        <v>576</v>
      </c>
      <c r="B550" s="29">
        <v>46006</v>
      </c>
      <c r="C550" s="24" t="s">
        <v>648</v>
      </c>
      <c r="D550" s="21">
        <v>-17</v>
      </c>
      <c r="E550" s="25">
        <v>19.61</v>
      </c>
      <c r="F550" s="26">
        <v>98.2</v>
      </c>
      <c r="G550" s="30">
        <f>'Efectos y supuestos'!$B$9*MAX(0,D550-'Efectos y supuestos'!$B$10)/30</f>
        <v>0</v>
      </c>
      <c r="H550" s="14">
        <f t="shared" si="8"/>
        <v>0</v>
      </c>
    </row>
    <row r="551" spans="1:8" x14ac:dyDescent="0.35">
      <c r="A551" s="24" t="s">
        <v>423</v>
      </c>
      <c r="B551" s="29">
        <v>46096</v>
      </c>
      <c r="C551" s="24" t="s">
        <v>648</v>
      </c>
      <c r="D551" s="21">
        <v>137</v>
      </c>
      <c r="E551" s="25">
        <v>5.63</v>
      </c>
      <c r="F551" s="26">
        <v>100.8</v>
      </c>
      <c r="G551" s="30">
        <f>'Efectos y supuestos'!$B$9*MAX(0,D551-'Efectos y supuestos'!$B$10)/30</f>
        <v>-2.2873333333333336E-2</v>
      </c>
      <c r="H551" s="14">
        <f t="shared" si="8"/>
        <v>12.980708160000001</v>
      </c>
    </row>
    <row r="552" spans="1:8" x14ac:dyDescent="0.35">
      <c r="A552" s="24" t="s">
        <v>266</v>
      </c>
      <c r="B552" s="29">
        <v>46249</v>
      </c>
      <c r="C552" s="24" t="s">
        <v>665</v>
      </c>
      <c r="D552" s="21">
        <v>67</v>
      </c>
      <c r="E552" s="25">
        <v>6.2</v>
      </c>
      <c r="F552" s="26">
        <v>105</v>
      </c>
      <c r="G552" s="30">
        <f>'Efectos y supuestos'!$B$9*MAX(0,D552-'Efectos y supuestos'!$B$10)/30</f>
        <v>0</v>
      </c>
      <c r="H552" s="14">
        <f t="shared" si="8"/>
        <v>0</v>
      </c>
    </row>
    <row r="553" spans="1:8" x14ac:dyDescent="0.35">
      <c r="A553" s="24" t="s">
        <v>577</v>
      </c>
      <c r="B553" s="29">
        <v>46249</v>
      </c>
      <c r="C553" s="24" t="s">
        <v>665</v>
      </c>
      <c r="D553" s="21">
        <v>67</v>
      </c>
      <c r="E553" s="25">
        <v>14.83</v>
      </c>
      <c r="F553" s="26">
        <v>105</v>
      </c>
      <c r="G553" s="30">
        <f>'Efectos y supuestos'!$B$9*MAX(0,D553-'Efectos y supuestos'!$B$10)/30</f>
        <v>0</v>
      </c>
      <c r="H553" s="14">
        <f t="shared" si="8"/>
        <v>0</v>
      </c>
    </row>
    <row r="554" spans="1:8" x14ac:dyDescent="0.35">
      <c r="A554" s="24" t="s">
        <v>267</v>
      </c>
      <c r="B554" s="29">
        <v>46188</v>
      </c>
      <c r="C554" s="24" t="s">
        <v>647</v>
      </c>
      <c r="D554" s="21">
        <v>108</v>
      </c>
      <c r="E554" s="25">
        <v>12.51</v>
      </c>
      <c r="F554" s="26">
        <v>105</v>
      </c>
      <c r="G554" s="30">
        <f>'Efectos y supuestos'!$B$9*MAX(0,D554-'Efectos y supuestos'!$B$10)/30</f>
        <v>-8.7599999999999987E-3</v>
      </c>
      <c r="H554" s="14">
        <f t="shared" si="8"/>
        <v>11.506697999999998</v>
      </c>
    </row>
    <row r="555" spans="1:8" x14ac:dyDescent="0.35">
      <c r="A555" s="24" t="s">
        <v>614</v>
      </c>
      <c r="B555" s="29">
        <v>46249</v>
      </c>
      <c r="C555" s="24" t="s">
        <v>665</v>
      </c>
      <c r="D555" s="21">
        <v>67</v>
      </c>
      <c r="E555" s="25">
        <v>6.36</v>
      </c>
      <c r="F555" s="26">
        <v>105</v>
      </c>
      <c r="G555" s="30">
        <f>'Efectos y supuestos'!$B$9*MAX(0,D555-'Efectos y supuestos'!$B$10)/30</f>
        <v>0</v>
      </c>
      <c r="H555" s="14">
        <f t="shared" si="8"/>
        <v>0</v>
      </c>
    </row>
    <row r="556" spans="1:8" x14ac:dyDescent="0.35">
      <c r="A556" s="24" t="s">
        <v>99</v>
      </c>
      <c r="B556" s="29">
        <v>46308</v>
      </c>
      <c r="C556" s="24" t="s">
        <v>665</v>
      </c>
      <c r="D556" s="21">
        <v>8</v>
      </c>
      <c r="E556" s="25">
        <v>10.210000000000001</v>
      </c>
      <c r="F556" s="26">
        <v>105</v>
      </c>
      <c r="G556" s="30">
        <f>'Efectos y supuestos'!$B$9*MAX(0,D556-'Efectos y supuestos'!$B$10)/30</f>
        <v>0</v>
      </c>
      <c r="H556" s="14">
        <f t="shared" si="8"/>
        <v>0</v>
      </c>
    </row>
    <row r="557" spans="1:8" x14ac:dyDescent="0.35">
      <c r="A557" s="24" t="s">
        <v>269</v>
      </c>
      <c r="B557" s="29">
        <v>46249</v>
      </c>
      <c r="C557" s="24" t="s">
        <v>665</v>
      </c>
      <c r="D557" s="21">
        <v>67</v>
      </c>
      <c r="E557" s="25">
        <v>4.13</v>
      </c>
      <c r="F557" s="26">
        <v>105</v>
      </c>
      <c r="G557" s="30">
        <f>'Efectos y supuestos'!$B$9*MAX(0,D557-'Efectos y supuestos'!$B$10)/30</f>
        <v>0</v>
      </c>
      <c r="H557" s="14">
        <f t="shared" si="8"/>
        <v>0</v>
      </c>
    </row>
    <row r="558" spans="1:8" x14ac:dyDescent="0.35">
      <c r="A558" s="24" t="s">
        <v>270</v>
      </c>
      <c r="B558" s="29">
        <v>46300</v>
      </c>
      <c r="C558" s="24" t="s">
        <v>665</v>
      </c>
      <c r="D558" s="21">
        <v>16</v>
      </c>
      <c r="E558" s="25">
        <v>3.56</v>
      </c>
      <c r="F558" s="26">
        <v>105</v>
      </c>
      <c r="G558" s="30">
        <f>'Efectos y supuestos'!$B$9*MAX(0,D558-'Efectos y supuestos'!$B$10)/30</f>
        <v>0</v>
      </c>
      <c r="H558" s="14">
        <f t="shared" si="8"/>
        <v>0</v>
      </c>
    </row>
    <row r="559" spans="1:8" x14ac:dyDescent="0.35">
      <c r="A559" s="24" t="s">
        <v>271</v>
      </c>
      <c r="B559" s="29">
        <v>46301</v>
      </c>
      <c r="C559" s="24" t="s">
        <v>665</v>
      </c>
      <c r="D559" s="21">
        <v>15</v>
      </c>
      <c r="E559" s="25">
        <v>9.26</v>
      </c>
      <c r="F559" s="26">
        <v>105</v>
      </c>
      <c r="G559" s="30">
        <f>'Efectos y supuestos'!$B$9*MAX(0,D559-'Efectos y supuestos'!$B$10)/30</f>
        <v>0</v>
      </c>
      <c r="H559" s="14">
        <f t="shared" si="8"/>
        <v>0</v>
      </c>
    </row>
    <row r="560" spans="1:8" x14ac:dyDescent="0.35">
      <c r="A560" s="24" t="s">
        <v>425</v>
      </c>
      <c r="B560" s="29">
        <v>46096</v>
      </c>
      <c r="C560" s="24" t="s">
        <v>648</v>
      </c>
      <c r="D560" s="21">
        <v>60</v>
      </c>
      <c r="E560" s="25">
        <v>7.15</v>
      </c>
      <c r="F560" s="26">
        <v>80.5</v>
      </c>
      <c r="G560" s="30">
        <f>'Efectos y supuestos'!$B$9*MAX(0,D560-'Efectos y supuestos'!$B$10)/30</f>
        <v>0</v>
      </c>
      <c r="H560" s="14">
        <f t="shared" si="8"/>
        <v>0</v>
      </c>
    </row>
    <row r="561" spans="1:8" x14ac:dyDescent="0.35">
      <c r="A561" s="24" t="s">
        <v>523</v>
      </c>
      <c r="B561" s="29">
        <v>46006</v>
      </c>
      <c r="C561" s="24" t="s">
        <v>648</v>
      </c>
      <c r="D561" s="21">
        <v>74</v>
      </c>
      <c r="E561" s="25">
        <v>4.78</v>
      </c>
      <c r="F561" s="26">
        <v>62.8</v>
      </c>
      <c r="G561" s="30">
        <f>'Efectos y supuestos'!$B$9*MAX(0,D561-'Efectos y supuestos'!$B$10)/30</f>
        <v>0</v>
      </c>
      <c r="H561" s="14">
        <f t="shared" si="8"/>
        <v>0</v>
      </c>
    </row>
    <row r="562" spans="1:8" x14ac:dyDescent="0.35">
      <c r="A562" s="24" t="s">
        <v>524</v>
      </c>
      <c r="B562" s="29">
        <v>46006</v>
      </c>
      <c r="C562" s="24" t="s">
        <v>648</v>
      </c>
      <c r="D562" s="21">
        <v>74</v>
      </c>
      <c r="E562" s="25">
        <v>6.26</v>
      </c>
      <c r="F562" s="26">
        <v>77.900000000000006</v>
      </c>
      <c r="G562" s="30">
        <f>'Efectos y supuestos'!$B$9*MAX(0,D562-'Efectos y supuestos'!$B$10)/30</f>
        <v>0</v>
      </c>
      <c r="H562" s="14">
        <f t="shared" si="8"/>
        <v>0</v>
      </c>
    </row>
    <row r="563" spans="1:8" x14ac:dyDescent="0.35">
      <c r="A563" s="24" t="s">
        <v>525</v>
      </c>
      <c r="B563" s="29">
        <v>45976</v>
      </c>
      <c r="C563" s="24" t="s">
        <v>647</v>
      </c>
      <c r="D563" s="21">
        <v>62</v>
      </c>
      <c r="E563" s="25">
        <v>14.95</v>
      </c>
      <c r="F563" s="26">
        <v>92.3</v>
      </c>
      <c r="G563" s="30">
        <f>'Efectos y supuestos'!$B$9*MAX(0,D563-'Efectos y supuestos'!$B$10)/30</f>
        <v>0</v>
      </c>
      <c r="H563" s="14">
        <f t="shared" si="8"/>
        <v>0</v>
      </c>
    </row>
    <row r="564" spans="1:8" x14ac:dyDescent="0.35">
      <c r="A564" s="24" t="s">
        <v>275</v>
      </c>
      <c r="B564" s="29">
        <v>46096</v>
      </c>
      <c r="C564" s="24" t="s">
        <v>648</v>
      </c>
      <c r="D564" s="21">
        <v>96</v>
      </c>
      <c r="E564" s="25">
        <v>20.420000000000002</v>
      </c>
      <c r="F564" s="26">
        <v>77.599999999999994</v>
      </c>
      <c r="G564" s="30">
        <f>'Efectos y supuestos'!$B$9*MAX(0,D564-'Efectos y supuestos'!$B$10)/30</f>
        <v>-2.9199999999999999E-3</v>
      </c>
      <c r="H564" s="14">
        <f t="shared" si="8"/>
        <v>4.6270086399999997</v>
      </c>
    </row>
    <row r="565" spans="1:8" x14ac:dyDescent="0.35">
      <c r="A565" s="24" t="s">
        <v>526</v>
      </c>
      <c r="B565" s="29">
        <v>46127</v>
      </c>
      <c r="C565" s="24" t="s">
        <v>647</v>
      </c>
      <c r="D565" s="21">
        <v>122</v>
      </c>
      <c r="E565" s="25">
        <v>10.87</v>
      </c>
      <c r="F565" s="26">
        <v>102.9</v>
      </c>
      <c r="G565" s="30">
        <f>'Efectos y supuestos'!$B$9*MAX(0,D565-'Efectos y supuestos'!$B$10)/30</f>
        <v>-1.5573333333333333E-2</v>
      </c>
      <c r="H565" s="14">
        <f t="shared" si="8"/>
        <v>17.419131520000001</v>
      </c>
    </row>
    <row r="566" spans="1:8" x14ac:dyDescent="0.35">
      <c r="A566" s="24" t="s">
        <v>527</v>
      </c>
      <c r="B566" s="29">
        <v>46300</v>
      </c>
      <c r="C566" s="24" t="s">
        <v>665</v>
      </c>
      <c r="D566" s="21">
        <v>16</v>
      </c>
      <c r="E566" s="25">
        <v>10.220000000000001</v>
      </c>
      <c r="F566" s="26">
        <v>105</v>
      </c>
      <c r="G566" s="30">
        <f>'Efectos y supuestos'!$B$9*MAX(0,D566-'Efectos y supuestos'!$B$10)/30</f>
        <v>0</v>
      </c>
      <c r="H566" s="14">
        <f t="shared" si="8"/>
        <v>0</v>
      </c>
    </row>
    <row r="567" spans="1:8" x14ac:dyDescent="0.35">
      <c r="A567" s="24" t="s">
        <v>528</v>
      </c>
      <c r="B567" s="29">
        <v>46127</v>
      </c>
      <c r="C567" s="24" t="s">
        <v>647</v>
      </c>
      <c r="D567" s="21">
        <v>155</v>
      </c>
      <c r="E567" s="25">
        <v>2.72</v>
      </c>
      <c r="F567" s="26">
        <v>93.9</v>
      </c>
      <c r="G567" s="30">
        <f>'Efectos y supuestos'!$B$9*MAX(0,D567-'Efectos y supuestos'!$B$10)/30</f>
        <v>-3.1633333333333333E-2</v>
      </c>
      <c r="H567" s="14">
        <f t="shared" si="8"/>
        <v>8.0794063999999999</v>
      </c>
    </row>
    <row r="568" spans="1:8" x14ac:dyDescent="0.35">
      <c r="A568" s="24" t="s">
        <v>396</v>
      </c>
      <c r="B568" s="29">
        <v>46280</v>
      </c>
      <c r="C568" s="24" t="s">
        <v>665</v>
      </c>
      <c r="D568" s="21">
        <v>36</v>
      </c>
      <c r="E568" s="25">
        <v>16.75</v>
      </c>
      <c r="F568" s="26">
        <v>105</v>
      </c>
      <c r="G568" s="30">
        <f>'Efectos y supuestos'!$B$9*MAX(0,D568-'Efectos y supuestos'!$B$10)/30</f>
        <v>0</v>
      </c>
      <c r="H568" s="14">
        <f t="shared" si="8"/>
        <v>0</v>
      </c>
    </row>
    <row r="569" spans="1:8" x14ac:dyDescent="0.35">
      <c r="A569" s="24" t="s">
        <v>276</v>
      </c>
      <c r="B569" s="29">
        <v>46280</v>
      </c>
      <c r="C569" s="24" t="s">
        <v>665</v>
      </c>
      <c r="D569" s="21">
        <v>36</v>
      </c>
      <c r="E569" s="25">
        <v>10.76</v>
      </c>
      <c r="F569" s="26">
        <v>105</v>
      </c>
      <c r="G569" s="30">
        <f>'Efectos y supuestos'!$B$9*MAX(0,D569-'Efectos y supuestos'!$B$10)/30</f>
        <v>0</v>
      </c>
      <c r="H569" s="14">
        <f t="shared" si="8"/>
        <v>0</v>
      </c>
    </row>
    <row r="570" spans="1:8" x14ac:dyDescent="0.35">
      <c r="A570" s="24" t="s">
        <v>277</v>
      </c>
      <c r="B570" s="29">
        <v>46280</v>
      </c>
      <c r="C570" s="24" t="s">
        <v>665</v>
      </c>
      <c r="D570" s="21">
        <v>36</v>
      </c>
      <c r="E570" s="25">
        <v>5.61</v>
      </c>
      <c r="F570" s="26">
        <v>105</v>
      </c>
      <c r="G570" s="30">
        <f>'Efectos y supuestos'!$B$9*MAX(0,D570-'Efectos y supuestos'!$B$10)/30</f>
        <v>0</v>
      </c>
      <c r="H570" s="14">
        <f t="shared" si="8"/>
        <v>0</v>
      </c>
    </row>
    <row r="571" spans="1:8" x14ac:dyDescent="0.35">
      <c r="A571" s="24" t="s">
        <v>278</v>
      </c>
      <c r="B571" s="29">
        <v>46188</v>
      </c>
      <c r="C571" s="24" t="s">
        <v>647</v>
      </c>
      <c r="D571" s="21">
        <v>86</v>
      </c>
      <c r="E571" s="25">
        <v>9.3800000000000008</v>
      </c>
      <c r="F571" s="26">
        <v>121.6</v>
      </c>
      <c r="G571" s="30">
        <f>'Efectos y supuestos'!$B$9*MAX(0,D571-'Efectos y supuestos'!$B$10)/30</f>
        <v>0</v>
      </c>
      <c r="H571" s="14">
        <f t="shared" si="8"/>
        <v>0</v>
      </c>
    </row>
    <row r="572" spans="1:8" x14ac:dyDescent="0.35">
      <c r="A572" s="24" t="s">
        <v>279</v>
      </c>
      <c r="B572" s="29">
        <v>46037</v>
      </c>
      <c r="C572" s="24" t="s">
        <v>648</v>
      </c>
      <c r="D572" s="21">
        <v>43</v>
      </c>
      <c r="E572" s="25">
        <v>3.98</v>
      </c>
      <c r="F572" s="26">
        <v>98.4</v>
      </c>
      <c r="G572" s="30">
        <f>'Efectos y supuestos'!$B$9*MAX(0,D572-'Efectos y supuestos'!$B$10)/30</f>
        <v>0</v>
      </c>
      <c r="H572" s="14">
        <f t="shared" si="8"/>
        <v>0</v>
      </c>
    </row>
    <row r="573" spans="1:8" x14ac:dyDescent="0.35">
      <c r="A573" s="24" t="s">
        <v>280</v>
      </c>
      <c r="B573" s="29">
        <v>46280</v>
      </c>
      <c r="C573" s="24" t="s">
        <v>665</v>
      </c>
      <c r="D573" s="21">
        <v>36</v>
      </c>
      <c r="E573" s="25">
        <v>6.93</v>
      </c>
      <c r="F573" s="26">
        <v>105</v>
      </c>
      <c r="G573" s="30">
        <f>'Efectos y supuestos'!$B$9*MAX(0,D573-'Efectos y supuestos'!$B$10)/30</f>
        <v>0</v>
      </c>
      <c r="H573" s="14">
        <f t="shared" si="8"/>
        <v>0</v>
      </c>
    </row>
    <row r="574" spans="1:8" x14ac:dyDescent="0.35">
      <c r="A574" s="24" t="s">
        <v>281</v>
      </c>
      <c r="B574" s="29">
        <v>46218</v>
      </c>
      <c r="C574" s="24" t="s">
        <v>665</v>
      </c>
      <c r="D574" s="21">
        <v>98</v>
      </c>
      <c r="E574" s="25">
        <v>5.34</v>
      </c>
      <c r="F574" s="26">
        <v>105</v>
      </c>
      <c r="G574" s="30">
        <f>'Efectos y supuestos'!$B$9*MAX(0,D574-'Efectos y supuestos'!$B$10)/30</f>
        <v>-3.8933333333333333E-3</v>
      </c>
      <c r="H574" s="14">
        <f t="shared" si="8"/>
        <v>2.182992</v>
      </c>
    </row>
    <row r="575" spans="1:8" x14ac:dyDescent="0.35">
      <c r="A575" s="24" t="s">
        <v>282</v>
      </c>
      <c r="B575" s="29">
        <v>46249</v>
      </c>
      <c r="C575" s="24" t="s">
        <v>665</v>
      </c>
      <c r="D575" s="21">
        <v>67</v>
      </c>
      <c r="E575" s="25">
        <v>9</v>
      </c>
      <c r="F575" s="26">
        <v>105</v>
      </c>
      <c r="G575" s="30">
        <f>'Efectos y supuestos'!$B$9*MAX(0,D575-'Efectos y supuestos'!$B$10)/30</f>
        <v>0</v>
      </c>
      <c r="H575" s="14">
        <f t="shared" si="8"/>
        <v>0</v>
      </c>
    </row>
    <row r="576" spans="1:8" x14ac:dyDescent="0.35">
      <c r="A576" s="24" t="s">
        <v>283</v>
      </c>
      <c r="B576" s="29">
        <v>46157</v>
      </c>
      <c r="C576" s="24" t="s">
        <v>647</v>
      </c>
      <c r="D576" s="21">
        <v>97</v>
      </c>
      <c r="E576" s="25">
        <v>11.87</v>
      </c>
      <c r="F576" s="26">
        <v>107</v>
      </c>
      <c r="G576" s="30">
        <f>'Efectos y supuestos'!$B$9*MAX(0,D576-'Efectos y supuestos'!$B$10)/30</f>
        <v>-3.4066666666666668E-3</v>
      </c>
      <c r="H576" s="14">
        <f t="shared" si="8"/>
        <v>4.3267732666666667</v>
      </c>
    </row>
    <row r="577" spans="1:8" x14ac:dyDescent="0.35">
      <c r="A577" s="24" t="s">
        <v>284</v>
      </c>
      <c r="B577" s="29">
        <v>46157</v>
      </c>
      <c r="C577" s="24" t="s">
        <v>647</v>
      </c>
      <c r="D577" s="21">
        <v>96</v>
      </c>
      <c r="E577" s="25">
        <v>4.4400000000000004</v>
      </c>
      <c r="F577" s="26">
        <v>107.1</v>
      </c>
      <c r="G577" s="30">
        <f>'Efectos y supuestos'!$B$9*MAX(0,D577-'Efectos y supuestos'!$B$10)/30</f>
        <v>-2.9199999999999999E-3</v>
      </c>
      <c r="H577" s="14">
        <f t="shared" si="8"/>
        <v>1.38853008</v>
      </c>
    </row>
    <row r="578" spans="1:8" x14ac:dyDescent="0.35">
      <c r="A578" s="24" t="s">
        <v>285</v>
      </c>
      <c r="B578" s="29">
        <v>46188</v>
      </c>
      <c r="C578" s="24" t="s">
        <v>647</v>
      </c>
      <c r="D578" s="21">
        <v>73</v>
      </c>
      <c r="E578" s="25">
        <v>5.8</v>
      </c>
      <c r="F578" s="26">
        <v>117.7</v>
      </c>
      <c r="G578" s="30">
        <f>'Efectos y supuestos'!$B$9*MAX(0,D578-'Efectos y supuestos'!$B$10)/30</f>
        <v>0</v>
      </c>
      <c r="H578" s="14">
        <f t="shared" si="8"/>
        <v>0</v>
      </c>
    </row>
    <row r="579" spans="1:8" x14ac:dyDescent="0.35">
      <c r="A579" s="24" t="s">
        <v>556</v>
      </c>
      <c r="B579" s="29">
        <v>45976</v>
      </c>
      <c r="C579" s="24" t="s">
        <v>648</v>
      </c>
      <c r="D579" s="21">
        <v>76</v>
      </c>
      <c r="E579" s="25">
        <v>8.35</v>
      </c>
      <c r="F579" s="26">
        <v>124.6</v>
      </c>
      <c r="G579" s="30">
        <f>'Efectos y supuestos'!$B$9*MAX(0,D579-'Efectos y supuestos'!$B$10)/30</f>
        <v>0</v>
      </c>
      <c r="H579" s="14">
        <f t="shared" si="8"/>
        <v>0</v>
      </c>
    </row>
    <row r="580" spans="1:8" x14ac:dyDescent="0.35">
      <c r="A580" s="24" t="s">
        <v>286</v>
      </c>
      <c r="B580" s="29">
        <v>46280</v>
      </c>
      <c r="C580" s="24" t="s">
        <v>665</v>
      </c>
      <c r="D580" s="21">
        <v>36</v>
      </c>
      <c r="E580" s="25">
        <v>12.52</v>
      </c>
      <c r="F580" s="26">
        <v>105</v>
      </c>
      <c r="G580" s="30">
        <f>'Efectos y supuestos'!$B$9*MAX(0,D580-'Efectos y supuestos'!$B$10)/30</f>
        <v>0</v>
      </c>
      <c r="H580" s="14">
        <f t="shared" si="8"/>
        <v>0</v>
      </c>
    </row>
    <row r="581" spans="1:8" x14ac:dyDescent="0.35">
      <c r="A581" s="24" t="s">
        <v>287</v>
      </c>
      <c r="B581" s="29">
        <v>46218</v>
      </c>
      <c r="C581" s="24" t="s">
        <v>665</v>
      </c>
      <c r="D581" s="21">
        <v>98</v>
      </c>
      <c r="E581" s="25">
        <v>9.2200000000000006</v>
      </c>
      <c r="F581" s="26">
        <v>105</v>
      </c>
      <c r="G581" s="30">
        <f>'Efectos y supuestos'!$B$9*MAX(0,D581-'Efectos y supuestos'!$B$10)/30</f>
        <v>-3.8933333333333333E-3</v>
      </c>
      <c r="H581" s="14">
        <f t="shared" si="8"/>
        <v>3.769136</v>
      </c>
    </row>
    <row r="582" spans="1:8" x14ac:dyDescent="0.35">
      <c r="A582" s="24" t="s">
        <v>288</v>
      </c>
      <c r="B582" s="29">
        <v>46218</v>
      </c>
      <c r="C582" s="24" t="s">
        <v>665</v>
      </c>
      <c r="D582" s="21">
        <v>98</v>
      </c>
      <c r="E582" s="25">
        <v>2.89</v>
      </c>
      <c r="F582" s="26">
        <v>105</v>
      </c>
      <c r="G582" s="30">
        <f>'Efectos y supuestos'!$B$9*MAX(0,D582-'Efectos y supuestos'!$B$10)/30</f>
        <v>-3.8933333333333333E-3</v>
      </c>
      <c r="H582" s="14">
        <f t="shared" si="8"/>
        <v>1.181432</v>
      </c>
    </row>
    <row r="583" spans="1:8" x14ac:dyDescent="0.35">
      <c r="A583" s="24" t="s">
        <v>289</v>
      </c>
      <c r="B583" s="29">
        <v>46312</v>
      </c>
      <c r="C583" s="24" t="s">
        <v>665</v>
      </c>
      <c r="D583" s="21">
        <v>4</v>
      </c>
      <c r="E583" s="25">
        <v>3.09</v>
      </c>
      <c r="F583" s="26">
        <v>106.4</v>
      </c>
      <c r="G583" s="30">
        <f>'Efectos y supuestos'!$B$9*MAX(0,D583-'Efectos y supuestos'!$B$10)/30</f>
        <v>0</v>
      </c>
      <c r="H583" s="14">
        <f t="shared" ref="H583:H646" si="9">-G583*F583*E583</f>
        <v>0</v>
      </c>
    </row>
    <row r="584" spans="1:8" x14ac:dyDescent="0.35">
      <c r="A584" s="24" t="s">
        <v>290</v>
      </c>
      <c r="B584" s="29">
        <v>46188</v>
      </c>
      <c r="C584" s="24" t="s">
        <v>647</v>
      </c>
      <c r="D584" s="21">
        <v>110</v>
      </c>
      <c r="E584" s="25">
        <v>5.56</v>
      </c>
      <c r="F584" s="26">
        <v>93.2</v>
      </c>
      <c r="G584" s="30">
        <f>'Efectos y supuestos'!$B$9*MAX(0,D584-'Efectos y supuestos'!$B$10)/30</f>
        <v>-9.7333333333333334E-3</v>
      </c>
      <c r="H584" s="14">
        <f t="shared" si="9"/>
        <v>5.0437354666666661</v>
      </c>
    </row>
    <row r="585" spans="1:8" x14ac:dyDescent="0.35">
      <c r="A585" s="24" t="s">
        <v>291</v>
      </c>
      <c r="B585" s="29">
        <v>46280</v>
      </c>
      <c r="C585" s="24" t="s">
        <v>665</v>
      </c>
      <c r="D585" s="21">
        <v>36</v>
      </c>
      <c r="E585" s="25">
        <v>11.97</v>
      </c>
      <c r="F585" s="26">
        <v>105</v>
      </c>
      <c r="G585" s="30">
        <f>'Efectos y supuestos'!$B$9*MAX(0,D585-'Efectos y supuestos'!$B$10)/30</f>
        <v>0</v>
      </c>
      <c r="H585" s="14">
        <f t="shared" si="9"/>
        <v>0</v>
      </c>
    </row>
    <row r="586" spans="1:8" x14ac:dyDescent="0.35">
      <c r="A586" s="24" t="s">
        <v>529</v>
      </c>
      <c r="B586" s="29">
        <v>45976</v>
      </c>
      <c r="C586" s="24" t="s">
        <v>647</v>
      </c>
      <c r="D586" s="21">
        <v>67</v>
      </c>
      <c r="E586" s="25">
        <v>11.08</v>
      </c>
      <c r="F586" s="26">
        <v>115.3</v>
      </c>
      <c r="G586" s="30">
        <f>'Efectos y supuestos'!$B$9*MAX(0,D586-'Efectos y supuestos'!$B$10)/30</f>
        <v>0</v>
      </c>
      <c r="H586" s="14">
        <f t="shared" si="9"/>
        <v>0</v>
      </c>
    </row>
    <row r="587" spans="1:8" x14ac:dyDescent="0.35">
      <c r="A587" s="24" t="s">
        <v>292</v>
      </c>
      <c r="B587" s="29">
        <v>46280</v>
      </c>
      <c r="C587" s="24" t="s">
        <v>665</v>
      </c>
      <c r="D587" s="21">
        <v>36</v>
      </c>
      <c r="E587" s="25">
        <v>5.34</v>
      </c>
      <c r="F587" s="26">
        <v>105</v>
      </c>
      <c r="G587" s="30">
        <f>'Efectos y supuestos'!$B$9*MAX(0,D587-'Efectos y supuestos'!$B$10)/30</f>
        <v>0</v>
      </c>
      <c r="H587" s="14">
        <f t="shared" si="9"/>
        <v>0</v>
      </c>
    </row>
    <row r="588" spans="1:8" x14ac:dyDescent="0.35">
      <c r="A588" s="24" t="s">
        <v>397</v>
      </c>
      <c r="B588" s="29">
        <v>46310</v>
      </c>
      <c r="C588" s="24" t="s">
        <v>665</v>
      </c>
      <c r="D588" s="21">
        <v>6</v>
      </c>
      <c r="E588" s="25">
        <v>3.93</v>
      </c>
      <c r="F588" s="26">
        <v>105</v>
      </c>
      <c r="G588" s="30">
        <f>'Efectos y supuestos'!$B$9*MAX(0,D588-'Efectos y supuestos'!$B$10)/30</f>
        <v>0</v>
      </c>
      <c r="H588" s="14">
        <f t="shared" si="9"/>
        <v>0</v>
      </c>
    </row>
    <row r="589" spans="1:8" x14ac:dyDescent="0.35">
      <c r="A589" s="24" t="s">
        <v>426</v>
      </c>
      <c r="B589" s="29">
        <v>46188</v>
      </c>
      <c r="C589" s="24" t="s">
        <v>647</v>
      </c>
      <c r="D589" s="21">
        <v>73</v>
      </c>
      <c r="E589" s="25">
        <v>5.33</v>
      </c>
      <c r="F589" s="26">
        <v>108</v>
      </c>
      <c r="G589" s="30">
        <f>'Efectos y supuestos'!$B$9*MAX(0,D589-'Efectos y supuestos'!$B$10)/30</f>
        <v>0</v>
      </c>
      <c r="H589" s="14">
        <f t="shared" si="9"/>
        <v>0</v>
      </c>
    </row>
    <row r="590" spans="1:8" x14ac:dyDescent="0.35">
      <c r="A590" s="24" t="s">
        <v>557</v>
      </c>
      <c r="B590" s="29">
        <v>45976</v>
      </c>
      <c r="C590" s="24" t="s">
        <v>648</v>
      </c>
      <c r="D590" s="21">
        <v>76</v>
      </c>
      <c r="E590" s="25">
        <v>8.07</v>
      </c>
      <c r="F590" s="26">
        <v>73.599999999999994</v>
      </c>
      <c r="G590" s="30">
        <f>'Efectos y supuestos'!$B$9*MAX(0,D590-'Efectos y supuestos'!$B$10)/30</f>
        <v>0</v>
      </c>
      <c r="H590" s="14">
        <f t="shared" si="9"/>
        <v>0</v>
      </c>
    </row>
    <row r="591" spans="1:8" x14ac:dyDescent="0.35">
      <c r="A591" s="24" t="s">
        <v>293</v>
      </c>
      <c r="B591" s="29">
        <v>46188</v>
      </c>
      <c r="C591" s="24" t="s">
        <v>647</v>
      </c>
      <c r="D591" s="21">
        <v>74</v>
      </c>
      <c r="E591" s="25">
        <v>3.17</v>
      </c>
      <c r="F591" s="26">
        <v>105</v>
      </c>
      <c r="G591" s="30">
        <f>'Efectos y supuestos'!$B$9*MAX(0,D591-'Efectos y supuestos'!$B$10)/30</f>
        <v>0</v>
      </c>
      <c r="H591" s="14">
        <f t="shared" si="9"/>
        <v>0</v>
      </c>
    </row>
    <row r="592" spans="1:8" x14ac:dyDescent="0.35">
      <c r="A592" s="24" t="s">
        <v>294</v>
      </c>
      <c r="B592" s="29">
        <v>46157</v>
      </c>
      <c r="C592" s="24" t="s">
        <v>647</v>
      </c>
      <c r="D592" s="21">
        <v>137</v>
      </c>
      <c r="E592" s="25">
        <v>4.46</v>
      </c>
      <c r="F592" s="26">
        <v>101.9</v>
      </c>
      <c r="G592" s="30">
        <f>'Efectos y supuestos'!$B$9*MAX(0,D592-'Efectos y supuestos'!$B$10)/30</f>
        <v>-2.2873333333333336E-2</v>
      </c>
      <c r="H592" s="14">
        <f t="shared" si="9"/>
        <v>10.395335293333334</v>
      </c>
    </row>
    <row r="593" spans="1:8" x14ac:dyDescent="0.35">
      <c r="A593" s="24" t="s">
        <v>398</v>
      </c>
      <c r="B593" s="29">
        <v>46280</v>
      </c>
      <c r="C593" s="24" t="s">
        <v>665</v>
      </c>
      <c r="D593" s="21">
        <v>36</v>
      </c>
      <c r="E593" s="25">
        <v>5.92</v>
      </c>
      <c r="F593" s="26">
        <v>105</v>
      </c>
      <c r="G593" s="30">
        <f>'Efectos y supuestos'!$B$9*MAX(0,D593-'Efectos y supuestos'!$B$10)/30</f>
        <v>0</v>
      </c>
      <c r="H593" s="14">
        <f t="shared" si="9"/>
        <v>0</v>
      </c>
    </row>
    <row r="594" spans="1:8" x14ac:dyDescent="0.35">
      <c r="A594" s="24" t="s">
        <v>295</v>
      </c>
      <c r="B594" s="29">
        <v>46188</v>
      </c>
      <c r="C594" s="24" t="s">
        <v>647</v>
      </c>
      <c r="D594" s="21">
        <v>85</v>
      </c>
      <c r="E594" s="25">
        <v>4.17</v>
      </c>
      <c r="F594" s="26">
        <v>105</v>
      </c>
      <c r="G594" s="30">
        <f>'Efectos y supuestos'!$B$9*MAX(0,D594-'Efectos y supuestos'!$B$10)/30</f>
        <v>0</v>
      </c>
      <c r="H594" s="14">
        <f t="shared" si="9"/>
        <v>0</v>
      </c>
    </row>
    <row r="595" spans="1:8" x14ac:dyDescent="0.35">
      <c r="A595" s="24" t="s">
        <v>296</v>
      </c>
      <c r="B595" s="29">
        <v>46188</v>
      </c>
      <c r="C595" s="24" t="s">
        <v>647</v>
      </c>
      <c r="D595" s="21">
        <v>85</v>
      </c>
      <c r="E595" s="25">
        <v>2.14</v>
      </c>
      <c r="F595" s="26">
        <v>118.7</v>
      </c>
      <c r="G595" s="30">
        <f>'Efectos y supuestos'!$B$9*MAX(0,D595-'Efectos y supuestos'!$B$10)/30</f>
        <v>0</v>
      </c>
      <c r="H595" s="14">
        <f t="shared" si="9"/>
        <v>0</v>
      </c>
    </row>
    <row r="596" spans="1:8" x14ac:dyDescent="0.35">
      <c r="A596" s="24" t="s">
        <v>297</v>
      </c>
      <c r="B596" s="29">
        <v>46188</v>
      </c>
      <c r="C596" s="24" t="s">
        <v>665</v>
      </c>
      <c r="D596" s="21">
        <v>128</v>
      </c>
      <c r="E596" s="25">
        <v>3.88</v>
      </c>
      <c r="F596" s="26">
        <v>105</v>
      </c>
      <c r="G596" s="30">
        <f>'Efectos y supuestos'!$B$9*MAX(0,D596-'Efectos y supuestos'!$B$10)/30</f>
        <v>-1.849333333333333E-2</v>
      </c>
      <c r="H596" s="14">
        <f t="shared" si="9"/>
        <v>7.5341839999999989</v>
      </c>
    </row>
    <row r="597" spans="1:8" x14ac:dyDescent="0.35">
      <c r="A597" s="24" t="s">
        <v>530</v>
      </c>
      <c r="B597" s="29">
        <v>45976</v>
      </c>
      <c r="C597" s="24" t="s">
        <v>648</v>
      </c>
      <c r="D597" s="21">
        <v>76</v>
      </c>
      <c r="E597" s="25">
        <v>7.65</v>
      </c>
      <c r="F597" s="26">
        <v>97.6</v>
      </c>
      <c r="G597" s="30">
        <f>'Efectos y supuestos'!$B$9*MAX(0,D597-'Efectos y supuestos'!$B$10)/30</f>
        <v>0</v>
      </c>
      <c r="H597" s="14">
        <f t="shared" si="9"/>
        <v>0</v>
      </c>
    </row>
    <row r="598" spans="1:8" x14ac:dyDescent="0.35">
      <c r="A598" s="24" t="s">
        <v>399</v>
      </c>
      <c r="B598" s="29">
        <v>46310</v>
      </c>
      <c r="C598" s="24" t="s">
        <v>665</v>
      </c>
      <c r="D598" s="21">
        <v>6</v>
      </c>
      <c r="E598" s="25">
        <v>2.35</v>
      </c>
      <c r="F598" s="26">
        <v>105</v>
      </c>
      <c r="G598" s="30">
        <f>'Efectos y supuestos'!$B$9*MAX(0,D598-'Efectos y supuestos'!$B$10)/30</f>
        <v>0</v>
      </c>
      <c r="H598" s="14">
        <f t="shared" si="9"/>
        <v>0</v>
      </c>
    </row>
    <row r="599" spans="1:8" x14ac:dyDescent="0.35">
      <c r="A599" s="24" t="s">
        <v>132</v>
      </c>
      <c r="B599" s="29">
        <v>46006</v>
      </c>
      <c r="C599" s="24" t="s">
        <v>648</v>
      </c>
      <c r="D599" s="21">
        <v>74</v>
      </c>
      <c r="E599" s="25">
        <v>4.96</v>
      </c>
      <c r="F599" s="26">
        <v>72.099999999999994</v>
      </c>
      <c r="G599" s="30">
        <f>'Efectos y supuestos'!$B$9*MAX(0,D599-'Efectos y supuestos'!$B$10)/30</f>
        <v>0</v>
      </c>
      <c r="H599" s="14">
        <f t="shared" si="9"/>
        <v>0</v>
      </c>
    </row>
    <row r="600" spans="1:8" x14ac:dyDescent="0.35">
      <c r="A600" s="24" t="s">
        <v>298</v>
      </c>
      <c r="B600" s="29">
        <v>46280</v>
      </c>
      <c r="C600" s="24" t="s">
        <v>665</v>
      </c>
      <c r="D600" s="21">
        <v>36</v>
      </c>
      <c r="E600" s="25">
        <v>6.37</v>
      </c>
      <c r="F600" s="26">
        <v>105</v>
      </c>
      <c r="G600" s="30">
        <f>'Efectos y supuestos'!$B$9*MAX(0,D600-'Efectos y supuestos'!$B$10)/30</f>
        <v>0</v>
      </c>
      <c r="H600" s="14">
        <f t="shared" si="9"/>
        <v>0</v>
      </c>
    </row>
    <row r="601" spans="1:8" x14ac:dyDescent="0.35">
      <c r="A601" s="24" t="s">
        <v>400</v>
      </c>
      <c r="B601" s="29">
        <v>46301</v>
      </c>
      <c r="C601" s="24" t="s">
        <v>665</v>
      </c>
      <c r="D601" s="21">
        <v>15</v>
      </c>
      <c r="E601" s="25">
        <v>3.35</v>
      </c>
      <c r="F601" s="26">
        <v>105</v>
      </c>
      <c r="G601" s="30">
        <f>'Efectos y supuestos'!$B$9*MAX(0,D601-'Efectos y supuestos'!$B$10)/30</f>
        <v>0</v>
      </c>
      <c r="H601" s="14">
        <f t="shared" si="9"/>
        <v>0</v>
      </c>
    </row>
    <row r="602" spans="1:8" x14ac:dyDescent="0.35">
      <c r="A602" s="24" t="s">
        <v>531</v>
      </c>
      <c r="B602" s="29">
        <v>45976</v>
      </c>
      <c r="C602" s="24" t="s">
        <v>648</v>
      </c>
      <c r="D602" s="21">
        <v>104</v>
      </c>
      <c r="E602" s="25">
        <v>4.57</v>
      </c>
      <c r="F602" s="26">
        <v>89.6</v>
      </c>
      <c r="G602" s="30">
        <f>'Efectos y supuestos'!$B$9*MAX(0,D602-'Efectos y supuestos'!$B$10)/30</f>
        <v>-6.8133333333333336E-3</v>
      </c>
      <c r="H602" s="14">
        <f t="shared" si="9"/>
        <v>2.7898692266666667</v>
      </c>
    </row>
    <row r="603" spans="1:8" x14ac:dyDescent="0.35">
      <c r="A603" s="24" t="s">
        <v>401</v>
      </c>
      <c r="B603" s="29">
        <v>46280</v>
      </c>
      <c r="C603" s="24" t="s">
        <v>665</v>
      </c>
      <c r="D603" s="21">
        <v>36</v>
      </c>
      <c r="E603" s="25">
        <v>6.5</v>
      </c>
      <c r="F603" s="26">
        <v>105</v>
      </c>
      <c r="G603" s="30">
        <f>'Efectos y supuestos'!$B$9*MAX(0,D603-'Efectos y supuestos'!$B$10)/30</f>
        <v>0</v>
      </c>
      <c r="H603" s="14">
        <f t="shared" si="9"/>
        <v>0</v>
      </c>
    </row>
    <row r="604" spans="1:8" x14ac:dyDescent="0.35">
      <c r="A604" s="24" t="s">
        <v>299</v>
      </c>
      <c r="B604" s="29">
        <v>46096</v>
      </c>
      <c r="C604" s="24" t="s">
        <v>648</v>
      </c>
      <c r="D604" s="21">
        <v>60</v>
      </c>
      <c r="E604" s="25">
        <v>8.57</v>
      </c>
      <c r="F604" s="26">
        <v>100</v>
      </c>
      <c r="G604" s="30">
        <f>'Efectos y supuestos'!$B$9*MAX(0,D604-'Efectos y supuestos'!$B$10)/30</f>
        <v>0</v>
      </c>
      <c r="H604" s="14">
        <f t="shared" si="9"/>
        <v>0</v>
      </c>
    </row>
    <row r="605" spans="1:8" x14ac:dyDescent="0.35">
      <c r="A605" s="24" t="s">
        <v>302</v>
      </c>
      <c r="B605" s="29">
        <v>46188</v>
      </c>
      <c r="C605" s="24" t="s">
        <v>647</v>
      </c>
      <c r="D605" s="21">
        <v>113</v>
      </c>
      <c r="E605" s="25">
        <v>4.0199999999999996</v>
      </c>
      <c r="F605" s="26">
        <v>111.1</v>
      </c>
      <c r="G605" s="30">
        <f>'Efectos y supuestos'!$B$9*MAX(0,D605-'Efectos y supuestos'!$B$10)/30</f>
        <v>-1.1193333333333333E-2</v>
      </c>
      <c r="H605" s="14">
        <f t="shared" si="9"/>
        <v>4.999188919999999</v>
      </c>
    </row>
    <row r="606" spans="1:8" x14ac:dyDescent="0.35">
      <c r="A606" s="24" t="s">
        <v>303</v>
      </c>
      <c r="B606" s="29">
        <v>46096</v>
      </c>
      <c r="C606" s="24" t="s">
        <v>648</v>
      </c>
      <c r="D606" s="21">
        <v>116</v>
      </c>
      <c r="E606" s="25">
        <v>8.85</v>
      </c>
      <c r="F606" s="26">
        <v>91.8</v>
      </c>
      <c r="G606" s="30">
        <f>'Efectos y supuestos'!$B$9*MAX(0,D606-'Efectos y supuestos'!$B$10)/30</f>
        <v>-1.2653333333333332E-2</v>
      </c>
      <c r="H606" s="14">
        <f t="shared" si="9"/>
        <v>10.2799476</v>
      </c>
    </row>
    <row r="607" spans="1:8" x14ac:dyDescent="0.35">
      <c r="A607" s="24" t="s">
        <v>428</v>
      </c>
      <c r="B607" s="29">
        <v>46249</v>
      </c>
      <c r="C607" s="24" t="s">
        <v>665</v>
      </c>
      <c r="D607" s="21">
        <v>67</v>
      </c>
      <c r="E607" s="25">
        <v>1.32</v>
      </c>
      <c r="F607" s="26">
        <v>105</v>
      </c>
      <c r="G607" s="30">
        <f>'Efectos y supuestos'!$B$9*MAX(0,D607-'Efectos y supuestos'!$B$10)/30</f>
        <v>0</v>
      </c>
      <c r="H607" s="14">
        <f t="shared" si="9"/>
        <v>0</v>
      </c>
    </row>
    <row r="608" spans="1:8" x14ac:dyDescent="0.35">
      <c r="A608" s="24" t="s">
        <v>429</v>
      </c>
      <c r="B608" s="29">
        <v>46249</v>
      </c>
      <c r="C608" s="24" t="s">
        <v>665</v>
      </c>
      <c r="D608" s="21">
        <v>67</v>
      </c>
      <c r="E608" s="25">
        <v>1.19</v>
      </c>
      <c r="F608" s="26">
        <v>105</v>
      </c>
      <c r="G608" s="30">
        <f>'Efectos y supuestos'!$B$9*MAX(0,D608-'Efectos y supuestos'!$B$10)/30</f>
        <v>0</v>
      </c>
      <c r="H608" s="14">
        <f t="shared" si="9"/>
        <v>0</v>
      </c>
    </row>
    <row r="609" spans="1:8" x14ac:dyDescent="0.35">
      <c r="A609" s="24" t="s">
        <v>304</v>
      </c>
      <c r="B609" s="29">
        <v>46188</v>
      </c>
      <c r="C609" s="24" t="s">
        <v>665</v>
      </c>
      <c r="D609" s="21">
        <v>128</v>
      </c>
      <c r="E609" s="25">
        <v>8.9600000000000009</v>
      </c>
      <c r="F609" s="26">
        <v>105</v>
      </c>
      <c r="G609" s="30">
        <f>'Efectos y supuestos'!$B$9*MAX(0,D609-'Efectos y supuestos'!$B$10)/30</f>
        <v>-1.849333333333333E-2</v>
      </c>
      <c r="H609" s="14">
        <f t="shared" si="9"/>
        <v>17.398527999999999</v>
      </c>
    </row>
    <row r="610" spans="1:8" x14ac:dyDescent="0.35">
      <c r="A610" s="24" t="s">
        <v>532</v>
      </c>
      <c r="B610" s="29">
        <v>45976</v>
      </c>
      <c r="C610" s="24" t="s">
        <v>648</v>
      </c>
      <c r="D610" s="21">
        <v>76</v>
      </c>
      <c r="E610" s="25">
        <v>18.73</v>
      </c>
      <c r="F610" s="26">
        <v>95.5</v>
      </c>
      <c r="G610" s="30">
        <f>'Efectos y supuestos'!$B$9*MAX(0,D610-'Efectos y supuestos'!$B$10)/30</f>
        <v>0</v>
      </c>
      <c r="H610" s="14">
        <f t="shared" si="9"/>
        <v>0</v>
      </c>
    </row>
    <row r="611" spans="1:8" x14ac:dyDescent="0.35">
      <c r="A611" s="24" t="s">
        <v>305</v>
      </c>
      <c r="B611" s="29">
        <v>46188</v>
      </c>
      <c r="C611" s="24" t="s">
        <v>647</v>
      </c>
      <c r="D611" s="21">
        <v>112</v>
      </c>
      <c r="E611" s="25">
        <v>5.93</v>
      </c>
      <c r="F611" s="26">
        <v>111.9</v>
      </c>
      <c r="G611" s="30">
        <f>'Efectos y supuestos'!$B$9*MAX(0,D611-'Efectos y supuestos'!$B$10)/30</f>
        <v>-1.0706666666666666E-2</v>
      </c>
      <c r="H611" s="14">
        <f t="shared" si="9"/>
        <v>7.1045906800000003</v>
      </c>
    </row>
    <row r="612" spans="1:8" x14ac:dyDescent="0.35">
      <c r="A612" s="24" t="s">
        <v>631</v>
      </c>
      <c r="B612" s="29">
        <v>46305</v>
      </c>
      <c r="C612" s="24" t="s">
        <v>665</v>
      </c>
      <c r="D612" s="21">
        <v>11</v>
      </c>
      <c r="E612" s="25">
        <v>14.47</v>
      </c>
      <c r="F612" s="26">
        <v>105</v>
      </c>
      <c r="G612" s="30">
        <f>'Efectos y supuestos'!$B$9*MAX(0,D612-'Efectos y supuestos'!$B$10)/30</f>
        <v>0</v>
      </c>
      <c r="H612" s="14">
        <f t="shared" si="9"/>
        <v>0</v>
      </c>
    </row>
    <row r="613" spans="1:8" x14ac:dyDescent="0.35">
      <c r="A613" s="24" t="s">
        <v>306</v>
      </c>
      <c r="B613" s="29">
        <v>46314</v>
      </c>
      <c r="C613" s="24" t="s">
        <v>665</v>
      </c>
      <c r="D613" s="21">
        <v>2</v>
      </c>
      <c r="E613" s="25">
        <v>18.489999999999998</v>
      </c>
      <c r="F613" s="26">
        <v>122.3</v>
      </c>
      <c r="G613" s="30">
        <f>'Efectos y supuestos'!$B$9*MAX(0,D613-'Efectos y supuestos'!$B$10)/30</f>
        <v>0</v>
      </c>
      <c r="H613" s="14">
        <f t="shared" si="9"/>
        <v>0</v>
      </c>
    </row>
    <row r="614" spans="1:8" x14ac:dyDescent="0.35">
      <c r="A614" s="24" t="s">
        <v>307</v>
      </c>
      <c r="B614" s="29">
        <v>46280</v>
      </c>
      <c r="C614" s="24" t="s">
        <v>665</v>
      </c>
      <c r="D614" s="21">
        <v>36</v>
      </c>
      <c r="E614" s="25">
        <v>18.63</v>
      </c>
      <c r="F614" s="26">
        <v>105</v>
      </c>
      <c r="G614" s="30">
        <f>'Efectos y supuestos'!$B$9*MAX(0,D614-'Efectos y supuestos'!$B$10)/30</f>
        <v>0</v>
      </c>
      <c r="H614" s="14">
        <f t="shared" si="9"/>
        <v>0</v>
      </c>
    </row>
    <row r="615" spans="1:8" x14ac:dyDescent="0.35">
      <c r="A615" s="24" t="s">
        <v>309</v>
      </c>
      <c r="B615" s="29">
        <v>46218</v>
      </c>
      <c r="C615" s="24" t="s">
        <v>665</v>
      </c>
      <c r="D615" s="21">
        <v>98</v>
      </c>
      <c r="E615" s="25">
        <v>4.59</v>
      </c>
      <c r="F615" s="26">
        <v>105</v>
      </c>
      <c r="G615" s="30">
        <f>'Efectos y supuestos'!$B$9*MAX(0,D615-'Efectos y supuestos'!$B$10)/30</f>
        <v>-3.8933333333333333E-3</v>
      </c>
      <c r="H615" s="14">
        <f t="shared" si="9"/>
        <v>1.8763919999999998</v>
      </c>
    </row>
    <row r="616" spans="1:8" x14ac:dyDescent="0.35">
      <c r="A616" s="24" t="s">
        <v>558</v>
      </c>
      <c r="B616" s="29">
        <v>45976</v>
      </c>
      <c r="C616" s="24" t="s">
        <v>648</v>
      </c>
      <c r="D616" s="21">
        <v>96</v>
      </c>
      <c r="E616" s="25">
        <v>13.73</v>
      </c>
      <c r="F616" s="26">
        <v>122.1</v>
      </c>
      <c r="G616" s="30">
        <f>'Efectos y supuestos'!$B$9*MAX(0,D616-'Efectos y supuestos'!$B$10)/30</f>
        <v>-2.9199999999999999E-3</v>
      </c>
      <c r="H616" s="14">
        <f t="shared" si="9"/>
        <v>4.89518436</v>
      </c>
    </row>
    <row r="617" spans="1:8" x14ac:dyDescent="0.35">
      <c r="A617" s="24" t="s">
        <v>102</v>
      </c>
      <c r="B617" s="29">
        <v>46280</v>
      </c>
      <c r="C617" s="24" t="s">
        <v>665</v>
      </c>
      <c r="D617" s="21">
        <v>36</v>
      </c>
      <c r="E617" s="25">
        <v>4.75</v>
      </c>
      <c r="F617" s="26">
        <v>105</v>
      </c>
      <c r="G617" s="30">
        <f>'Efectos y supuestos'!$B$9*MAX(0,D617-'Efectos y supuestos'!$B$10)/30</f>
        <v>0</v>
      </c>
      <c r="H617" s="14">
        <f t="shared" si="9"/>
        <v>0</v>
      </c>
    </row>
    <row r="618" spans="1:8" x14ac:dyDescent="0.35">
      <c r="A618" s="24" t="s">
        <v>310</v>
      </c>
      <c r="B618" s="29">
        <v>46157</v>
      </c>
      <c r="C618" s="24" t="s">
        <v>647</v>
      </c>
      <c r="D618" s="21">
        <v>112</v>
      </c>
      <c r="E618" s="25">
        <v>8.81</v>
      </c>
      <c r="F618" s="26">
        <v>89.3</v>
      </c>
      <c r="G618" s="30">
        <f>'Efectos y supuestos'!$B$9*MAX(0,D618-'Efectos y supuestos'!$B$10)/30</f>
        <v>-1.0706666666666666E-2</v>
      </c>
      <c r="H618" s="14">
        <f t="shared" si="9"/>
        <v>8.4232879866666668</v>
      </c>
    </row>
    <row r="619" spans="1:8" x14ac:dyDescent="0.35">
      <c r="A619" s="24" t="s">
        <v>311</v>
      </c>
      <c r="B619" s="29">
        <v>46157</v>
      </c>
      <c r="C619" s="24" t="s">
        <v>647</v>
      </c>
      <c r="D619" s="21">
        <v>109</v>
      </c>
      <c r="E619" s="25">
        <v>11.25</v>
      </c>
      <c r="F619" s="26">
        <v>95</v>
      </c>
      <c r="G619" s="30">
        <f>'Efectos y supuestos'!$B$9*MAX(0,D619-'Efectos y supuestos'!$B$10)/30</f>
        <v>-9.2466666666666652E-3</v>
      </c>
      <c r="H619" s="14">
        <f t="shared" si="9"/>
        <v>9.8823749999999979</v>
      </c>
    </row>
    <row r="620" spans="1:8" x14ac:dyDescent="0.35">
      <c r="A620" s="24" t="s">
        <v>430</v>
      </c>
      <c r="B620" s="29">
        <v>46188</v>
      </c>
      <c r="C620" s="24" t="s">
        <v>647</v>
      </c>
      <c r="D620" s="21">
        <v>103</v>
      </c>
      <c r="E620" s="25">
        <v>15.59</v>
      </c>
      <c r="F620" s="26">
        <v>105</v>
      </c>
      <c r="G620" s="30">
        <f>'Efectos y supuestos'!$B$9*MAX(0,D620-'Efectos y supuestos'!$B$10)/30</f>
        <v>-6.3266666666666662E-3</v>
      </c>
      <c r="H620" s="14">
        <f t="shared" si="9"/>
        <v>10.356437</v>
      </c>
    </row>
    <row r="621" spans="1:8" x14ac:dyDescent="0.35">
      <c r="A621" s="24" t="s">
        <v>312</v>
      </c>
      <c r="B621" s="29">
        <v>46218</v>
      </c>
      <c r="C621" s="24" t="s">
        <v>665</v>
      </c>
      <c r="D621" s="21">
        <v>98</v>
      </c>
      <c r="E621" s="25">
        <v>15.8</v>
      </c>
      <c r="F621" s="26">
        <v>105</v>
      </c>
      <c r="G621" s="30">
        <f>'Efectos y supuestos'!$B$9*MAX(0,D621-'Efectos y supuestos'!$B$10)/30</f>
        <v>-3.8933333333333333E-3</v>
      </c>
      <c r="H621" s="14">
        <f t="shared" si="9"/>
        <v>6.4590399999999999</v>
      </c>
    </row>
    <row r="622" spans="1:8" x14ac:dyDescent="0.35">
      <c r="A622" s="24" t="s">
        <v>314</v>
      </c>
      <c r="B622" s="29">
        <v>46280</v>
      </c>
      <c r="C622" s="24" t="s">
        <v>665</v>
      </c>
      <c r="D622" s="21">
        <v>36</v>
      </c>
      <c r="E622" s="25">
        <v>3.06</v>
      </c>
      <c r="F622" s="26">
        <v>105</v>
      </c>
      <c r="G622" s="30">
        <f>'Efectos y supuestos'!$B$9*MAX(0,D622-'Efectos y supuestos'!$B$10)/30</f>
        <v>0</v>
      </c>
      <c r="H622" s="14">
        <f t="shared" si="9"/>
        <v>0</v>
      </c>
    </row>
    <row r="623" spans="1:8" x14ac:dyDescent="0.35">
      <c r="A623" s="24" t="s">
        <v>431</v>
      </c>
      <c r="B623" s="29">
        <v>46188</v>
      </c>
      <c r="C623" s="24" t="s">
        <v>647</v>
      </c>
      <c r="D623" s="21">
        <v>96</v>
      </c>
      <c r="E623" s="25">
        <v>6.03</v>
      </c>
      <c r="F623" s="26">
        <v>105</v>
      </c>
      <c r="G623" s="30">
        <f>'Efectos y supuestos'!$B$9*MAX(0,D623-'Efectos y supuestos'!$B$10)/30</f>
        <v>-2.9199999999999999E-3</v>
      </c>
      <c r="H623" s="14">
        <f t="shared" si="9"/>
        <v>1.8487979999999999</v>
      </c>
    </row>
    <row r="624" spans="1:8" x14ac:dyDescent="0.35">
      <c r="A624" s="24" t="s">
        <v>533</v>
      </c>
      <c r="B624" s="29">
        <v>46280</v>
      </c>
      <c r="C624" s="24" t="s">
        <v>665</v>
      </c>
      <c r="D624" s="21">
        <v>36</v>
      </c>
      <c r="E624" s="25">
        <v>14.37</v>
      </c>
      <c r="F624" s="26">
        <v>105</v>
      </c>
      <c r="G624" s="30">
        <f>'Efectos y supuestos'!$B$9*MAX(0,D624-'Efectos y supuestos'!$B$10)/30</f>
        <v>0</v>
      </c>
      <c r="H624" s="14">
        <f t="shared" si="9"/>
        <v>0</v>
      </c>
    </row>
    <row r="625" spans="1:8" x14ac:dyDescent="0.35">
      <c r="A625" s="24" t="s">
        <v>534</v>
      </c>
      <c r="B625" s="29">
        <v>46006</v>
      </c>
      <c r="C625" s="24" t="s">
        <v>648</v>
      </c>
      <c r="D625" s="21">
        <v>105</v>
      </c>
      <c r="E625" s="25">
        <v>5.05</v>
      </c>
      <c r="F625" s="26">
        <v>97</v>
      </c>
      <c r="G625" s="30">
        <f>'Efectos y supuestos'!$B$9*MAX(0,D625-'Efectos y supuestos'!$B$10)/30</f>
        <v>-7.3000000000000001E-3</v>
      </c>
      <c r="H625" s="14">
        <f t="shared" si="9"/>
        <v>3.5759049999999997</v>
      </c>
    </row>
    <row r="626" spans="1:8" x14ac:dyDescent="0.35">
      <c r="A626" s="24" t="s">
        <v>402</v>
      </c>
      <c r="B626" s="29">
        <v>46280</v>
      </c>
      <c r="C626" s="24" t="s">
        <v>665</v>
      </c>
      <c r="D626" s="21">
        <v>36</v>
      </c>
      <c r="E626" s="25">
        <v>17.62</v>
      </c>
      <c r="F626" s="26">
        <v>105</v>
      </c>
      <c r="G626" s="30">
        <f>'Efectos y supuestos'!$B$9*MAX(0,D626-'Efectos y supuestos'!$B$10)/30</f>
        <v>0</v>
      </c>
      <c r="H626" s="14">
        <f t="shared" si="9"/>
        <v>0</v>
      </c>
    </row>
    <row r="627" spans="1:8" x14ac:dyDescent="0.35">
      <c r="A627" s="24" t="s">
        <v>535</v>
      </c>
      <c r="B627" s="29">
        <v>46127</v>
      </c>
      <c r="C627" s="24" t="s">
        <v>648</v>
      </c>
      <c r="D627" s="21">
        <v>12</v>
      </c>
      <c r="E627" s="25">
        <v>8.69</v>
      </c>
      <c r="F627" s="26">
        <v>108.5</v>
      </c>
      <c r="G627" s="30">
        <f>'Efectos y supuestos'!$B$9*MAX(0,D627-'Efectos y supuestos'!$B$10)/30</f>
        <v>0</v>
      </c>
      <c r="H627" s="14">
        <f t="shared" si="9"/>
        <v>0</v>
      </c>
    </row>
    <row r="628" spans="1:8" x14ac:dyDescent="0.35">
      <c r="A628" s="24" t="s">
        <v>315</v>
      </c>
      <c r="B628" s="29">
        <v>46280</v>
      </c>
      <c r="C628" s="24" t="s">
        <v>665</v>
      </c>
      <c r="D628" s="21">
        <v>36</v>
      </c>
      <c r="E628" s="25">
        <v>1.41</v>
      </c>
      <c r="F628" s="26">
        <v>105</v>
      </c>
      <c r="G628" s="30">
        <f>'Efectos y supuestos'!$B$9*MAX(0,D628-'Efectos y supuestos'!$B$10)/30</f>
        <v>0</v>
      </c>
      <c r="H628" s="14">
        <f t="shared" si="9"/>
        <v>0</v>
      </c>
    </row>
    <row r="629" spans="1:8" x14ac:dyDescent="0.35">
      <c r="A629" s="24" t="s">
        <v>578</v>
      </c>
      <c r="B629" s="29">
        <v>46249</v>
      </c>
      <c r="C629" s="24" t="s">
        <v>665</v>
      </c>
      <c r="D629" s="21">
        <v>67</v>
      </c>
      <c r="E629" s="25">
        <v>6.07</v>
      </c>
      <c r="F629" s="26">
        <v>105</v>
      </c>
      <c r="G629" s="30">
        <f>'Efectos y supuestos'!$B$9*MAX(0,D629-'Efectos y supuestos'!$B$10)/30</f>
        <v>0</v>
      </c>
      <c r="H629" s="14">
        <f t="shared" si="9"/>
        <v>0</v>
      </c>
    </row>
    <row r="630" spans="1:8" x14ac:dyDescent="0.35">
      <c r="A630" s="24" t="s">
        <v>316</v>
      </c>
      <c r="B630" s="29">
        <v>46218</v>
      </c>
      <c r="C630" s="24" t="s">
        <v>665</v>
      </c>
      <c r="D630" s="21">
        <v>98</v>
      </c>
      <c r="E630" s="25">
        <v>9.89</v>
      </c>
      <c r="F630" s="26">
        <v>105</v>
      </c>
      <c r="G630" s="30">
        <f>'Efectos y supuestos'!$B$9*MAX(0,D630-'Efectos y supuestos'!$B$10)/30</f>
        <v>-3.8933333333333333E-3</v>
      </c>
      <c r="H630" s="14">
        <f t="shared" si="9"/>
        <v>4.0430320000000002</v>
      </c>
    </row>
    <row r="631" spans="1:8" x14ac:dyDescent="0.35">
      <c r="A631" s="24" t="s">
        <v>601</v>
      </c>
      <c r="B631" s="29">
        <v>46218</v>
      </c>
      <c r="C631" s="24" t="s">
        <v>665</v>
      </c>
      <c r="D631" s="21">
        <v>98</v>
      </c>
      <c r="E631" s="25">
        <v>5.9</v>
      </c>
      <c r="F631" s="26">
        <v>105</v>
      </c>
      <c r="G631" s="30">
        <f>'Efectos y supuestos'!$B$9*MAX(0,D631-'Efectos y supuestos'!$B$10)/30</f>
        <v>-3.8933333333333333E-3</v>
      </c>
      <c r="H631" s="14">
        <f t="shared" si="9"/>
        <v>2.4119200000000003</v>
      </c>
    </row>
    <row r="632" spans="1:8" x14ac:dyDescent="0.35">
      <c r="A632" s="24" t="s">
        <v>536</v>
      </c>
      <c r="B632" s="29">
        <v>46006</v>
      </c>
      <c r="C632" s="24" t="s">
        <v>648</v>
      </c>
      <c r="D632" s="21">
        <v>88</v>
      </c>
      <c r="E632" s="25">
        <v>16.53</v>
      </c>
      <c r="F632" s="26">
        <v>95.6</v>
      </c>
      <c r="G632" s="30">
        <f>'Efectos y supuestos'!$B$9*MAX(0,D632-'Efectos y supuestos'!$B$10)/30</f>
        <v>0</v>
      </c>
      <c r="H632" s="14">
        <f t="shared" si="9"/>
        <v>0</v>
      </c>
    </row>
    <row r="633" spans="1:8" x14ac:dyDescent="0.35">
      <c r="A633" s="24" t="s">
        <v>403</v>
      </c>
      <c r="B633" s="29">
        <v>46280</v>
      </c>
      <c r="C633" s="24" t="s">
        <v>665</v>
      </c>
      <c r="D633" s="21">
        <v>36</v>
      </c>
      <c r="E633" s="25">
        <v>10.37</v>
      </c>
      <c r="F633" s="26">
        <v>105</v>
      </c>
      <c r="G633" s="30">
        <f>'Efectos y supuestos'!$B$9*MAX(0,D633-'Efectos y supuestos'!$B$10)/30</f>
        <v>0</v>
      </c>
      <c r="H633" s="14">
        <f t="shared" si="9"/>
        <v>0</v>
      </c>
    </row>
    <row r="634" spans="1:8" x14ac:dyDescent="0.35">
      <c r="A634" s="24" t="s">
        <v>537</v>
      </c>
      <c r="B634" s="29">
        <v>46006</v>
      </c>
      <c r="C634" s="24" t="s">
        <v>648</v>
      </c>
      <c r="D634" s="21">
        <v>74</v>
      </c>
      <c r="E634" s="25">
        <v>4.16</v>
      </c>
      <c r="F634" s="26">
        <v>99.7</v>
      </c>
      <c r="G634" s="30">
        <f>'Efectos y supuestos'!$B$9*MAX(0,D634-'Efectos y supuestos'!$B$10)/30</f>
        <v>0</v>
      </c>
      <c r="H634" s="14">
        <f t="shared" si="9"/>
        <v>0</v>
      </c>
    </row>
    <row r="635" spans="1:8" x14ac:dyDescent="0.35">
      <c r="A635" s="24" t="s">
        <v>317</v>
      </c>
      <c r="B635" s="29">
        <v>46218</v>
      </c>
      <c r="C635" s="24" t="s">
        <v>647</v>
      </c>
      <c r="D635" s="21">
        <v>77</v>
      </c>
      <c r="E635" s="25">
        <v>18.03</v>
      </c>
      <c r="F635" s="26">
        <v>105</v>
      </c>
      <c r="G635" s="30">
        <f>'Efectos y supuestos'!$B$9*MAX(0,D635-'Efectos y supuestos'!$B$10)/30</f>
        <v>0</v>
      </c>
      <c r="H635" s="14">
        <f t="shared" si="9"/>
        <v>0</v>
      </c>
    </row>
    <row r="636" spans="1:8" x14ac:dyDescent="0.35">
      <c r="A636" s="24" t="s">
        <v>319</v>
      </c>
      <c r="B636" s="29">
        <v>46218</v>
      </c>
      <c r="C636" s="24" t="s">
        <v>647</v>
      </c>
      <c r="D636" s="21">
        <v>79</v>
      </c>
      <c r="E636" s="25">
        <v>6.04</v>
      </c>
      <c r="F636" s="26">
        <v>105</v>
      </c>
      <c r="G636" s="30">
        <f>'Efectos y supuestos'!$B$9*MAX(0,D636-'Efectos y supuestos'!$B$10)/30</f>
        <v>0</v>
      </c>
      <c r="H636" s="14">
        <f t="shared" si="9"/>
        <v>0</v>
      </c>
    </row>
    <row r="637" spans="1:8" x14ac:dyDescent="0.35">
      <c r="A637" s="24" t="s">
        <v>320</v>
      </c>
      <c r="B637" s="29">
        <v>46249</v>
      </c>
      <c r="C637" s="24" t="s">
        <v>665</v>
      </c>
      <c r="D637" s="21">
        <v>67</v>
      </c>
      <c r="E637" s="25">
        <v>3.98</v>
      </c>
      <c r="F637" s="26">
        <v>105</v>
      </c>
      <c r="G637" s="30">
        <f>'Efectos y supuestos'!$B$9*MAX(0,D637-'Efectos y supuestos'!$B$10)/30</f>
        <v>0</v>
      </c>
      <c r="H637" s="14">
        <f t="shared" si="9"/>
        <v>0</v>
      </c>
    </row>
    <row r="638" spans="1:8" x14ac:dyDescent="0.35">
      <c r="A638" s="24" t="s">
        <v>321</v>
      </c>
      <c r="B638" s="29">
        <v>46218</v>
      </c>
      <c r="C638" s="24" t="s">
        <v>647</v>
      </c>
      <c r="D638" s="21">
        <v>77</v>
      </c>
      <c r="E638" s="25">
        <v>2.35</v>
      </c>
      <c r="F638" s="26">
        <v>105</v>
      </c>
      <c r="G638" s="30">
        <f>'Efectos y supuestos'!$B$9*MAX(0,D638-'Efectos y supuestos'!$B$10)/30</f>
        <v>0</v>
      </c>
      <c r="H638" s="14">
        <f t="shared" si="9"/>
        <v>0</v>
      </c>
    </row>
    <row r="639" spans="1:8" x14ac:dyDescent="0.35">
      <c r="A639" s="24" t="s">
        <v>322</v>
      </c>
      <c r="B639" s="29">
        <v>46249</v>
      </c>
      <c r="C639" s="24" t="s">
        <v>665</v>
      </c>
      <c r="D639" s="21">
        <v>67</v>
      </c>
      <c r="E639" s="25">
        <v>2.68</v>
      </c>
      <c r="F639" s="26">
        <v>105</v>
      </c>
      <c r="G639" s="30">
        <f>'Efectos y supuestos'!$B$9*MAX(0,D639-'Efectos y supuestos'!$B$10)/30</f>
        <v>0</v>
      </c>
      <c r="H639" s="14">
        <f t="shared" si="9"/>
        <v>0</v>
      </c>
    </row>
    <row r="640" spans="1:8" x14ac:dyDescent="0.35">
      <c r="A640" s="24" t="s">
        <v>323</v>
      </c>
      <c r="B640" s="29">
        <v>46249</v>
      </c>
      <c r="C640" s="24" t="s">
        <v>665</v>
      </c>
      <c r="D640" s="21">
        <v>67</v>
      </c>
      <c r="E640" s="25">
        <v>13.47</v>
      </c>
      <c r="F640" s="26">
        <v>105</v>
      </c>
      <c r="G640" s="30">
        <f>'Efectos y supuestos'!$B$9*MAX(0,D640-'Efectos y supuestos'!$B$10)/30</f>
        <v>0</v>
      </c>
      <c r="H640" s="14">
        <f t="shared" si="9"/>
        <v>0</v>
      </c>
    </row>
    <row r="641" spans="1:8" x14ac:dyDescent="0.35">
      <c r="A641" s="24" t="s">
        <v>324</v>
      </c>
      <c r="B641" s="29">
        <v>46218</v>
      </c>
      <c r="C641" s="24" t="s">
        <v>665</v>
      </c>
      <c r="D641" s="21">
        <v>98</v>
      </c>
      <c r="E641" s="25">
        <v>29.4</v>
      </c>
      <c r="F641" s="26">
        <v>105</v>
      </c>
      <c r="G641" s="30">
        <f>'Efectos y supuestos'!$B$9*MAX(0,D641-'Efectos y supuestos'!$B$10)/30</f>
        <v>-3.8933333333333333E-3</v>
      </c>
      <c r="H641" s="14">
        <f t="shared" si="9"/>
        <v>12.01872</v>
      </c>
    </row>
    <row r="642" spans="1:8" x14ac:dyDescent="0.35">
      <c r="A642" s="24" t="s">
        <v>538</v>
      </c>
      <c r="B642" s="29">
        <v>46006</v>
      </c>
      <c r="C642" s="24" t="s">
        <v>648</v>
      </c>
      <c r="D642" s="21">
        <v>105</v>
      </c>
      <c r="E642" s="25">
        <v>4.47</v>
      </c>
      <c r="F642" s="26">
        <v>83.5</v>
      </c>
      <c r="G642" s="30">
        <f>'Efectos y supuestos'!$B$9*MAX(0,D642-'Efectos y supuestos'!$B$10)/30</f>
        <v>-7.3000000000000001E-3</v>
      </c>
      <c r="H642" s="14">
        <f t="shared" si="9"/>
        <v>2.7246885000000001</v>
      </c>
    </row>
    <row r="643" spans="1:8" x14ac:dyDescent="0.35">
      <c r="A643" s="24" t="s">
        <v>579</v>
      </c>
      <c r="B643" s="29">
        <v>46006</v>
      </c>
      <c r="C643" s="24" t="s">
        <v>648</v>
      </c>
      <c r="D643" s="21">
        <v>95</v>
      </c>
      <c r="E643" s="25">
        <v>4.92</v>
      </c>
      <c r="F643" s="26">
        <v>113.2</v>
      </c>
      <c r="G643" s="30">
        <f>'Efectos y supuestos'!$B$9*MAX(0,D643-'Efectos y supuestos'!$B$10)/30</f>
        <v>-2.4333333333333334E-3</v>
      </c>
      <c r="H643" s="14">
        <f t="shared" si="9"/>
        <v>1.3552303999999999</v>
      </c>
    </row>
    <row r="644" spans="1:8" x14ac:dyDescent="0.35">
      <c r="A644" s="24" t="s">
        <v>325</v>
      </c>
      <c r="B644" s="29">
        <v>46249</v>
      </c>
      <c r="C644" s="24" t="s">
        <v>665</v>
      </c>
      <c r="D644" s="21">
        <v>67</v>
      </c>
      <c r="E644" s="25">
        <v>15.65</v>
      </c>
      <c r="F644" s="26">
        <v>105</v>
      </c>
      <c r="G644" s="30">
        <f>'Efectos y supuestos'!$B$9*MAX(0,D644-'Efectos y supuestos'!$B$10)/30</f>
        <v>0</v>
      </c>
      <c r="H644" s="14">
        <f t="shared" si="9"/>
        <v>0</v>
      </c>
    </row>
    <row r="645" spans="1:8" x14ac:dyDescent="0.35">
      <c r="A645" s="24" t="s">
        <v>103</v>
      </c>
      <c r="B645" s="29">
        <v>46300</v>
      </c>
      <c r="C645" s="24" t="s">
        <v>665</v>
      </c>
      <c r="D645" s="21">
        <v>16</v>
      </c>
      <c r="E645" s="25">
        <v>4</v>
      </c>
      <c r="F645" s="26">
        <v>105</v>
      </c>
      <c r="G645" s="30">
        <f>'Efectos y supuestos'!$B$9*MAX(0,D645-'Efectos y supuestos'!$B$10)/30</f>
        <v>0</v>
      </c>
      <c r="H645" s="14">
        <f t="shared" si="9"/>
        <v>0</v>
      </c>
    </row>
    <row r="646" spans="1:8" x14ac:dyDescent="0.35">
      <c r="A646" s="24" t="s">
        <v>326</v>
      </c>
      <c r="B646" s="29">
        <v>46249</v>
      </c>
      <c r="C646" s="24" t="s">
        <v>665</v>
      </c>
      <c r="D646" s="21">
        <v>67</v>
      </c>
      <c r="E646" s="25">
        <v>15.12</v>
      </c>
      <c r="F646" s="26">
        <v>105</v>
      </c>
      <c r="G646" s="30">
        <f>'Efectos y supuestos'!$B$9*MAX(0,D646-'Efectos y supuestos'!$B$10)/30</f>
        <v>0</v>
      </c>
      <c r="H646" s="14">
        <f t="shared" si="9"/>
        <v>0</v>
      </c>
    </row>
    <row r="647" spans="1:8" x14ac:dyDescent="0.35">
      <c r="A647" s="24" t="s">
        <v>327</v>
      </c>
      <c r="B647" s="29">
        <v>46249</v>
      </c>
      <c r="C647" s="24" t="s">
        <v>665</v>
      </c>
      <c r="D647" s="21">
        <v>67</v>
      </c>
      <c r="E647" s="25">
        <v>15.99</v>
      </c>
      <c r="F647" s="26">
        <v>105</v>
      </c>
      <c r="G647" s="30">
        <f>'Efectos y supuestos'!$B$9*MAX(0,D647-'Efectos y supuestos'!$B$10)/30</f>
        <v>0</v>
      </c>
      <c r="H647" s="14">
        <f t="shared" ref="H647:H710" si="10">-G647*F647*E647</f>
        <v>0</v>
      </c>
    </row>
    <row r="648" spans="1:8" x14ac:dyDescent="0.35">
      <c r="A648" s="24" t="s">
        <v>328</v>
      </c>
      <c r="B648" s="29">
        <v>46157</v>
      </c>
      <c r="C648" s="24" t="s">
        <v>647</v>
      </c>
      <c r="D648" s="21">
        <v>111</v>
      </c>
      <c r="E648" s="25">
        <v>19.38</v>
      </c>
      <c r="F648" s="26">
        <v>115.8</v>
      </c>
      <c r="G648" s="30">
        <f>'Efectos y supuestos'!$B$9*MAX(0,D648-'Efectos y supuestos'!$B$10)/30</f>
        <v>-1.022E-2</v>
      </c>
      <c r="H648" s="14">
        <f t="shared" si="10"/>
        <v>22.935764879999997</v>
      </c>
    </row>
    <row r="649" spans="1:8" x14ac:dyDescent="0.35">
      <c r="A649" s="24" t="s">
        <v>539</v>
      </c>
      <c r="B649" s="29">
        <v>46006</v>
      </c>
      <c r="C649" s="24" t="s">
        <v>648</v>
      </c>
      <c r="D649" s="21">
        <v>133</v>
      </c>
      <c r="E649" s="25">
        <v>6.24</v>
      </c>
      <c r="F649" s="26">
        <v>121.4</v>
      </c>
      <c r="G649" s="30">
        <f>'Efectos y supuestos'!$B$9*MAX(0,D649-'Efectos y supuestos'!$B$10)/30</f>
        <v>-2.0926666666666666E-2</v>
      </c>
      <c r="H649" s="14">
        <f t="shared" si="10"/>
        <v>15.852703360000003</v>
      </c>
    </row>
    <row r="650" spans="1:8" x14ac:dyDescent="0.35">
      <c r="A650" s="24" t="s">
        <v>432</v>
      </c>
      <c r="B650" s="29">
        <v>46068</v>
      </c>
      <c r="C650" s="24" t="s">
        <v>648</v>
      </c>
      <c r="D650" s="21">
        <v>71</v>
      </c>
      <c r="E650" s="25">
        <v>5.99</v>
      </c>
      <c r="F650" s="26">
        <v>90.4</v>
      </c>
      <c r="G650" s="30">
        <f>'Efectos y supuestos'!$B$9*MAX(0,D650-'Efectos y supuestos'!$B$10)/30</f>
        <v>0</v>
      </c>
      <c r="H650" s="14">
        <f t="shared" si="10"/>
        <v>0</v>
      </c>
    </row>
    <row r="651" spans="1:8" x14ac:dyDescent="0.35">
      <c r="A651" s="24" t="s">
        <v>104</v>
      </c>
      <c r="B651" s="29">
        <v>46300</v>
      </c>
      <c r="C651" s="24" t="s">
        <v>665</v>
      </c>
      <c r="D651" s="21">
        <v>16</v>
      </c>
      <c r="E651" s="25">
        <v>1.8</v>
      </c>
      <c r="F651" s="26">
        <v>105</v>
      </c>
      <c r="G651" s="30">
        <f>'Efectos y supuestos'!$B$9*MAX(0,D651-'Efectos y supuestos'!$B$10)/30</f>
        <v>0</v>
      </c>
      <c r="H651" s="14">
        <f t="shared" si="10"/>
        <v>0</v>
      </c>
    </row>
    <row r="652" spans="1:8" x14ac:dyDescent="0.35">
      <c r="A652" s="24" t="s">
        <v>433</v>
      </c>
      <c r="B652" s="29">
        <v>46096</v>
      </c>
      <c r="C652" s="24" t="s">
        <v>648</v>
      </c>
      <c r="D652" s="21">
        <v>137</v>
      </c>
      <c r="E652" s="25">
        <v>5.07</v>
      </c>
      <c r="F652" s="26">
        <v>104.3</v>
      </c>
      <c r="G652" s="30">
        <f>'Efectos y supuestos'!$B$9*MAX(0,D652-'Efectos y supuestos'!$B$10)/30</f>
        <v>-2.2873333333333336E-2</v>
      </c>
      <c r="H652" s="14">
        <f t="shared" si="10"/>
        <v>12.095441540000001</v>
      </c>
    </row>
    <row r="653" spans="1:8" x14ac:dyDescent="0.35">
      <c r="A653" s="24" t="s">
        <v>615</v>
      </c>
      <c r="B653" s="29">
        <v>45976</v>
      </c>
      <c r="C653" s="24" t="s">
        <v>648</v>
      </c>
      <c r="D653" s="21">
        <v>104</v>
      </c>
      <c r="E653" s="25">
        <v>15.81</v>
      </c>
      <c r="F653" s="26">
        <v>139.1</v>
      </c>
      <c r="G653" s="30">
        <f>'Efectos y supuestos'!$B$9*MAX(0,D653-'Efectos y supuestos'!$B$10)/30</f>
        <v>-6.8133333333333336E-3</v>
      </c>
      <c r="H653" s="14">
        <f t="shared" si="10"/>
        <v>14.983685079999999</v>
      </c>
    </row>
    <row r="654" spans="1:8" x14ac:dyDescent="0.35">
      <c r="A654" s="24" t="s">
        <v>434</v>
      </c>
      <c r="B654" s="29">
        <v>46300</v>
      </c>
      <c r="C654" s="24" t="s">
        <v>665</v>
      </c>
      <c r="D654" s="21">
        <v>16</v>
      </c>
      <c r="E654" s="25">
        <v>22.27</v>
      </c>
      <c r="F654" s="26">
        <v>105</v>
      </c>
      <c r="G654" s="30">
        <f>'Efectos y supuestos'!$B$9*MAX(0,D654-'Efectos y supuestos'!$B$10)/30</f>
        <v>0</v>
      </c>
      <c r="H654" s="14">
        <f t="shared" si="10"/>
        <v>0</v>
      </c>
    </row>
    <row r="655" spans="1:8" x14ac:dyDescent="0.35">
      <c r="A655" s="24" t="s">
        <v>435</v>
      </c>
      <c r="B655" s="29">
        <v>46315</v>
      </c>
      <c r="C655" s="24" t="s">
        <v>665</v>
      </c>
      <c r="D655" s="21">
        <v>1</v>
      </c>
      <c r="E655" s="25">
        <v>12.1</v>
      </c>
      <c r="F655" s="26">
        <v>142.80000000000001</v>
      </c>
      <c r="G655" s="30">
        <f>'Efectos y supuestos'!$B$9*MAX(0,D655-'Efectos y supuestos'!$B$10)/30</f>
        <v>0</v>
      </c>
      <c r="H655" s="14">
        <f t="shared" si="10"/>
        <v>0</v>
      </c>
    </row>
    <row r="656" spans="1:8" x14ac:dyDescent="0.35">
      <c r="A656" s="24" t="s">
        <v>330</v>
      </c>
      <c r="B656" s="29">
        <v>46218</v>
      </c>
      <c r="C656" s="24" t="s">
        <v>647</v>
      </c>
      <c r="D656" s="21">
        <v>87</v>
      </c>
      <c r="E656" s="25">
        <v>8.4499999999999993</v>
      </c>
      <c r="F656" s="26">
        <v>105</v>
      </c>
      <c r="G656" s="30">
        <f>'Efectos y supuestos'!$B$9*MAX(0,D656-'Efectos y supuestos'!$B$10)/30</f>
        <v>0</v>
      </c>
      <c r="H656" s="14">
        <f t="shared" si="10"/>
        <v>0</v>
      </c>
    </row>
    <row r="657" spans="1:8" x14ac:dyDescent="0.35">
      <c r="A657" s="24" t="s">
        <v>540</v>
      </c>
      <c r="B657" s="29">
        <v>45976</v>
      </c>
      <c r="C657" s="24" t="s">
        <v>648</v>
      </c>
      <c r="D657" s="21">
        <v>82</v>
      </c>
      <c r="E657" s="25">
        <v>5.55</v>
      </c>
      <c r="F657" s="26">
        <v>111.1</v>
      </c>
      <c r="G657" s="30">
        <f>'Efectos y supuestos'!$B$9*MAX(0,D657-'Efectos y supuestos'!$B$10)/30</f>
        <v>0</v>
      </c>
      <c r="H657" s="14">
        <f t="shared" si="10"/>
        <v>0</v>
      </c>
    </row>
    <row r="658" spans="1:8" x14ac:dyDescent="0.35">
      <c r="A658" s="24" t="s">
        <v>436</v>
      </c>
      <c r="B658" s="29">
        <v>46188</v>
      </c>
      <c r="C658" s="24" t="s">
        <v>647</v>
      </c>
      <c r="D658" s="21">
        <v>74</v>
      </c>
      <c r="E658" s="25">
        <v>2.46</v>
      </c>
      <c r="F658" s="26">
        <v>105</v>
      </c>
      <c r="G658" s="30">
        <f>'Efectos y supuestos'!$B$9*MAX(0,D658-'Efectos y supuestos'!$B$10)/30</f>
        <v>0</v>
      </c>
      <c r="H658" s="14">
        <f t="shared" si="10"/>
        <v>0</v>
      </c>
    </row>
    <row r="659" spans="1:8" x14ac:dyDescent="0.35">
      <c r="A659" s="24" t="s">
        <v>331</v>
      </c>
      <c r="B659" s="29">
        <v>46127</v>
      </c>
      <c r="C659" s="24" t="s">
        <v>648</v>
      </c>
      <c r="D659" s="21">
        <v>65</v>
      </c>
      <c r="E659" s="25">
        <v>5.59</v>
      </c>
      <c r="F659" s="26">
        <v>93.3</v>
      </c>
      <c r="G659" s="30">
        <f>'Efectos y supuestos'!$B$9*MAX(0,D659-'Efectos y supuestos'!$B$10)/30</f>
        <v>0</v>
      </c>
      <c r="H659" s="14">
        <f t="shared" si="10"/>
        <v>0</v>
      </c>
    </row>
    <row r="660" spans="1:8" x14ac:dyDescent="0.35">
      <c r="A660" s="24" t="s">
        <v>332</v>
      </c>
      <c r="B660" s="29">
        <v>46188</v>
      </c>
      <c r="C660" s="24" t="s">
        <v>647</v>
      </c>
      <c r="D660" s="21">
        <v>88</v>
      </c>
      <c r="E660" s="25">
        <v>3.74</v>
      </c>
      <c r="F660" s="26">
        <v>105</v>
      </c>
      <c r="G660" s="30">
        <f>'Efectos y supuestos'!$B$9*MAX(0,D660-'Efectos y supuestos'!$B$10)/30</f>
        <v>0</v>
      </c>
      <c r="H660" s="14">
        <f t="shared" si="10"/>
        <v>0</v>
      </c>
    </row>
    <row r="661" spans="1:8" x14ac:dyDescent="0.35">
      <c r="A661" s="24" t="s">
        <v>105</v>
      </c>
      <c r="B661" s="29">
        <v>46218</v>
      </c>
      <c r="C661" s="24" t="s">
        <v>647</v>
      </c>
      <c r="D661" s="21">
        <v>86</v>
      </c>
      <c r="E661" s="25">
        <v>13.15</v>
      </c>
      <c r="F661" s="26">
        <v>105</v>
      </c>
      <c r="G661" s="30">
        <f>'Efectos y supuestos'!$B$9*MAX(0,D661-'Efectos y supuestos'!$B$10)/30</f>
        <v>0</v>
      </c>
      <c r="H661" s="14">
        <f t="shared" si="10"/>
        <v>0</v>
      </c>
    </row>
    <row r="662" spans="1:8" x14ac:dyDescent="0.35">
      <c r="A662" s="24" t="s">
        <v>134</v>
      </c>
      <c r="B662" s="29">
        <v>46006</v>
      </c>
      <c r="C662" s="24" t="s">
        <v>648</v>
      </c>
      <c r="D662" s="21">
        <v>105</v>
      </c>
      <c r="E662" s="25">
        <v>13.47</v>
      </c>
      <c r="F662" s="26">
        <v>100</v>
      </c>
      <c r="G662" s="30">
        <f>'Efectos y supuestos'!$B$9*MAX(0,D662-'Efectos y supuestos'!$B$10)/30</f>
        <v>-7.3000000000000001E-3</v>
      </c>
      <c r="H662" s="14">
        <f t="shared" si="10"/>
        <v>9.8331</v>
      </c>
    </row>
    <row r="663" spans="1:8" x14ac:dyDescent="0.35">
      <c r="A663" s="24" t="s">
        <v>580</v>
      </c>
      <c r="B663" s="29">
        <v>46006</v>
      </c>
      <c r="C663" s="24" t="s">
        <v>648</v>
      </c>
      <c r="D663" s="21">
        <v>74</v>
      </c>
      <c r="E663" s="25">
        <v>6.29</v>
      </c>
      <c r="F663" s="26">
        <v>108.4</v>
      </c>
      <c r="G663" s="30">
        <f>'Efectos y supuestos'!$B$9*MAX(0,D663-'Efectos y supuestos'!$B$10)/30</f>
        <v>0</v>
      </c>
      <c r="H663" s="14">
        <f t="shared" si="10"/>
        <v>0</v>
      </c>
    </row>
    <row r="664" spans="1:8" x14ac:dyDescent="0.35">
      <c r="A664" s="24" t="s">
        <v>106</v>
      </c>
      <c r="B664" s="29">
        <v>46280</v>
      </c>
      <c r="C664" s="24" t="s">
        <v>665</v>
      </c>
      <c r="D664" s="21">
        <v>36</v>
      </c>
      <c r="E664" s="25">
        <v>6.44</v>
      </c>
      <c r="F664" s="26">
        <v>105</v>
      </c>
      <c r="G664" s="30">
        <f>'Efectos y supuestos'!$B$9*MAX(0,D664-'Efectos y supuestos'!$B$10)/30</f>
        <v>0</v>
      </c>
      <c r="H664" s="14">
        <f t="shared" si="10"/>
        <v>0</v>
      </c>
    </row>
    <row r="665" spans="1:8" x14ac:dyDescent="0.35">
      <c r="A665" s="24" t="s">
        <v>632</v>
      </c>
      <c r="B665" s="29">
        <v>46315</v>
      </c>
      <c r="C665" s="24" t="s">
        <v>665</v>
      </c>
      <c r="D665" s="21">
        <v>1</v>
      </c>
      <c r="E665" s="25">
        <v>5.08</v>
      </c>
      <c r="F665" s="26">
        <v>112.8</v>
      </c>
      <c r="G665" s="30">
        <f>'Efectos y supuestos'!$B$9*MAX(0,D665-'Efectos y supuestos'!$B$10)/30</f>
        <v>0</v>
      </c>
      <c r="H665" s="14">
        <f t="shared" si="10"/>
        <v>0</v>
      </c>
    </row>
    <row r="666" spans="1:8" x14ac:dyDescent="0.35">
      <c r="A666" s="24" t="s">
        <v>437</v>
      </c>
      <c r="B666" s="29">
        <v>46218</v>
      </c>
      <c r="C666" s="24" t="s">
        <v>665</v>
      </c>
      <c r="D666" s="21">
        <v>98</v>
      </c>
      <c r="E666" s="25">
        <v>8.6300000000000008</v>
      </c>
      <c r="F666" s="26">
        <v>105</v>
      </c>
      <c r="G666" s="30">
        <f>'Efectos y supuestos'!$B$9*MAX(0,D666-'Efectos y supuestos'!$B$10)/30</f>
        <v>-3.8933333333333333E-3</v>
      </c>
      <c r="H666" s="14">
        <f t="shared" si="10"/>
        <v>3.5279440000000002</v>
      </c>
    </row>
    <row r="667" spans="1:8" x14ac:dyDescent="0.35">
      <c r="A667" s="24" t="s">
        <v>135</v>
      </c>
      <c r="B667" s="29">
        <v>46006</v>
      </c>
      <c r="C667" s="24" t="s">
        <v>648</v>
      </c>
      <c r="D667" s="21">
        <v>105</v>
      </c>
      <c r="E667" s="25">
        <v>8.9</v>
      </c>
      <c r="F667" s="26">
        <v>85.4</v>
      </c>
      <c r="G667" s="30">
        <f>'Efectos y supuestos'!$B$9*MAX(0,D667-'Efectos y supuestos'!$B$10)/30</f>
        <v>-7.3000000000000001E-3</v>
      </c>
      <c r="H667" s="14">
        <f t="shared" si="10"/>
        <v>5.5484380000000009</v>
      </c>
    </row>
    <row r="668" spans="1:8" x14ac:dyDescent="0.35">
      <c r="A668" s="24" t="s">
        <v>136</v>
      </c>
      <c r="B668" s="29">
        <v>46006</v>
      </c>
      <c r="C668" s="24" t="s">
        <v>648</v>
      </c>
      <c r="D668" s="21">
        <v>66</v>
      </c>
      <c r="E668" s="25">
        <v>5.27</v>
      </c>
      <c r="F668" s="26">
        <v>78.099999999999994</v>
      </c>
      <c r="G668" s="30">
        <f>'Efectos y supuestos'!$B$9*MAX(0,D668-'Efectos y supuestos'!$B$10)/30</f>
        <v>0</v>
      </c>
      <c r="H668" s="14">
        <f t="shared" si="10"/>
        <v>0</v>
      </c>
    </row>
    <row r="669" spans="1:8" x14ac:dyDescent="0.35">
      <c r="A669" s="24" t="s">
        <v>333</v>
      </c>
      <c r="B669" s="29">
        <v>46218</v>
      </c>
      <c r="C669" s="24" t="s">
        <v>665</v>
      </c>
      <c r="D669" s="21">
        <v>98</v>
      </c>
      <c r="E669" s="25">
        <v>5.6</v>
      </c>
      <c r="F669" s="26">
        <v>105</v>
      </c>
      <c r="G669" s="30">
        <f>'Efectos y supuestos'!$B$9*MAX(0,D669-'Efectos y supuestos'!$B$10)/30</f>
        <v>-3.8933333333333333E-3</v>
      </c>
      <c r="H669" s="14">
        <f t="shared" si="10"/>
        <v>2.2892799999999998</v>
      </c>
    </row>
    <row r="670" spans="1:8" x14ac:dyDescent="0.35">
      <c r="A670" s="24" t="s">
        <v>616</v>
      </c>
      <c r="B670" s="29">
        <v>46006</v>
      </c>
      <c r="C670" s="24" t="s">
        <v>648</v>
      </c>
      <c r="D670" s="21">
        <v>74</v>
      </c>
      <c r="E670" s="25">
        <v>1.5</v>
      </c>
      <c r="F670" s="26">
        <v>112.5</v>
      </c>
      <c r="G670" s="30">
        <f>'Efectos y supuestos'!$B$9*MAX(0,D670-'Efectos y supuestos'!$B$10)/30</f>
        <v>0</v>
      </c>
      <c r="H670" s="14">
        <f t="shared" si="10"/>
        <v>0</v>
      </c>
    </row>
    <row r="671" spans="1:8" x14ac:dyDescent="0.35">
      <c r="A671" s="24" t="s">
        <v>617</v>
      </c>
      <c r="B671" s="29">
        <v>46006</v>
      </c>
      <c r="C671" s="24" t="s">
        <v>648</v>
      </c>
      <c r="D671" s="21">
        <v>74</v>
      </c>
      <c r="E671" s="25">
        <v>10.029999999999999</v>
      </c>
      <c r="F671" s="26">
        <v>107.8</v>
      </c>
      <c r="G671" s="30">
        <f>'Efectos y supuestos'!$B$9*MAX(0,D671-'Efectos y supuestos'!$B$10)/30</f>
        <v>0</v>
      </c>
      <c r="H671" s="14">
        <f t="shared" si="10"/>
        <v>0</v>
      </c>
    </row>
    <row r="672" spans="1:8" x14ac:dyDescent="0.35">
      <c r="A672" s="24" t="s">
        <v>618</v>
      </c>
      <c r="B672" s="29">
        <v>46006</v>
      </c>
      <c r="C672" s="24" t="s">
        <v>648</v>
      </c>
      <c r="D672" s="21">
        <v>105</v>
      </c>
      <c r="E672" s="25">
        <v>9.84</v>
      </c>
      <c r="F672" s="26">
        <v>117.7</v>
      </c>
      <c r="G672" s="30">
        <f>'Efectos y supuestos'!$B$9*MAX(0,D672-'Efectos y supuestos'!$B$10)/30</f>
        <v>-7.3000000000000001E-3</v>
      </c>
      <c r="H672" s="14">
        <f t="shared" si="10"/>
        <v>8.4546264000000004</v>
      </c>
    </row>
    <row r="673" spans="1:8" x14ac:dyDescent="0.35">
      <c r="A673" s="24" t="s">
        <v>619</v>
      </c>
      <c r="B673" s="29">
        <v>46006</v>
      </c>
      <c r="C673" s="24" t="s">
        <v>648</v>
      </c>
      <c r="D673" s="21">
        <v>74</v>
      </c>
      <c r="E673" s="25">
        <v>8.58</v>
      </c>
      <c r="F673" s="26">
        <v>110.9</v>
      </c>
      <c r="G673" s="30">
        <f>'Efectos y supuestos'!$B$9*MAX(0,D673-'Efectos y supuestos'!$B$10)/30</f>
        <v>0</v>
      </c>
      <c r="H673" s="14">
        <f t="shared" si="10"/>
        <v>0</v>
      </c>
    </row>
    <row r="674" spans="1:8" x14ac:dyDescent="0.35">
      <c r="A674" s="24" t="s">
        <v>620</v>
      </c>
      <c r="B674" s="29">
        <v>46006</v>
      </c>
      <c r="C674" s="24" t="s">
        <v>648</v>
      </c>
      <c r="D674" s="21">
        <v>74</v>
      </c>
      <c r="E674" s="25">
        <v>6.65</v>
      </c>
      <c r="F674" s="26">
        <v>116.2</v>
      </c>
      <c r="G674" s="30">
        <f>'Efectos y supuestos'!$B$9*MAX(0,D674-'Efectos y supuestos'!$B$10)/30</f>
        <v>0</v>
      </c>
      <c r="H674" s="14">
        <f t="shared" si="10"/>
        <v>0</v>
      </c>
    </row>
    <row r="675" spans="1:8" x14ac:dyDescent="0.35">
      <c r="A675" s="24" t="s">
        <v>581</v>
      </c>
      <c r="B675" s="29">
        <v>46280</v>
      </c>
      <c r="C675" s="24" t="s">
        <v>665</v>
      </c>
      <c r="D675" s="21">
        <v>36</v>
      </c>
      <c r="E675" s="25">
        <v>8.5</v>
      </c>
      <c r="F675" s="26">
        <v>105</v>
      </c>
      <c r="G675" s="30">
        <f>'Efectos y supuestos'!$B$9*MAX(0,D675-'Efectos y supuestos'!$B$10)/30</f>
        <v>0</v>
      </c>
      <c r="H675" s="14">
        <f t="shared" si="10"/>
        <v>0</v>
      </c>
    </row>
    <row r="676" spans="1:8" x14ac:dyDescent="0.35">
      <c r="A676" s="24" t="s">
        <v>438</v>
      </c>
      <c r="B676" s="29">
        <v>46188</v>
      </c>
      <c r="C676" s="24" t="s">
        <v>647</v>
      </c>
      <c r="D676" s="21">
        <v>98</v>
      </c>
      <c r="E676" s="25">
        <v>8.4</v>
      </c>
      <c r="F676" s="26">
        <v>111.1</v>
      </c>
      <c r="G676" s="30">
        <f>'Efectos y supuestos'!$B$9*MAX(0,D676-'Efectos y supuestos'!$B$10)/30</f>
        <v>-3.8933333333333333E-3</v>
      </c>
      <c r="H676" s="14">
        <f t="shared" si="10"/>
        <v>3.6334143999999999</v>
      </c>
    </row>
    <row r="677" spans="1:8" x14ac:dyDescent="0.35">
      <c r="A677" s="24" t="s">
        <v>621</v>
      </c>
      <c r="B677" s="29">
        <v>46006</v>
      </c>
      <c r="C677" s="24" t="s">
        <v>648</v>
      </c>
      <c r="D677" s="21">
        <v>109</v>
      </c>
      <c r="E677" s="25">
        <v>10.15</v>
      </c>
      <c r="F677" s="26">
        <v>118.8</v>
      </c>
      <c r="G677" s="30">
        <f>'Efectos y supuestos'!$B$9*MAX(0,D677-'Efectos y supuestos'!$B$10)/30</f>
        <v>-9.2466666666666652E-3</v>
      </c>
      <c r="H677" s="14">
        <f t="shared" si="10"/>
        <v>11.149815599999997</v>
      </c>
    </row>
    <row r="678" spans="1:8" x14ac:dyDescent="0.35">
      <c r="A678" s="24" t="s">
        <v>334</v>
      </c>
      <c r="B678" s="29">
        <v>46300</v>
      </c>
      <c r="C678" s="24" t="s">
        <v>665</v>
      </c>
      <c r="D678" s="21">
        <v>16</v>
      </c>
      <c r="E678" s="25">
        <v>16.07</v>
      </c>
      <c r="F678" s="26">
        <v>105</v>
      </c>
      <c r="G678" s="30">
        <f>'Efectos y supuestos'!$B$9*MAX(0,D678-'Efectos y supuestos'!$B$10)/30</f>
        <v>0</v>
      </c>
      <c r="H678" s="14">
        <f t="shared" si="10"/>
        <v>0</v>
      </c>
    </row>
    <row r="679" spans="1:8" x14ac:dyDescent="0.35">
      <c r="A679" s="24" t="s">
        <v>335</v>
      </c>
      <c r="B679" s="29">
        <v>46249</v>
      </c>
      <c r="C679" s="24" t="s">
        <v>665</v>
      </c>
      <c r="D679" s="21">
        <v>67</v>
      </c>
      <c r="E679" s="25">
        <v>6.25</v>
      </c>
      <c r="F679" s="26">
        <v>105</v>
      </c>
      <c r="G679" s="30">
        <f>'Efectos y supuestos'!$B$9*MAX(0,D679-'Efectos y supuestos'!$B$10)/30</f>
        <v>0</v>
      </c>
      <c r="H679" s="14">
        <f t="shared" si="10"/>
        <v>0</v>
      </c>
    </row>
    <row r="680" spans="1:8" x14ac:dyDescent="0.35">
      <c r="A680" s="24" t="s">
        <v>336</v>
      </c>
      <c r="B680" s="29">
        <v>46280</v>
      </c>
      <c r="C680" s="24" t="s">
        <v>665</v>
      </c>
      <c r="D680" s="21">
        <v>36</v>
      </c>
      <c r="E680" s="25">
        <v>15.67</v>
      </c>
      <c r="F680" s="26">
        <v>105</v>
      </c>
      <c r="G680" s="30">
        <f>'Efectos y supuestos'!$B$9*MAX(0,D680-'Efectos y supuestos'!$B$10)/30</f>
        <v>0</v>
      </c>
      <c r="H680" s="14">
        <f t="shared" si="10"/>
        <v>0</v>
      </c>
    </row>
    <row r="681" spans="1:8" x14ac:dyDescent="0.35">
      <c r="A681" s="24" t="s">
        <v>138</v>
      </c>
      <c r="B681" s="29">
        <v>46006</v>
      </c>
      <c r="C681" s="24" t="s">
        <v>648</v>
      </c>
      <c r="D681" s="21">
        <v>133</v>
      </c>
      <c r="E681" s="25">
        <v>10.29</v>
      </c>
      <c r="F681" s="26">
        <v>98.8</v>
      </c>
      <c r="G681" s="30">
        <f>'Efectos y supuestos'!$B$9*MAX(0,D681-'Efectos y supuestos'!$B$10)/30</f>
        <v>-2.0926666666666666E-2</v>
      </c>
      <c r="H681" s="14">
        <f t="shared" si="10"/>
        <v>21.275137519999998</v>
      </c>
    </row>
    <row r="682" spans="1:8" x14ac:dyDescent="0.35">
      <c r="A682" s="24" t="s">
        <v>139</v>
      </c>
      <c r="B682" s="29">
        <v>46006</v>
      </c>
      <c r="C682" s="24" t="s">
        <v>648</v>
      </c>
      <c r="D682" s="21">
        <v>186</v>
      </c>
      <c r="E682" s="25">
        <v>8.91</v>
      </c>
      <c r="F682" s="26">
        <v>94</v>
      </c>
      <c r="G682" s="30">
        <f>'Efectos y supuestos'!$B$9*MAX(0,D682-'Efectos y supuestos'!$B$10)/30</f>
        <v>-4.6719999999999998E-2</v>
      </c>
      <c r="H682" s="14">
        <f t="shared" si="10"/>
        <v>39.129868800000004</v>
      </c>
    </row>
    <row r="683" spans="1:8" x14ac:dyDescent="0.35">
      <c r="A683" s="24" t="s">
        <v>622</v>
      </c>
      <c r="B683" s="29">
        <v>46006</v>
      </c>
      <c r="C683" s="24" t="s">
        <v>648</v>
      </c>
      <c r="D683" s="21">
        <v>109</v>
      </c>
      <c r="E683" s="25">
        <v>10.55</v>
      </c>
      <c r="F683" s="26">
        <v>101.9</v>
      </c>
      <c r="G683" s="30">
        <f>'Efectos y supuestos'!$B$9*MAX(0,D683-'Efectos y supuestos'!$B$10)/30</f>
        <v>-9.2466666666666652E-3</v>
      </c>
      <c r="H683" s="14">
        <f t="shared" si="10"/>
        <v>9.9405827666666653</v>
      </c>
    </row>
    <row r="684" spans="1:8" x14ac:dyDescent="0.35">
      <c r="A684" s="24" t="s">
        <v>623</v>
      </c>
      <c r="B684" s="29">
        <v>46006</v>
      </c>
      <c r="C684" s="24" t="s">
        <v>648</v>
      </c>
      <c r="D684" s="21">
        <v>150</v>
      </c>
      <c r="E684" s="25">
        <v>3.78</v>
      </c>
      <c r="F684" s="26">
        <v>117.7</v>
      </c>
      <c r="G684" s="30">
        <f>'Efectos y supuestos'!$B$9*MAX(0,D684-'Efectos y supuestos'!$B$10)/30</f>
        <v>-2.92E-2</v>
      </c>
      <c r="H684" s="14">
        <f t="shared" si="10"/>
        <v>12.991255199999999</v>
      </c>
    </row>
    <row r="685" spans="1:8" x14ac:dyDescent="0.35">
      <c r="A685" s="24" t="s">
        <v>338</v>
      </c>
      <c r="B685" s="29">
        <v>46280</v>
      </c>
      <c r="C685" s="24" t="s">
        <v>665</v>
      </c>
      <c r="D685" s="21">
        <v>36</v>
      </c>
      <c r="E685" s="25">
        <v>10.76</v>
      </c>
      <c r="F685" s="26">
        <v>105</v>
      </c>
      <c r="G685" s="30">
        <f>'Efectos y supuestos'!$B$9*MAX(0,D685-'Efectos y supuestos'!$B$10)/30</f>
        <v>0</v>
      </c>
      <c r="H685" s="14">
        <f t="shared" si="10"/>
        <v>0</v>
      </c>
    </row>
    <row r="686" spans="1:8" x14ac:dyDescent="0.35">
      <c r="A686" s="24" t="s">
        <v>140</v>
      </c>
      <c r="B686" s="29">
        <v>46006</v>
      </c>
      <c r="C686" s="24" t="s">
        <v>648</v>
      </c>
      <c r="D686" s="21">
        <v>133</v>
      </c>
      <c r="E686" s="25">
        <v>16.649999999999999</v>
      </c>
      <c r="F686" s="26">
        <v>80.099999999999994</v>
      </c>
      <c r="G686" s="30">
        <f>'Efectos y supuestos'!$B$9*MAX(0,D686-'Efectos y supuestos'!$B$10)/30</f>
        <v>-2.0926666666666666E-2</v>
      </c>
      <c r="H686" s="14">
        <f t="shared" si="10"/>
        <v>27.909162899999995</v>
      </c>
    </row>
    <row r="687" spans="1:8" x14ac:dyDescent="0.35">
      <c r="A687" s="24" t="s">
        <v>470</v>
      </c>
      <c r="B687" s="29">
        <v>46307</v>
      </c>
      <c r="C687" s="24" t="s">
        <v>665</v>
      </c>
      <c r="D687" s="21">
        <v>9</v>
      </c>
      <c r="E687" s="25">
        <v>17.95</v>
      </c>
      <c r="F687" s="26">
        <v>105</v>
      </c>
      <c r="G687" s="30">
        <f>'Efectos y supuestos'!$B$9*MAX(0,D687-'Efectos y supuestos'!$B$10)/30</f>
        <v>0</v>
      </c>
      <c r="H687" s="14">
        <f t="shared" si="10"/>
        <v>0</v>
      </c>
    </row>
    <row r="688" spans="1:8" x14ac:dyDescent="0.35">
      <c r="A688" s="24" t="s">
        <v>439</v>
      </c>
      <c r="B688" s="29">
        <v>46303</v>
      </c>
      <c r="C688" s="24" t="s">
        <v>665</v>
      </c>
      <c r="D688" s="21">
        <v>13</v>
      </c>
      <c r="E688" s="25">
        <v>7.49</v>
      </c>
      <c r="F688" s="26">
        <v>105</v>
      </c>
      <c r="G688" s="30">
        <f>'Efectos y supuestos'!$B$9*MAX(0,D688-'Efectos y supuestos'!$B$10)/30</f>
        <v>0</v>
      </c>
      <c r="H688" s="14">
        <f t="shared" si="10"/>
        <v>0</v>
      </c>
    </row>
    <row r="689" spans="1:8" x14ac:dyDescent="0.35">
      <c r="A689" s="24" t="s">
        <v>141</v>
      </c>
      <c r="B689" s="29">
        <v>46006</v>
      </c>
      <c r="C689" s="24" t="s">
        <v>648</v>
      </c>
      <c r="D689" s="21">
        <v>165</v>
      </c>
      <c r="E689" s="25">
        <v>4.45</v>
      </c>
      <c r="F689" s="26">
        <v>61.4</v>
      </c>
      <c r="G689" s="30">
        <f>'Efectos y supuestos'!$B$9*MAX(0,D689-'Efectos y supuestos'!$B$10)/30</f>
        <v>-3.6499999999999998E-2</v>
      </c>
      <c r="H689" s="14">
        <f t="shared" si="10"/>
        <v>9.9728949999999994</v>
      </c>
    </row>
    <row r="690" spans="1:8" x14ac:dyDescent="0.35">
      <c r="A690" s="24" t="s">
        <v>440</v>
      </c>
      <c r="B690" s="29">
        <v>46303</v>
      </c>
      <c r="C690" s="24" t="s">
        <v>665</v>
      </c>
      <c r="D690" s="21">
        <v>13</v>
      </c>
      <c r="E690" s="25">
        <v>9.36</v>
      </c>
      <c r="F690" s="26">
        <v>105</v>
      </c>
      <c r="G690" s="30">
        <f>'Efectos y supuestos'!$B$9*MAX(0,D690-'Efectos y supuestos'!$B$10)/30</f>
        <v>0</v>
      </c>
      <c r="H690" s="14">
        <f t="shared" si="10"/>
        <v>0</v>
      </c>
    </row>
    <row r="691" spans="1:8" x14ac:dyDescent="0.35">
      <c r="A691" s="24" t="s">
        <v>107</v>
      </c>
      <c r="B691" s="29">
        <v>46249</v>
      </c>
      <c r="C691" s="24" t="s">
        <v>665</v>
      </c>
      <c r="D691" s="21">
        <v>67</v>
      </c>
      <c r="E691" s="25">
        <v>1.3</v>
      </c>
      <c r="F691" s="26">
        <v>105</v>
      </c>
      <c r="G691" s="30">
        <f>'Efectos y supuestos'!$B$9*MAX(0,D691-'Efectos y supuestos'!$B$10)/30</f>
        <v>0</v>
      </c>
      <c r="H691" s="14">
        <f t="shared" si="10"/>
        <v>0</v>
      </c>
    </row>
    <row r="692" spans="1:8" x14ac:dyDescent="0.35">
      <c r="A692" s="24" t="s">
        <v>339</v>
      </c>
      <c r="B692" s="29">
        <v>46249</v>
      </c>
      <c r="C692" s="24" t="s">
        <v>665</v>
      </c>
      <c r="D692" s="21">
        <v>67</v>
      </c>
      <c r="E692" s="25">
        <v>2.27</v>
      </c>
      <c r="F692" s="26">
        <v>105</v>
      </c>
      <c r="G692" s="30">
        <f>'Efectos y supuestos'!$B$9*MAX(0,D692-'Efectos y supuestos'!$B$10)/30</f>
        <v>0</v>
      </c>
      <c r="H692" s="14">
        <f t="shared" si="10"/>
        <v>0</v>
      </c>
    </row>
    <row r="693" spans="1:8" x14ac:dyDescent="0.35">
      <c r="A693" s="24" t="s">
        <v>340</v>
      </c>
      <c r="B693" s="29">
        <v>46249</v>
      </c>
      <c r="C693" s="24" t="s">
        <v>665</v>
      </c>
      <c r="D693" s="21">
        <v>67</v>
      </c>
      <c r="E693" s="25">
        <v>2.79</v>
      </c>
      <c r="F693" s="26">
        <v>105</v>
      </c>
      <c r="G693" s="30">
        <f>'Efectos y supuestos'!$B$9*MAX(0,D693-'Efectos y supuestos'!$B$10)/30</f>
        <v>0</v>
      </c>
      <c r="H693" s="14">
        <f t="shared" si="10"/>
        <v>0</v>
      </c>
    </row>
    <row r="694" spans="1:8" x14ac:dyDescent="0.35">
      <c r="A694" s="24" t="s">
        <v>441</v>
      </c>
      <c r="B694" s="29">
        <v>46188</v>
      </c>
      <c r="C694" s="24" t="s">
        <v>647</v>
      </c>
      <c r="D694" s="21">
        <v>116</v>
      </c>
      <c r="E694" s="25">
        <v>14.07</v>
      </c>
      <c r="F694" s="26">
        <v>103.2</v>
      </c>
      <c r="G694" s="30">
        <f>'Efectos y supuestos'!$B$9*MAX(0,D694-'Efectos y supuestos'!$B$10)/30</f>
        <v>-1.2653333333333332E-2</v>
      </c>
      <c r="H694" s="14">
        <f t="shared" si="10"/>
        <v>18.372943679999999</v>
      </c>
    </row>
    <row r="695" spans="1:8" x14ac:dyDescent="0.35">
      <c r="A695" s="24" t="s">
        <v>442</v>
      </c>
      <c r="B695" s="29">
        <v>46300</v>
      </c>
      <c r="C695" s="24" t="s">
        <v>665</v>
      </c>
      <c r="D695" s="21">
        <v>16</v>
      </c>
      <c r="E695" s="25">
        <v>4.41</v>
      </c>
      <c r="F695" s="26">
        <v>105</v>
      </c>
      <c r="G695" s="30">
        <f>'Efectos y supuestos'!$B$9*MAX(0,D695-'Efectos y supuestos'!$B$10)/30</f>
        <v>0</v>
      </c>
      <c r="H695" s="14">
        <f t="shared" si="10"/>
        <v>0</v>
      </c>
    </row>
    <row r="696" spans="1:8" x14ac:dyDescent="0.35">
      <c r="A696" s="24" t="s">
        <v>341</v>
      </c>
      <c r="B696" s="29">
        <v>46280</v>
      </c>
      <c r="C696" s="24" t="s">
        <v>665</v>
      </c>
      <c r="D696" s="21">
        <v>36</v>
      </c>
      <c r="E696" s="25">
        <v>3.48</v>
      </c>
      <c r="F696" s="26">
        <v>105</v>
      </c>
      <c r="G696" s="30">
        <f>'Efectos y supuestos'!$B$9*MAX(0,D696-'Efectos y supuestos'!$B$10)/30</f>
        <v>0</v>
      </c>
      <c r="H696" s="14">
        <f t="shared" si="10"/>
        <v>0</v>
      </c>
    </row>
    <row r="697" spans="1:8" x14ac:dyDescent="0.35">
      <c r="A697" s="24" t="s">
        <v>582</v>
      </c>
      <c r="B697" s="29">
        <v>46006</v>
      </c>
      <c r="C697" s="24" t="s">
        <v>648</v>
      </c>
      <c r="D697" s="21">
        <v>105</v>
      </c>
      <c r="E697" s="25">
        <v>5.48</v>
      </c>
      <c r="F697" s="26">
        <v>107.4</v>
      </c>
      <c r="G697" s="30">
        <f>'Efectos y supuestos'!$B$9*MAX(0,D697-'Efectos y supuestos'!$B$10)/30</f>
        <v>-7.3000000000000001E-3</v>
      </c>
      <c r="H697" s="14">
        <f t="shared" si="10"/>
        <v>4.2964296000000006</v>
      </c>
    </row>
    <row r="698" spans="1:8" x14ac:dyDescent="0.35">
      <c r="A698" s="24" t="s">
        <v>583</v>
      </c>
      <c r="B698" s="29">
        <v>46006</v>
      </c>
      <c r="C698" s="24" t="s">
        <v>648</v>
      </c>
      <c r="D698" s="21">
        <v>95</v>
      </c>
      <c r="E698" s="25">
        <v>7.39</v>
      </c>
      <c r="F698" s="26">
        <v>111.9</v>
      </c>
      <c r="G698" s="30">
        <f>'Efectos y supuestos'!$B$9*MAX(0,D698-'Efectos y supuestos'!$B$10)/30</f>
        <v>-2.4333333333333334E-3</v>
      </c>
      <c r="H698" s="14">
        <f t="shared" si="10"/>
        <v>2.0122230999999999</v>
      </c>
    </row>
    <row r="699" spans="1:8" x14ac:dyDescent="0.35">
      <c r="A699" s="24" t="s">
        <v>584</v>
      </c>
      <c r="B699" s="29">
        <v>46006</v>
      </c>
      <c r="C699" s="24" t="s">
        <v>648</v>
      </c>
      <c r="D699" s="21">
        <v>95</v>
      </c>
      <c r="E699" s="25">
        <v>10.76</v>
      </c>
      <c r="F699" s="26">
        <v>108.2</v>
      </c>
      <c r="G699" s="30">
        <f>'Efectos y supuestos'!$B$9*MAX(0,D699-'Efectos y supuestos'!$B$10)/30</f>
        <v>-2.4333333333333334E-3</v>
      </c>
      <c r="H699" s="14">
        <f t="shared" si="10"/>
        <v>2.8329645333333331</v>
      </c>
    </row>
    <row r="700" spans="1:8" x14ac:dyDescent="0.35">
      <c r="A700" s="24" t="s">
        <v>541</v>
      </c>
      <c r="B700" s="29">
        <v>46006</v>
      </c>
      <c r="C700" s="24" t="s">
        <v>648</v>
      </c>
      <c r="D700" s="21">
        <v>105</v>
      </c>
      <c r="E700" s="25">
        <v>2.98</v>
      </c>
      <c r="F700" s="26">
        <v>79.400000000000006</v>
      </c>
      <c r="G700" s="30">
        <f>'Efectos y supuestos'!$B$9*MAX(0,D700-'Efectos y supuestos'!$B$10)/30</f>
        <v>-7.3000000000000001E-3</v>
      </c>
      <c r="H700" s="14">
        <f t="shared" si="10"/>
        <v>1.7272676</v>
      </c>
    </row>
    <row r="701" spans="1:8" x14ac:dyDescent="0.35">
      <c r="A701" s="24" t="s">
        <v>108</v>
      </c>
      <c r="B701" s="29">
        <v>46303</v>
      </c>
      <c r="C701" s="24" t="s">
        <v>665</v>
      </c>
      <c r="D701" s="21">
        <v>13</v>
      </c>
      <c r="E701" s="25">
        <v>1.35</v>
      </c>
      <c r="F701" s="26">
        <v>105</v>
      </c>
      <c r="G701" s="30">
        <f>'Efectos y supuestos'!$B$9*MAX(0,D701-'Efectos y supuestos'!$B$10)/30</f>
        <v>0</v>
      </c>
      <c r="H701" s="14">
        <f t="shared" si="10"/>
        <v>0</v>
      </c>
    </row>
    <row r="702" spans="1:8" x14ac:dyDescent="0.35">
      <c r="A702" s="24" t="s">
        <v>109</v>
      </c>
      <c r="B702" s="29">
        <v>46303</v>
      </c>
      <c r="C702" s="24" t="s">
        <v>665</v>
      </c>
      <c r="D702" s="21">
        <v>13</v>
      </c>
      <c r="E702" s="25">
        <v>5.89</v>
      </c>
      <c r="F702" s="26">
        <v>105</v>
      </c>
      <c r="G702" s="30">
        <f>'Efectos y supuestos'!$B$9*MAX(0,D702-'Efectos y supuestos'!$B$10)/30</f>
        <v>0</v>
      </c>
      <c r="H702" s="14">
        <f t="shared" si="10"/>
        <v>0</v>
      </c>
    </row>
    <row r="703" spans="1:8" x14ac:dyDescent="0.35">
      <c r="A703" s="24" t="s">
        <v>110</v>
      </c>
      <c r="B703" s="29">
        <v>46303</v>
      </c>
      <c r="C703" s="24" t="s">
        <v>665</v>
      </c>
      <c r="D703" s="21">
        <v>13</v>
      </c>
      <c r="E703" s="25">
        <v>6.19</v>
      </c>
      <c r="F703" s="26">
        <v>105</v>
      </c>
      <c r="G703" s="30">
        <f>'Efectos y supuestos'!$B$9*MAX(0,D703-'Efectos y supuestos'!$B$10)/30</f>
        <v>0</v>
      </c>
      <c r="H703" s="14">
        <f t="shared" si="10"/>
        <v>0</v>
      </c>
    </row>
    <row r="704" spans="1:8" x14ac:dyDescent="0.35">
      <c r="A704" s="24" t="s">
        <v>443</v>
      </c>
      <c r="B704" s="29">
        <v>46303</v>
      </c>
      <c r="C704" s="24" t="s">
        <v>665</v>
      </c>
      <c r="D704" s="21">
        <v>13</v>
      </c>
      <c r="E704" s="25">
        <v>1.82</v>
      </c>
      <c r="F704" s="26">
        <v>105</v>
      </c>
      <c r="G704" s="30">
        <f>'Efectos y supuestos'!$B$9*MAX(0,D704-'Efectos y supuestos'!$B$10)/30</f>
        <v>0</v>
      </c>
      <c r="H704" s="14">
        <f t="shared" si="10"/>
        <v>0</v>
      </c>
    </row>
    <row r="705" spans="1:8" x14ac:dyDescent="0.35">
      <c r="A705" s="24" t="s">
        <v>111</v>
      </c>
      <c r="B705" s="29">
        <v>46300</v>
      </c>
      <c r="C705" s="24" t="s">
        <v>665</v>
      </c>
      <c r="D705" s="21">
        <v>16</v>
      </c>
      <c r="E705" s="25">
        <v>20.83</v>
      </c>
      <c r="F705" s="26">
        <v>105</v>
      </c>
      <c r="G705" s="30">
        <f>'Efectos y supuestos'!$B$9*MAX(0,D705-'Efectos y supuestos'!$B$10)/30</f>
        <v>0</v>
      </c>
      <c r="H705" s="14">
        <f t="shared" si="10"/>
        <v>0</v>
      </c>
    </row>
    <row r="706" spans="1:8" x14ac:dyDescent="0.35">
      <c r="A706" s="24" t="s">
        <v>342</v>
      </c>
      <c r="B706" s="29">
        <v>46096</v>
      </c>
      <c r="C706" s="24" t="s">
        <v>648</v>
      </c>
      <c r="D706" s="21">
        <v>109</v>
      </c>
      <c r="E706" s="25">
        <v>10.52</v>
      </c>
      <c r="F706" s="26">
        <v>107.8</v>
      </c>
      <c r="G706" s="30">
        <f>'Efectos y supuestos'!$B$9*MAX(0,D706-'Efectos y supuestos'!$B$10)/30</f>
        <v>-9.2466666666666652E-3</v>
      </c>
      <c r="H706" s="14">
        <f t="shared" si="10"/>
        <v>10.48623781333333</v>
      </c>
    </row>
    <row r="707" spans="1:8" x14ac:dyDescent="0.35">
      <c r="A707" s="24" t="s">
        <v>112</v>
      </c>
      <c r="B707" s="29">
        <v>46280</v>
      </c>
      <c r="C707" s="24" t="s">
        <v>665</v>
      </c>
      <c r="D707" s="21">
        <v>36</v>
      </c>
      <c r="E707" s="25">
        <v>18.66</v>
      </c>
      <c r="F707" s="26">
        <v>105</v>
      </c>
      <c r="G707" s="30">
        <f>'Efectos y supuestos'!$B$9*MAX(0,D707-'Efectos y supuestos'!$B$10)/30</f>
        <v>0</v>
      </c>
      <c r="H707" s="14">
        <f t="shared" si="10"/>
        <v>0</v>
      </c>
    </row>
    <row r="708" spans="1:8" x14ac:dyDescent="0.35">
      <c r="A708" s="24" t="s">
        <v>444</v>
      </c>
      <c r="B708" s="29">
        <v>46188</v>
      </c>
      <c r="C708" s="24" t="s">
        <v>665</v>
      </c>
      <c r="D708" s="21">
        <v>128</v>
      </c>
      <c r="E708" s="25">
        <v>7.45</v>
      </c>
      <c r="F708" s="26">
        <v>105</v>
      </c>
      <c r="G708" s="30">
        <f>'Efectos y supuestos'!$B$9*MAX(0,D708-'Efectos y supuestos'!$B$10)/30</f>
        <v>-1.849333333333333E-2</v>
      </c>
      <c r="H708" s="14">
        <f t="shared" si="10"/>
        <v>14.466409999999998</v>
      </c>
    </row>
    <row r="709" spans="1:8" x14ac:dyDescent="0.35">
      <c r="A709" s="24" t="s">
        <v>585</v>
      </c>
      <c r="B709" s="29">
        <v>46006</v>
      </c>
      <c r="C709" s="24" t="s">
        <v>648</v>
      </c>
      <c r="D709" s="21">
        <v>95</v>
      </c>
      <c r="E709" s="25">
        <v>5.43</v>
      </c>
      <c r="F709" s="26">
        <v>126.7</v>
      </c>
      <c r="G709" s="30">
        <f>'Efectos y supuestos'!$B$9*MAX(0,D709-'Efectos y supuestos'!$B$10)/30</f>
        <v>-2.4333333333333334E-3</v>
      </c>
      <c r="H709" s="14">
        <f t="shared" si="10"/>
        <v>1.6740870999999999</v>
      </c>
    </row>
    <row r="710" spans="1:8" x14ac:dyDescent="0.35">
      <c r="A710" s="24" t="s">
        <v>344</v>
      </c>
      <c r="B710" s="29">
        <v>46096</v>
      </c>
      <c r="C710" s="24" t="s">
        <v>648</v>
      </c>
      <c r="D710" s="21">
        <v>53</v>
      </c>
      <c r="E710" s="25">
        <v>8.84</v>
      </c>
      <c r="F710" s="26">
        <v>113.7</v>
      </c>
      <c r="G710" s="30">
        <f>'Efectos y supuestos'!$B$9*MAX(0,D710-'Efectos y supuestos'!$B$10)/30</f>
        <v>0</v>
      </c>
      <c r="H710" s="14">
        <f t="shared" si="10"/>
        <v>0</v>
      </c>
    </row>
    <row r="711" spans="1:8" x14ac:dyDescent="0.35">
      <c r="A711" s="24" t="s">
        <v>542</v>
      </c>
      <c r="B711" s="29">
        <v>46006</v>
      </c>
      <c r="C711" s="24" t="s">
        <v>648</v>
      </c>
      <c r="D711" s="21">
        <v>95</v>
      </c>
      <c r="E711" s="25">
        <v>3.6</v>
      </c>
      <c r="F711" s="26">
        <v>111.4</v>
      </c>
      <c r="G711" s="30">
        <f>'Efectos y supuestos'!$B$9*MAX(0,D711-'Efectos y supuestos'!$B$10)/30</f>
        <v>-2.4333333333333334E-3</v>
      </c>
      <c r="H711" s="14">
        <f t="shared" ref="H711:H774" si="11">-G711*F711*E711</f>
        <v>0.97586400000000006</v>
      </c>
    </row>
    <row r="712" spans="1:8" x14ac:dyDescent="0.35">
      <c r="A712" s="24" t="s">
        <v>586</v>
      </c>
      <c r="B712" s="29">
        <v>46006</v>
      </c>
      <c r="C712" s="24" t="s">
        <v>648</v>
      </c>
      <c r="D712" s="21">
        <v>95</v>
      </c>
      <c r="E712" s="25">
        <v>9.49</v>
      </c>
      <c r="F712" s="26">
        <v>127.9</v>
      </c>
      <c r="G712" s="30">
        <f>'Efectos y supuestos'!$B$9*MAX(0,D712-'Efectos y supuestos'!$B$10)/30</f>
        <v>-2.4333333333333334E-3</v>
      </c>
      <c r="H712" s="14">
        <f t="shared" si="11"/>
        <v>2.9535094333333336</v>
      </c>
    </row>
    <row r="713" spans="1:8" x14ac:dyDescent="0.35">
      <c r="A713" s="24" t="s">
        <v>624</v>
      </c>
      <c r="B713" s="29">
        <v>46006</v>
      </c>
      <c r="C713" s="24" t="s">
        <v>648</v>
      </c>
      <c r="D713" s="21">
        <v>116</v>
      </c>
      <c r="E713" s="25">
        <v>13.74</v>
      </c>
      <c r="F713" s="26">
        <v>109</v>
      </c>
      <c r="G713" s="30">
        <f>'Efectos y supuestos'!$B$9*MAX(0,D713-'Efectos y supuestos'!$B$10)/30</f>
        <v>-1.2653333333333332E-2</v>
      </c>
      <c r="H713" s="14">
        <f t="shared" si="11"/>
        <v>18.950391199999999</v>
      </c>
    </row>
    <row r="714" spans="1:8" x14ac:dyDescent="0.35">
      <c r="A714" s="24" t="s">
        <v>543</v>
      </c>
      <c r="B714" s="29">
        <v>46006</v>
      </c>
      <c r="C714" s="24" t="s">
        <v>648</v>
      </c>
      <c r="D714" s="21">
        <v>105</v>
      </c>
      <c r="E714" s="25">
        <v>3.2</v>
      </c>
      <c r="F714" s="26">
        <v>124.8</v>
      </c>
      <c r="G714" s="30">
        <f>'Efectos y supuestos'!$B$9*MAX(0,D714-'Efectos y supuestos'!$B$10)/30</f>
        <v>-7.3000000000000001E-3</v>
      </c>
      <c r="H714" s="14">
        <f t="shared" si="11"/>
        <v>2.9153280000000001</v>
      </c>
    </row>
    <row r="715" spans="1:8" x14ac:dyDescent="0.35">
      <c r="A715" s="24" t="s">
        <v>544</v>
      </c>
      <c r="B715" s="29">
        <v>45976</v>
      </c>
      <c r="C715" s="24" t="s">
        <v>648</v>
      </c>
      <c r="D715" s="21">
        <v>82</v>
      </c>
      <c r="E715" s="25">
        <v>7.66</v>
      </c>
      <c r="F715" s="26">
        <v>131.4</v>
      </c>
      <c r="G715" s="30">
        <f>'Efectos y supuestos'!$B$9*MAX(0,D715-'Efectos y supuestos'!$B$10)/30</f>
        <v>0</v>
      </c>
      <c r="H715" s="14">
        <f t="shared" si="11"/>
        <v>0</v>
      </c>
    </row>
    <row r="716" spans="1:8" x14ac:dyDescent="0.35">
      <c r="A716" s="24" t="s">
        <v>445</v>
      </c>
      <c r="B716" s="29">
        <v>46308</v>
      </c>
      <c r="C716" s="24" t="s">
        <v>665</v>
      </c>
      <c r="D716" s="21">
        <v>8</v>
      </c>
      <c r="E716" s="25">
        <v>4.1500000000000004</v>
      </c>
      <c r="F716" s="26">
        <v>105</v>
      </c>
      <c r="G716" s="30">
        <f>'Efectos y supuestos'!$B$9*MAX(0,D716-'Efectos y supuestos'!$B$10)/30</f>
        <v>0</v>
      </c>
      <c r="H716" s="14">
        <f t="shared" si="11"/>
        <v>0</v>
      </c>
    </row>
    <row r="717" spans="1:8" x14ac:dyDescent="0.35">
      <c r="A717" s="24" t="s">
        <v>545</v>
      </c>
      <c r="B717" s="29">
        <v>46006</v>
      </c>
      <c r="C717" s="24" t="s">
        <v>648</v>
      </c>
      <c r="D717" s="21">
        <v>52</v>
      </c>
      <c r="E717" s="25">
        <v>14.9</v>
      </c>
      <c r="F717" s="26">
        <v>127</v>
      </c>
      <c r="G717" s="30">
        <f>'Efectos y supuestos'!$B$9*MAX(0,D717-'Efectos y supuestos'!$B$10)/30</f>
        <v>0</v>
      </c>
      <c r="H717" s="14">
        <f t="shared" si="11"/>
        <v>0</v>
      </c>
    </row>
    <row r="718" spans="1:8" x14ac:dyDescent="0.35">
      <c r="A718" s="24" t="s">
        <v>546</v>
      </c>
      <c r="B718" s="29">
        <v>45976</v>
      </c>
      <c r="C718" s="24" t="s">
        <v>648</v>
      </c>
      <c r="D718" s="21">
        <v>135</v>
      </c>
      <c r="E718" s="25">
        <v>20.53</v>
      </c>
      <c r="F718" s="26">
        <v>92.4</v>
      </c>
      <c r="G718" s="30">
        <f>'Efectos y supuestos'!$B$9*MAX(0,D718-'Efectos y supuestos'!$B$10)/30</f>
        <v>-2.1899999999999999E-2</v>
      </c>
      <c r="H718" s="14">
        <f t="shared" si="11"/>
        <v>41.54368680000001</v>
      </c>
    </row>
    <row r="719" spans="1:8" x14ac:dyDescent="0.35">
      <c r="A719" s="24" t="s">
        <v>346</v>
      </c>
      <c r="B719" s="29">
        <v>46188</v>
      </c>
      <c r="C719" s="24" t="s">
        <v>647</v>
      </c>
      <c r="D719" s="21">
        <v>95</v>
      </c>
      <c r="E719" s="25">
        <v>5.43</v>
      </c>
      <c r="F719" s="26">
        <v>104.7</v>
      </c>
      <c r="G719" s="30">
        <f>'Efectos y supuestos'!$B$9*MAX(0,D719-'Efectos y supuestos'!$B$10)/30</f>
        <v>-2.4333333333333334E-3</v>
      </c>
      <c r="H719" s="14">
        <f t="shared" si="11"/>
        <v>1.3834010999999999</v>
      </c>
    </row>
    <row r="720" spans="1:8" x14ac:dyDescent="0.35">
      <c r="A720" s="24" t="s">
        <v>471</v>
      </c>
      <c r="B720" s="29">
        <v>46311</v>
      </c>
      <c r="C720" s="24" t="s">
        <v>665</v>
      </c>
      <c r="D720" s="21">
        <v>5</v>
      </c>
      <c r="E720" s="25">
        <v>6.32</v>
      </c>
      <c r="F720" s="26">
        <v>105</v>
      </c>
      <c r="G720" s="30">
        <f>'Efectos y supuestos'!$B$9*MAX(0,D720-'Efectos y supuestos'!$B$10)/30</f>
        <v>0</v>
      </c>
      <c r="H720" s="14">
        <f t="shared" si="11"/>
        <v>0</v>
      </c>
    </row>
    <row r="721" spans="1:8" x14ac:dyDescent="0.35">
      <c r="A721" s="24" t="s">
        <v>347</v>
      </c>
      <c r="B721" s="29">
        <v>46096</v>
      </c>
      <c r="C721" s="24" t="s">
        <v>648</v>
      </c>
      <c r="D721" s="21">
        <v>109</v>
      </c>
      <c r="E721" s="25">
        <v>7.26</v>
      </c>
      <c r="F721" s="26">
        <v>90.8</v>
      </c>
      <c r="G721" s="30">
        <f>'Efectos y supuestos'!$B$9*MAX(0,D721-'Efectos y supuestos'!$B$10)/30</f>
        <v>-9.2466666666666652E-3</v>
      </c>
      <c r="H721" s="14">
        <f t="shared" si="11"/>
        <v>6.0954766399999984</v>
      </c>
    </row>
    <row r="722" spans="1:8" x14ac:dyDescent="0.35">
      <c r="A722" s="24" t="s">
        <v>348</v>
      </c>
      <c r="B722" s="29">
        <v>46096</v>
      </c>
      <c r="C722" s="24" t="s">
        <v>648</v>
      </c>
      <c r="D722" s="21">
        <v>75</v>
      </c>
      <c r="E722" s="25">
        <v>19.28</v>
      </c>
      <c r="F722" s="26">
        <v>93.3</v>
      </c>
      <c r="G722" s="30">
        <f>'Efectos y supuestos'!$B$9*MAX(0,D722-'Efectos y supuestos'!$B$10)/30</f>
        <v>0</v>
      </c>
      <c r="H722" s="14">
        <f t="shared" si="11"/>
        <v>0</v>
      </c>
    </row>
    <row r="723" spans="1:8" x14ac:dyDescent="0.35">
      <c r="A723" s="24" t="s">
        <v>559</v>
      </c>
      <c r="B723" s="29">
        <v>46006</v>
      </c>
      <c r="C723" s="24" t="s">
        <v>648</v>
      </c>
      <c r="D723" s="21">
        <v>105</v>
      </c>
      <c r="E723" s="25">
        <v>9.51</v>
      </c>
      <c r="F723" s="26">
        <v>69.599999999999994</v>
      </c>
      <c r="G723" s="30">
        <f>'Efectos y supuestos'!$B$9*MAX(0,D723-'Efectos y supuestos'!$B$10)/30</f>
        <v>-7.3000000000000001E-3</v>
      </c>
      <c r="H723" s="14">
        <f t="shared" si="11"/>
        <v>4.8318407999999993</v>
      </c>
    </row>
    <row r="724" spans="1:8" x14ac:dyDescent="0.35">
      <c r="A724" s="24" t="s">
        <v>404</v>
      </c>
      <c r="B724" s="29">
        <v>46280</v>
      </c>
      <c r="C724" s="24" t="s">
        <v>665</v>
      </c>
      <c r="D724" s="21">
        <v>36</v>
      </c>
      <c r="E724" s="25">
        <v>10.55</v>
      </c>
      <c r="F724" s="26">
        <v>105</v>
      </c>
      <c r="G724" s="30">
        <f>'Efectos y supuestos'!$B$9*MAX(0,D724-'Efectos y supuestos'!$B$10)/30</f>
        <v>0</v>
      </c>
      <c r="H724" s="14">
        <f t="shared" si="11"/>
        <v>0</v>
      </c>
    </row>
    <row r="725" spans="1:8" x14ac:dyDescent="0.35">
      <c r="A725" s="24" t="s">
        <v>350</v>
      </c>
      <c r="B725" s="29">
        <v>46249</v>
      </c>
      <c r="C725" s="24" t="s">
        <v>665</v>
      </c>
      <c r="D725" s="21">
        <v>67</v>
      </c>
      <c r="E725" s="25">
        <v>6.16</v>
      </c>
      <c r="F725" s="26">
        <v>105</v>
      </c>
      <c r="G725" s="30">
        <f>'Efectos y supuestos'!$B$9*MAX(0,D725-'Efectos y supuestos'!$B$10)/30</f>
        <v>0</v>
      </c>
      <c r="H725" s="14">
        <f t="shared" si="11"/>
        <v>0</v>
      </c>
    </row>
    <row r="726" spans="1:8" x14ac:dyDescent="0.35">
      <c r="A726" s="24" t="s">
        <v>351</v>
      </c>
      <c r="B726" s="29">
        <v>46249</v>
      </c>
      <c r="C726" s="24" t="s">
        <v>665</v>
      </c>
      <c r="D726" s="21">
        <v>67</v>
      </c>
      <c r="E726" s="25">
        <v>4.3600000000000003</v>
      </c>
      <c r="F726" s="26">
        <v>105</v>
      </c>
      <c r="G726" s="30">
        <f>'Efectos y supuestos'!$B$9*MAX(0,D726-'Efectos y supuestos'!$B$10)/30</f>
        <v>0</v>
      </c>
      <c r="H726" s="14">
        <f t="shared" si="11"/>
        <v>0</v>
      </c>
    </row>
    <row r="727" spans="1:8" x14ac:dyDescent="0.35">
      <c r="A727" s="24" t="s">
        <v>405</v>
      </c>
      <c r="B727" s="29">
        <v>46308</v>
      </c>
      <c r="C727" s="24" t="s">
        <v>665</v>
      </c>
      <c r="D727" s="21">
        <v>8</v>
      </c>
      <c r="E727" s="25">
        <v>5.17</v>
      </c>
      <c r="F727" s="26">
        <v>105</v>
      </c>
      <c r="G727" s="30">
        <f>'Efectos y supuestos'!$B$9*MAX(0,D727-'Efectos y supuestos'!$B$10)/30</f>
        <v>0</v>
      </c>
      <c r="H727" s="14">
        <f t="shared" si="11"/>
        <v>0</v>
      </c>
    </row>
    <row r="728" spans="1:8" x14ac:dyDescent="0.35">
      <c r="A728" s="24" t="s">
        <v>547</v>
      </c>
      <c r="B728" s="29">
        <v>46006</v>
      </c>
      <c r="C728" s="24" t="s">
        <v>648</v>
      </c>
      <c r="D728" s="21">
        <v>105</v>
      </c>
      <c r="E728" s="25">
        <v>7.42</v>
      </c>
      <c r="F728" s="26">
        <v>84.8</v>
      </c>
      <c r="G728" s="30">
        <f>'Efectos y supuestos'!$B$9*MAX(0,D728-'Efectos y supuestos'!$B$10)/30</f>
        <v>-7.3000000000000001E-3</v>
      </c>
      <c r="H728" s="14">
        <f t="shared" si="11"/>
        <v>4.5932767999999999</v>
      </c>
    </row>
    <row r="729" spans="1:8" x14ac:dyDescent="0.35">
      <c r="A729" s="24" t="s">
        <v>352</v>
      </c>
      <c r="B729" s="29">
        <v>46096</v>
      </c>
      <c r="C729" s="24" t="s">
        <v>648</v>
      </c>
      <c r="D729" s="21">
        <v>75</v>
      </c>
      <c r="E729" s="25">
        <v>13.07</v>
      </c>
      <c r="F729" s="26">
        <v>90.7</v>
      </c>
      <c r="G729" s="30">
        <f>'Efectos y supuestos'!$B$9*MAX(0,D729-'Efectos y supuestos'!$B$10)/30</f>
        <v>0</v>
      </c>
      <c r="H729" s="14">
        <f t="shared" si="11"/>
        <v>0</v>
      </c>
    </row>
    <row r="730" spans="1:8" x14ac:dyDescent="0.35">
      <c r="A730" s="24" t="s">
        <v>548</v>
      </c>
      <c r="B730" s="29">
        <v>46006</v>
      </c>
      <c r="C730" s="24" t="s">
        <v>648</v>
      </c>
      <c r="D730" s="21">
        <v>74</v>
      </c>
      <c r="E730" s="25">
        <v>10.26</v>
      </c>
      <c r="F730" s="26">
        <v>98.3</v>
      </c>
      <c r="G730" s="30">
        <f>'Efectos y supuestos'!$B$9*MAX(0,D730-'Efectos y supuestos'!$B$10)/30</f>
        <v>0</v>
      </c>
      <c r="H730" s="14">
        <f t="shared" si="11"/>
        <v>0</v>
      </c>
    </row>
    <row r="731" spans="1:8" x14ac:dyDescent="0.35">
      <c r="A731" s="24" t="s">
        <v>549</v>
      </c>
      <c r="B731" s="29">
        <v>46006</v>
      </c>
      <c r="C731" s="24" t="s">
        <v>648</v>
      </c>
      <c r="D731" s="21">
        <v>74</v>
      </c>
      <c r="E731" s="25">
        <v>5.82</v>
      </c>
      <c r="F731" s="26">
        <v>114.2</v>
      </c>
      <c r="G731" s="30">
        <f>'Efectos y supuestos'!$B$9*MAX(0,D731-'Efectos y supuestos'!$B$10)/30</f>
        <v>0</v>
      </c>
      <c r="H731" s="14">
        <f t="shared" si="11"/>
        <v>0</v>
      </c>
    </row>
    <row r="732" spans="1:8" x14ac:dyDescent="0.35">
      <c r="A732" s="24" t="s">
        <v>560</v>
      </c>
      <c r="B732" s="29">
        <v>46006</v>
      </c>
      <c r="C732" s="24" t="s">
        <v>648</v>
      </c>
      <c r="D732" s="21">
        <v>74</v>
      </c>
      <c r="E732" s="25">
        <v>13.14</v>
      </c>
      <c r="F732" s="26">
        <v>107.3</v>
      </c>
      <c r="G732" s="30">
        <f>'Efectos y supuestos'!$B$9*MAX(0,D732-'Efectos y supuestos'!$B$10)/30</f>
        <v>0</v>
      </c>
      <c r="H732" s="14">
        <f t="shared" si="11"/>
        <v>0</v>
      </c>
    </row>
    <row r="733" spans="1:8" x14ac:dyDescent="0.35">
      <c r="A733" s="24" t="s">
        <v>143</v>
      </c>
      <c r="B733" s="29">
        <v>46006</v>
      </c>
      <c r="C733" s="24" t="s">
        <v>647</v>
      </c>
      <c r="D733" s="21">
        <v>39</v>
      </c>
      <c r="E733" s="25">
        <v>7.61</v>
      </c>
      <c r="F733" s="26">
        <v>102.6</v>
      </c>
      <c r="G733" s="30">
        <f>'Efectos y supuestos'!$B$9*MAX(0,D733-'Efectos y supuestos'!$B$10)/30</f>
        <v>0</v>
      </c>
      <c r="H733" s="14">
        <f t="shared" si="11"/>
        <v>0</v>
      </c>
    </row>
    <row r="734" spans="1:8" x14ac:dyDescent="0.35">
      <c r="A734" s="24" t="s">
        <v>144</v>
      </c>
      <c r="B734" s="29">
        <v>46006</v>
      </c>
      <c r="C734" s="24" t="s">
        <v>647</v>
      </c>
      <c r="D734" s="21">
        <v>39</v>
      </c>
      <c r="E734" s="25">
        <v>15.21</v>
      </c>
      <c r="F734" s="26">
        <v>96.7</v>
      </c>
      <c r="G734" s="30">
        <f>'Efectos y supuestos'!$B$9*MAX(0,D734-'Efectos y supuestos'!$B$10)/30</f>
        <v>0</v>
      </c>
      <c r="H734" s="14">
        <f t="shared" si="11"/>
        <v>0</v>
      </c>
    </row>
    <row r="735" spans="1:8" x14ac:dyDescent="0.35">
      <c r="A735" s="24" t="s">
        <v>625</v>
      </c>
      <c r="B735" s="29">
        <v>45976</v>
      </c>
      <c r="C735" s="24" t="s">
        <v>648</v>
      </c>
      <c r="D735" s="21">
        <v>82</v>
      </c>
      <c r="E735" s="25">
        <v>2.58</v>
      </c>
      <c r="F735" s="26">
        <v>72.400000000000006</v>
      </c>
      <c r="G735" s="30">
        <f>'Efectos y supuestos'!$B$9*MAX(0,D735-'Efectos y supuestos'!$B$10)/30</f>
        <v>0</v>
      </c>
      <c r="H735" s="14">
        <f t="shared" si="11"/>
        <v>0</v>
      </c>
    </row>
    <row r="736" spans="1:8" x14ac:dyDescent="0.35">
      <c r="A736" s="24" t="s">
        <v>353</v>
      </c>
      <c r="B736" s="29">
        <v>46218</v>
      </c>
      <c r="C736" s="24" t="s">
        <v>665</v>
      </c>
      <c r="D736" s="21">
        <v>98</v>
      </c>
      <c r="E736" s="25">
        <v>11.05</v>
      </c>
      <c r="F736" s="26">
        <v>105</v>
      </c>
      <c r="G736" s="30">
        <f>'Efectos y supuestos'!$B$9*MAX(0,D736-'Efectos y supuestos'!$B$10)/30</f>
        <v>-3.8933333333333333E-3</v>
      </c>
      <c r="H736" s="14">
        <f t="shared" si="11"/>
        <v>4.5172400000000001</v>
      </c>
    </row>
    <row r="737" spans="1:8" x14ac:dyDescent="0.35">
      <c r="A737" s="24" t="s">
        <v>626</v>
      </c>
      <c r="B737" s="29">
        <v>45976</v>
      </c>
      <c r="C737" s="24" t="s">
        <v>648</v>
      </c>
      <c r="D737" s="21">
        <v>96</v>
      </c>
      <c r="E737" s="25">
        <v>4.66</v>
      </c>
      <c r="F737" s="26">
        <v>108</v>
      </c>
      <c r="G737" s="30">
        <f>'Efectos y supuestos'!$B$9*MAX(0,D737-'Efectos y supuestos'!$B$10)/30</f>
        <v>-2.9199999999999999E-3</v>
      </c>
      <c r="H737" s="14">
        <f t="shared" si="11"/>
        <v>1.4695775999999998</v>
      </c>
    </row>
    <row r="738" spans="1:8" x14ac:dyDescent="0.35">
      <c r="A738" s="24" t="s">
        <v>446</v>
      </c>
      <c r="B738" s="29">
        <v>46096</v>
      </c>
      <c r="C738" s="24" t="s">
        <v>648</v>
      </c>
      <c r="D738" s="21">
        <v>81</v>
      </c>
      <c r="E738" s="25">
        <v>13.53</v>
      </c>
      <c r="F738" s="26">
        <v>90.6</v>
      </c>
      <c r="G738" s="30">
        <f>'Efectos y supuestos'!$B$9*MAX(0,D738-'Efectos y supuestos'!$B$10)/30</f>
        <v>0</v>
      </c>
      <c r="H738" s="14">
        <f t="shared" si="11"/>
        <v>0</v>
      </c>
    </row>
    <row r="739" spans="1:8" x14ac:dyDescent="0.35">
      <c r="A739" s="24" t="s">
        <v>354</v>
      </c>
      <c r="B739" s="29">
        <v>46280</v>
      </c>
      <c r="C739" s="24" t="s">
        <v>665</v>
      </c>
      <c r="D739" s="21">
        <v>36</v>
      </c>
      <c r="E739" s="25">
        <v>15.35</v>
      </c>
      <c r="F739" s="26">
        <v>105</v>
      </c>
      <c r="G739" s="30">
        <f>'Efectos y supuestos'!$B$9*MAX(0,D739-'Efectos y supuestos'!$B$10)/30</f>
        <v>0</v>
      </c>
      <c r="H739" s="14">
        <f t="shared" si="11"/>
        <v>0</v>
      </c>
    </row>
    <row r="740" spans="1:8" x14ac:dyDescent="0.35">
      <c r="A740" s="24" t="s">
        <v>355</v>
      </c>
      <c r="B740" s="29">
        <v>46280</v>
      </c>
      <c r="C740" s="24" t="s">
        <v>665</v>
      </c>
      <c r="D740" s="21">
        <v>36</v>
      </c>
      <c r="E740" s="25">
        <v>11.66</v>
      </c>
      <c r="F740" s="26">
        <v>105</v>
      </c>
      <c r="G740" s="30">
        <f>'Efectos y supuestos'!$B$9*MAX(0,D740-'Efectos y supuestos'!$B$10)/30</f>
        <v>0</v>
      </c>
      <c r="H740" s="14">
        <f t="shared" si="11"/>
        <v>0</v>
      </c>
    </row>
    <row r="741" spans="1:8" x14ac:dyDescent="0.35">
      <c r="A741" s="24" t="s">
        <v>633</v>
      </c>
      <c r="B741" s="29">
        <v>46280</v>
      </c>
      <c r="C741" s="24" t="s">
        <v>665</v>
      </c>
      <c r="D741" s="21">
        <v>36</v>
      </c>
      <c r="E741" s="25">
        <v>8.5500000000000007</v>
      </c>
      <c r="F741" s="26">
        <v>105</v>
      </c>
      <c r="G741" s="30">
        <f>'Efectos y supuestos'!$B$9*MAX(0,D741-'Efectos y supuestos'!$B$10)/30</f>
        <v>0</v>
      </c>
      <c r="H741" s="14">
        <f t="shared" si="11"/>
        <v>0</v>
      </c>
    </row>
    <row r="742" spans="1:8" x14ac:dyDescent="0.35">
      <c r="A742" s="24" t="s">
        <v>634</v>
      </c>
      <c r="B742" s="29">
        <v>46310</v>
      </c>
      <c r="C742" s="24" t="s">
        <v>665</v>
      </c>
      <c r="D742" s="21">
        <v>6</v>
      </c>
      <c r="E742" s="25">
        <v>8.5399999999999991</v>
      </c>
      <c r="F742" s="26">
        <v>105</v>
      </c>
      <c r="G742" s="30">
        <f>'Efectos y supuestos'!$B$9*MAX(0,D742-'Efectos y supuestos'!$B$10)/30</f>
        <v>0</v>
      </c>
      <c r="H742" s="14">
        <f t="shared" si="11"/>
        <v>0</v>
      </c>
    </row>
    <row r="743" spans="1:8" x14ac:dyDescent="0.35">
      <c r="A743" s="24" t="s">
        <v>447</v>
      </c>
      <c r="B743" s="29">
        <v>46188</v>
      </c>
      <c r="C743" s="24" t="s">
        <v>647</v>
      </c>
      <c r="D743" s="21">
        <v>102</v>
      </c>
      <c r="E743" s="25">
        <v>10.61</v>
      </c>
      <c r="F743" s="26">
        <v>105</v>
      </c>
      <c r="G743" s="30">
        <f>'Efectos y supuestos'!$B$9*MAX(0,D743-'Efectos y supuestos'!$B$10)/30</f>
        <v>-5.8399999999999997E-3</v>
      </c>
      <c r="H743" s="14">
        <f t="shared" si="11"/>
        <v>6.5060519999999995</v>
      </c>
    </row>
    <row r="744" spans="1:8" x14ac:dyDescent="0.35">
      <c r="A744" s="24" t="s">
        <v>472</v>
      </c>
      <c r="B744" s="29">
        <v>46188</v>
      </c>
      <c r="C744" s="24" t="s">
        <v>647</v>
      </c>
      <c r="D744" s="21">
        <v>103</v>
      </c>
      <c r="E744" s="25">
        <v>5.49</v>
      </c>
      <c r="F744" s="26">
        <v>111.1</v>
      </c>
      <c r="G744" s="30">
        <f>'Efectos y supuestos'!$B$9*MAX(0,D744-'Efectos y supuestos'!$B$10)/30</f>
        <v>-6.3266666666666662E-3</v>
      </c>
      <c r="H744" s="14">
        <f t="shared" si="11"/>
        <v>3.85888074</v>
      </c>
    </row>
    <row r="745" spans="1:8" x14ac:dyDescent="0.35">
      <c r="A745" s="24" t="s">
        <v>627</v>
      </c>
      <c r="B745" s="29">
        <v>45976</v>
      </c>
      <c r="C745" s="24" t="s">
        <v>648</v>
      </c>
      <c r="D745" s="21">
        <v>96</v>
      </c>
      <c r="E745" s="25">
        <v>2.98</v>
      </c>
      <c r="F745" s="26">
        <v>97.2</v>
      </c>
      <c r="G745" s="30">
        <f>'Efectos y supuestos'!$B$9*MAX(0,D745-'Efectos y supuestos'!$B$10)/30</f>
        <v>-2.9199999999999999E-3</v>
      </c>
      <c r="H745" s="14">
        <f t="shared" si="11"/>
        <v>0.84579552000000002</v>
      </c>
    </row>
    <row r="746" spans="1:8" x14ac:dyDescent="0.35">
      <c r="A746" s="24" t="s">
        <v>635</v>
      </c>
      <c r="B746" s="29">
        <v>46310</v>
      </c>
      <c r="C746" s="24" t="s">
        <v>665</v>
      </c>
      <c r="D746" s="21">
        <v>6</v>
      </c>
      <c r="E746" s="25">
        <v>14.26</v>
      </c>
      <c r="F746" s="26">
        <v>105</v>
      </c>
      <c r="G746" s="30">
        <f>'Efectos y supuestos'!$B$9*MAX(0,D746-'Efectos y supuestos'!$B$10)/30</f>
        <v>0</v>
      </c>
      <c r="H746" s="14">
        <f t="shared" si="11"/>
        <v>0</v>
      </c>
    </row>
    <row r="747" spans="1:8" x14ac:dyDescent="0.35">
      <c r="A747" s="24" t="s">
        <v>357</v>
      </c>
      <c r="B747" s="29">
        <v>46096</v>
      </c>
      <c r="C747" s="24" t="s">
        <v>648</v>
      </c>
      <c r="D747" s="21">
        <v>75</v>
      </c>
      <c r="E747" s="25">
        <v>8.44</v>
      </c>
      <c r="F747" s="26">
        <v>110.5</v>
      </c>
      <c r="G747" s="30">
        <f>'Efectos y supuestos'!$B$9*MAX(0,D747-'Efectos y supuestos'!$B$10)/30</f>
        <v>0</v>
      </c>
      <c r="H747" s="14">
        <f t="shared" si="11"/>
        <v>0</v>
      </c>
    </row>
    <row r="748" spans="1:8" x14ac:dyDescent="0.35">
      <c r="A748" s="24" t="s">
        <v>448</v>
      </c>
      <c r="B748" s="29">
        <v>46280</v>
      </c>
      <c r="C748" s="24" t="s">
        <v>665</v>
      </c>
      <c r="D748" s="21">
        <v>36</v>
      </c>
      <c r="E748" s="25">
        <v>7.42</v>
      </c>
      <c r="F748" s="26">
        <v>105</v>
      </c>
      <c r="G748" s="30">
        <f>'Efectos y supuestos'!$B$9*MAX(0,D748-'Efectos y supuestos'!$B$10)/30</f>
        <v>0</v>
      </c>
      <c r="H748" s="14">
        <f t="shared" si="11"/>
        <v>0</v>
      </c>
    </row>
    <row r="749" spans="1:8" x14ac:dyDescent="0.35">
      <c r="A749" s="24" t="s">
        <v>358</v>
      </c>
      <c r="B749" s="29">
        <v>46218</v>
      </c>
      <c r="C749" s="24" t="s">
        <v>665</v>
      </c>
      <c r="D749" s="21">
        <v>98</v>
      </c>
      <c r="E749" s="25">
        <v>8.06</v>
      </c>
      <c r="F749" s="26">
        <v>105</v>
      </c>
      <c r="G749" s="30">
        <f>'Efectos y supuestos'!$B$9*MAX(0,D749-'Efectos y supuestos'!$B$10)/30</f>
        <v>-3.8933333333333333E-3</v>
      </c>
      <c r="H749" s="14">
        <f t="shared" si="11"/>
        <v>3.2949280000000001</v>
      </c>
    </row>
    <row r="750" spans="1:8" x14ac:dyDescent="0.35">
      <c r="A750" s="24" t="s">
        <v>359</v>
      </c>
      <c r="B750" s="29">
        <v>46218</v>
      </c>
      <c r="C750" s="24" t="s">
        <v>665</v>
      </c>
      <c r="D750" s="21">
        <v>98</v>
      </c>
      <c r="E750" s="25">
        <v>22.23</v>
      </c>
      <c r="F750" s="26">
        <v>105</v>
      </c>
      <c r="G750" s="30">
        <f>'Efectos y supuestos'!$B$9*MAX(0,D750-'Efectos y supuestos'!$B$10)/30</f>
        <v>-3.8933333333333333E-3</v>
      </c>
      <c r="H750" s="14">
        <f t="shared" si="11"/>
        <v>9.0876239999999999</v>
      </c>
    </row>
    <row r="751" spans="1:8" x14ac:dyDescent="0.35">
      <c r="A751" s="24" t="s">
        <v>636</v>
      </c>
      <c r="B751" s="29">
        <v>46280</v>
      </c>
      <c r="C751" s="24" t="s">
        <v>665</v>
      </c>
      <c r="D751" s="21">
        <v>36</v>
      </c>
      <c r="E751" s="25">
        <v>1.69</v>
      </c>
      <c r="F751" s="26">
        <v>105</v>
      </c>
      <c r="G751" s="30">
        <f>'Efectos y supuestos'!$B$9*MAX(0,D751-'Efectos y supuestos'!$B$10)/30</f>
        <v>0</v>
      </c>
      <c r="H751" s="14">
        <f t="shared" si="11"/>
        <v>0</v>
      </c>
    </row>
    <row r="752" spans="1:8" x14ac:dyDescent="0.35">
      <c r="A752" s="24" t="s">
        <v>146</v>
      </c>
      <c r="B752" s="29">
        <v>46006</v>
      </c>
      <c r="C752" s="24" t="s">
        <v>647</v>
      </c>
      <c r="D752" s="21">
        <v>33</v>
      </c>
      <c r="E752" s="25">
        <v>6.58</v>
      </c>
      <c r="F752" s="26">
        <v>92.9</v>
      </c>
      <c r="G752" s="30">
        <f>'Efectos y supuestos'!$B$9*MAX(0,D752-'Efectos y supuestos'!$B$10)/30</f>
        <v>0</v>
      </c>
      <c r="H752" s="14">
        <f t="shared" si="11"/>
        <v>0</v>
      </c>
    </row>
    <row r="753" spans="1:8" x14ac:dyDescent="0.35">
      <c r="A753" s="24" t="s">
        <v>587</v>
      </c>
      <c r="B753" s="29">
        <v>45976</v>
      </c>
      <c r="C753" s="24" t="s">
        <v>648</v>
      </c>
      <c r="D753" s="21">
        <v>82</v>
      </c>
      <c r="E753" s="25">
        <v>8.58</v>
      </c>
      <c r="F753" s="26">
        <v>114.9</v>
      </c>
      <c r="G753" s="30">
        <f>'Efectos y supuestos'!$B$9*MAX(0,D753-'Efectos y supuestos'!$B$10)/30</f>
        <v>0</v>
      </c>
      <c r="H753" s="14">
        <f t="shared" si="11"/>
        <v>0</v>
      </c>
    </row>
    <row r="754" spans="1:8" x14ac:dyDescent="0.35">
      <c r="A754" s="24" t="s">
        <v>360</v>
      </c>
      <c r="B754" s="29">
        <v>46280</v>
      </c>
      <c r="C754" s="24" t="s">
        <v>665</v>
      </c>
      <c r="D754" s="21">
        <v>36</v>
      </c>
      <c r="E754" s="25">
        <v>8.67</v>
      </c>
      <c r="F754" s="26">
        <v>105</v>
      </c>
      <c r="G754" s="30">
        <f>'Efectos y supuestos'!$B$9*MAX(0,D754-'Efectos y supuestos'!$B$10)/30</f>
        <v>0</v>
      </c>
      <c r="H754" s="14">
        <f t="shared" si="11"/>
        <v>0</v>
      </c>
    </row>
    <row r="755" spans="1:8" x14ac:dyDescent="0.35">
      <c r="A755" s="24" t="s">
        <v>361</v>
      </c>
      <c r="B755" s="29">
        <v>46096</v>
      </c>
      <c r="C755" s="24" t="s">
        <v>648</v>
      </c>
      <c r="D755" s="21">
        <v>53</v>
      </c>
      <c r="E755" s="25">
        <v>11.37</v>
      </c>
      <c r="F755" s="26">
        <v>87.6</v>
      </c>
      <c r="G755" s="30">
        <f>'Efectos y supuestos'!$B$9*MAX(0,D755-'Efectos y supuestos'!$B$10)/30</f>
        <v>0</v>
      </c>
      <c r="H755" s="14">
        <f t="shared" si="11"/>
        <v>0</v>
      </c>
    </row>
    <row r="756" spans="1:8" x14ac:dyDescent="0.35">
      <c r="A756" s="24" t="s">
        <v>362</v>
      </c>
      <c r="B756" s="29">
        <v>46096</v>
      </c>
      <c r="C756" s="24" t="s">
        <v>648</v>
      </c>
      <c r="D756" s="21">
        <v>53</v>
      </c>
      <c r="E756" s="25">
        <v>16.34</v>
      </c>
      <c r="F756" s="26">
        <v>114.2</v>
      </c>
      <c r="G756" s="30">
        <f>'Efectos y supuestos'!$B$9*MAX(0,D756-'Efectos y supuestos'!$B$10)/30</f>
        <v>0</v>
      </c>
      <c r="H756" s="14">
        <f t="shared" si="11"/>
        <v>0</v>
      </c>
    </row>
    <row r="757" spans="1:8" x14ac:dyDescent="0.35">
      <c r="A757" s="24" t="s">
        <v>449</v>
      </c>
      <c r="B757" s="29">
        <v>46188</v>
      </c>
      <c r="C757" s="24" t="s">
        <v>647</v>
      </c>
      <c r="D757" s="21">
        <v>114</v>
      </c>
      <c r="E757" s="25">
        <v>9.4700000000000006</v>
      </c>
      <c r="F757" s="26">
        <v>105</v>
      </c>
      <c r="G757" s="30">
        <f>'Efectos y supuestos'!$B$9*MAX(0,D757-'Efectos y supuestos'!$B$10)/30</f>
        <v>-1.1679999999999999E-2</v>
      </c>
      <c r="H757" s="14">
        <f t="shared" si="11"/>
        <v>11.614008</v>
      </c>
    </row>
    <row r="758" spans="1:8" x14ac:dyDescent="0.35">
      <c r="A758" s="24" t="s">
        <v>637</v>
      </c>
      <c r="B758" s="29">
        <v>46280</v>
      </c>
      <c r="C758" s="24" t="s">
        <v>665</v>
      </c>
      <c r="D758" s="21">
        <v>36</v>
      </c>
      <c r="E758" s="25">
        <v>1.94</v>
      </c>
      <c r="F758" s="26">
        <v>105</v>
      </c>
      <c r="G758" s="30">
        <f>'Efectos y supuestos'!$B$9*MAX(0,D758-'Efectos y supuestos'!$B$10)/30</f>
        <v>0</v>
      </c>
      <c r="H758" s="14">
        <f t="shared" si="11"/>
        <v>0</v>
      </c>
    </row>
    <row r="759" spans="1:8" x14ac:dyDescent="0.35">
      <c r="A759" s="24" t="s">
        <v>450</v>
      </c>
      <c r="B759" s="29">
        <v>46188</v>
      </c>
      <c r="C759" s="24" t="s">
        <v>647</v>
      </c>
      <c r="D759" s="21">
        <v>99</v>
      </c>
      <c r="E759" s="25">
        <v>4.6100000000000003</v>
      </c>
      <c r="F759" s="26">
        <v>105</v>
      </c>
      <c r="G759" s="30">
        <f>'Efectos y supuestos'!$B$9*MAX(0,D759-'Efectos y supuestos'!$B$10)/30</f>
        <v>-4.3799999999999993E-3</v>
      </c>
      <c r="H759" s="14">
        <f t="shared" si="11"/>
        <v>2.120139</v>
      </c>
    </row>
    <row r="760" spans="1:8" x14ac:dyDescent="0.35">
      <c r="A760" s="24" t="s">
        <v>588</v>
      </c>
      <c r="B760" s="29">
        <v>45976</v>
      </c>
      <c r="C760" s="24" t="s">
        <v>647</v>
      </c>
      <c r="D760" s="21">
        <v>59</v>
      </c>
      <c r="E760" s="25">
        <v>6.13</v>
      </c>
      <c r="F760" s="26">
        <v>102.2</v>
      </c>
      <c r="G760" s="30">
        <f>'Efectos y supuestos'!$B$9*MAX(0,D760-'Efectos y supuestos'!$B$10)/30</f>
        <v>0</v>
      </c>
      <c r="H760" s="14">
        <f t="shared" si="11"/>
        <v>0</v>
      </c>
    </row>
    <row r="761" spans="1:8" x14ac:dyDescent="0.35">
      <c r="A761" s="24" t="s">
        <v>363</v>
      </c>
      <c r="B761" s="29">
        <v>46096</v>
      </c>
      <c r="C761" s="24" t="s">
        <v>648</v>
      </c>
      <c r="D761" s="21">
        <v>109</v>
      </c>
      <c r="E761" s="25">
        <v>8.06</v>
      </c>
      <c r="F761" s="26">
        <v>84.7</v>
      </c>
      <c r="G761" s="30">
        <f>'Efectos y supuestos'!$B$9*MAX(0,D761-'Efectos y supuestos'!$B$10)/30</f>
        <v>-9.2466666666666652E-3</v>
      </c>
      <c r="H761" s="14">
        <f t="shared" si="11"/>
        <v>6.3125328933333327</v>
      </c>
    </row>
    <row r="762" spans="1:8" x14ac:dyDescent="0.35">
      <c r="A762" s="24" t="s">
        <v>147</v>
      </c>
      <c r="B762" s="29">
        <v>46006</v>
      </c>
      <c r="C762" s="24" t="s">
        <v>648</v>
      </c>
      <c r="D762" s="21">
        <v>88</v>
      </c>
      <c r="E762" s="25">
        <v>16.82</v>
      </c>
      <c r="F762" s="26">
        <v>111.2</v>
      </c>
      <c r="G762" s="30">
        <f>'Efectos y supuestos'!$B$9*MAX(0,D762-'Efectos y supuestos'!$B$10)/30</f>
        <v>0</v>
      </c>
      <c r="H762" s="14">
        <f t="shared" si="11"/>
        <v>0</v>
      </c>
    </row>
    <row r="763" spans="1:8" x14ac:dyDescent="0.35">
      <c r="A763" s="24" t="s">
        <v>148</v>
      </c>
      <c r="B763" s="29">
        <v>46006</v>
      </c>
      <c r="C763" s="24" t="s">
        <v>648</v>
      </c>
      <c r="D763" s="21">
        <v>88</v>
      </c>
      <c r="E763" s="25">
        <v>10.45</v>
      </c>
      <c r="F763" s="26">
        <v>131</v>
      </c>
      <c r="G763" s="30">
        <f>'Efectos y supuestos'!$B$9*MAX(0,D763-'Efectos y supuestos'!$B$10)/30</f>
        <v>0</v>
      </c>
      <c r="H763" s="14">
        <f t="shared" si="11"/>
        <v>0</v>
      </c>
    </row>
    <row r="764" spans="1:8" x14ac:dyDescent="0.35">
      <c r="A764" s="24" t="s">
        <v>638</v>
      </c>
      <c r="B764" s="29">
        <v>46280</v>
      </c>
      <c r="C764" s="24" t="s">
        <v>665</v>
      </c>
      <c r="D764" s="21">
        <v>36</v>
      </c>
      <c r="E764" s="25">
        <v>9.49</v>
      </c>
      <c r="F764" s="26">
        <v>105</v>
      </c>
      <c r="G764" s="30">
        <f>'Efectos y supuestos'!$B$9*MAX(0,D764-'Efectos y supuestos'!$B$10)/30</f>
        <v>0</v>
      </c>
      <c r="H764" s="14">
        <f t="shared" si="11"/>
        <v>0</v>
      </c>
    </row>
    <row r="765" spans="1:8" x14ac:dyDescent="0.35">
      <c r="A765" s="24" t="s">
        <v>451</v>
      </c>
      <c r="B765" s="29">
        <v>46312</v>
      </c>
      <c r="C765" s="24" t="s">
        <v>665</v>
      </c>
      <c r="D765" s="21">
        <v>4</v>
      </c>
      <c r="E765" s="25">
        <v>17.28</v>
      </c>
      <c r="F765" s="26">
        <v>129.5</v>
      </c>
      <c r="G765" s="30">
        <f>'Efectos y supuestos'!$B$9*MAX(0,D765-'Efectos y supuestos'!$B$10)/30</f>
        <v>0</v>
      </c>
      <c r="H765" s="14">
        <f t="shared" si="11"/>
        <v>0</v>
      </c>
    </row>
    <row r="766" spans="1:8" x14ac:dyDescent="0.35">
      <c r="A766" s="24" t="s">
        <v>452</v>
      </c>
      <c r="B766" s="29">
        <v>46311</v>
      </c>
      <c r="C766" s="24" t="s">
        <v>665</v>
      </c>
      <c r="D766" s="21">
        <v>5</v>
      </c>
      <c r="E766" s="25">
        <v>21.72</v>
      </c>
      <c r="F766" s="26">
        <v>105</v>
      </c>
      <c r="G766" s="30">
        <f>'Efectos y supuestos'!$B$9*MAX(0,D766-'Efectos y supuestos'!$B$10)/30</f>
        <v>0</v>
      </c>
      <c r="H766" s="14">
        <f t="shared" si="11"/>
        <v>0</v>
      </c>
    </row>
    <row r="767" spans="1:8" x14ac:dyDescent="0.35">
      <c r="A767" s="24" t="s">
        <v>364</v>
      </c>
      <c r="B767" s="29">
        <v>46127</v>
      </c>
      <c r="C767" s="24" t="s">
        <v>648</v>
      </c>
      <c r="D767" s="21">
        <v>78</v>
      </c>
      <c r="E767" s="25">
        <v>9.77</v>
      </c>
      <c r="F767" s="26">
        <v>89.1</v>
      </c>
      <c r="G767" s="30">
        <f>'Efectos y supuestos'!$B$9*MAX(0,D767-'Efectos y supuestos'!$B$10)/30</f>
        <v>0</v>
      </c>
      <c r="H767" s="14">
        <f t="shared" si="11"/>
        <v>0</v>
      </c>
    </row>
    <row r="768" spans="1:8" x14ac:dyDescent="0.35">
      <c r="A768" s="24" t="s">
        <v>365</v>
      </c>
      <c r="B768" s="29">
        <v>46218</v>
      </c>
      <c r="C768" s="24" t="s">
        <v>665</v>
      </c>
      <c r="D768" s="21">
        <v>98</v>
      </c>
      <c r="E768" s="25">
        <v>7.4</v>
      </c>
      <c r="F768" s="26">
        <v>105</v>
      </c>
      <c r="G768" s="30">
        <f>'Efectos y supuestos'!$B$9*MAX(0,D768-'Efectos y supuestos'!$B$10)/30</f>
        <v>-3.8933333333333333E-3</v>
      </c>
      <c r="H768" s="14">
        <f t="shared" si="11"/>
        <v>3.0251200000000003</v>
      </c>
    </row>
    <row r="769" spans="1:8" x14ac:dyDescent="0.35">
      <c r="A769" s="24" t="s">
        <v>628</v>
      </c>
      <c r="B769" s="29">
        <v>45976</v>
      </c>
      <c r="C769" s="24" t="s">
        <v>647</v>
      </c>
      <c r="D769" s="21">
        <v>59</v>
      </c>
      <c r="E769" s="25">
        <v>10.52</v>
      </c>
      <c r="F769" s="26">
        <v>126.1</v>
      </c>
      <c r="G769" s="30">
        <f>'Efectos y supuestos'!$B$9*MAX(0,D769-'Efectos y supuestos'!$B$10)/30</f>
        <v>0</v>
      </c>
      <c r="H769" s="14">
        <f t="shared" si="11"/>
        <v>0</v>
      </c>
    </row>
    <row r="770" spans="1:8" x14ac:dyDescent="0.35">
      <c r="A770" s="24" t="s">
        <v>406</v>
      </c>
      <c r="B770" s="29">
        <v>46280</v>
      </c>
      <c r="C770" s="24" t="s">
        <v>665</v>
      </c>
      <c r="D770" s="21">
        <v>36</v>
      </c>
      <c r="E770" s="25">
        <v>7.82</v>
      </c>
      <c r="F770" s="26">
        <v>105</v>
      </c>
      <c r="G770" s="30">
        <f>'Efectos y supuestos'!$B$9*MAX(0,D770-'Efectos y supuestos'!$B$10)/30</f>
        <v>0</v>
      </c>
      <c r="H770" s="14">
        <f t="shared" si="11"/>
        <v>0</v>
      </c>
    </row>
    <row r="771" spans="1:8" x14ac:dyDescent="0.35">
      <c r="A771" s="24" t="s">
        <v>629</v>
      </c>
      <c r="B771" s="29">
        <v>45976</v>
      </c>
      <c r="C771" s="24" t="s">
        <v>648</v>
      </c>
      <c r="D771" s="21">
        <v>96</v>
      </c>
      <c r="E771" s="25">
        <v>5.38</v>
      </c>
      <c r="F771" s="26">
        <v>94.5</v>
      </c>
      <c r="G771" s="30">
        <f>'Efectos y supuestos'!$B$9*MAX(0,D771-'Efectos y supuestos'!$B$10)/30</f>
        <v>-2.9199999999999999E-3</v>
      </c>
      <c r="H771" s="14">
        <f t="shared" si="11"/>
        <v>1.4845571999999998</v>
      </c>
    </row>
    <row r="772" spans="1:8" x14ac:dyDescent="0.35">
      <c r="A772" s="24" t="s">
        <v>407</v>
      </c>
      <c r="B772" s="29">
        <v>46280</v>
      </c>
      <c r="C772" s="24" t="s">
        <v>665</v>
      </c>
      <c r="D772" s="21">
        <v>36</v>
      </c>
      <c r="E772" s="25">
        <v>4.01</v>
      </c>
      <c r="F772" s="26">
        <v>105</v>
      </c>
      <c r="G772" s="30">
        <f>'Efectos y supuestos'!$B$9*MAX(0,D772-'Efectos y supuestos'!$B$10)/30</f>
        <v>0</v>
      </c>
      <c r="H772" s="14">
        <f t="shared" si="11"/>
        <v>0</v>
      </c>
    </row>
    <row r="773" spans="1:8" x14ac:dyDescent="0.35">
      <c r="A773" s="24" t="s">
        <v>366</v>
      </c>
      <c r="B773" s="29">
        <v>46068</v>
      </c>
      <c r="C773" s="24" t="s">
        <v>648</v>
      </c>
      <c r="D773" s="21">
        <v>71</v>
      </c>
      <c r="E773" s="25">
        <v>12.74</v>
      </c>
      <c r="F773" s="26">
        <v>111.8</v>
      </c>
      <c r="G773" s="30">
        <f>'Efectos y supuestos'!$B$9*MAX(0,D773-'Efectos y supuestos'!$B$10)/30</f>
        <v>0</v>
      </c>
      <c r="H773" s="14">
        <f t="shared" si="11"/>
        <v>0</v>
      </c>
    </row>
    <row r="774" spans="1:8" x14ac:dyDescent="0.35">
      <c r="A774" s="24" t="s">
        <v>367</v>
      </c>
      <c r="B774" s="29">
        <v>46068</v>
      </c>
      <c r="C774" s="24" t="s">
        <v>648</v>
      </c>
      <c r="D774" s="21">
        <v>4</v>
      </c>
      <c r="E774" s="25">
        <v>11.11</v>
      </c>
      <c r="F774" s="26">
        <v>96.4</v>
      </c>
      <c r="G774" s="30">
        <f>'Efectos y supuestos'!$B$9*MAX(0,D774-'Efectos y supuestos'!$B$10)/30</f>
        <v>0</v>
      </c>
      <c r="H774" s="14">
        <f t="shared" si="11"/>
        <v>0</v>
      </c>
    </row>
    <row r="775" spans="1:8" x14ac:dyDescent="0.35">
      <c r="A775" s="24" t="s">
        <v>589</v>
      </c>
      <c r="B775" s="29">
        <v>45976</v>
      </c>
      <c r="C775" s="24" t="s">
        <v>648</v>
      </c>
      <c r="D775" s="21">
        <v>96</v>
      </c>
      <c r="E775" s="25">
        <v>4.71</v>
      </c>
      <c r="F775" s="26">
        <v>113.8</v>
      </c>
      <c r="G775" s="30">
        <f>'Efectos y supuestos'!$B$9*MAX(0,D775-'Efectos y supuestos'!$B$10)/30</f>
        <v>-2.9199999999999999E-3</v>
      </c>
      <c r="H775" s="14">
        <f t="shared" ref="H775:H838" si="12">-G775*F775*E775</f>
        <v>1.5651141599999998</v>
      </c>
    </row>
    <row r="776" spans="1:8" x14ac:dyDescent="0.35">
      <c r="A776" s="24" t="s">
        <v>368</v>
      </c>
      <c r="B776" s="29">
        <v>46218</v>
      </c>
      <c r="C776" s="24" t="s">
        <v>665</v>
      </c>
      <c r="D776" s="21">
        <v>98</v>
      </c>
      <c r="E776" s="25">
        <v>7.99</v>
      </c>
      <c r="F776" s="26">
        <v>105</v>
      </c>
      <c r="G776" s="30">
        <f>'Efectos y supuestos'!$B$9*MAX(0,D776-'Efectos y supuestos'!$B$10)/30</f>
        <v>-3.8933333333333333E-3</v>
      </c>
      <c r="H776" s="14">
        <f t="shared" si="12"/>
        <v>3.2663120000000001</v>
      </c>
    </row>
    <row r="777" spans="1:8" x14ac:dyDescent="0.35">
      <c r="A777" s="24" t="s">
        <v>369</v>
      </c>
      <c r="B777" s="29">
        <v>46218</v>
      </c>
      <c r="C777" s="24" t="s">
        <v>665</v>
      </c>
      <c r="D777" s="21">
        <v>98</v>
      </c>
      <c r="E777" s="25">
        <v>7.73</v>
      </c>
      <c r="F777" s="26">
        <v>105</v>
      </c>
      <c r="G777" s="30">
        <f>'Efectos y supuestos'!$B$9*MAX(0,D777-'Efectos y supuestos'!$B$10)/30</f>
        <v>-3.8933333333333333E-3</v>
      </c>
      <c r="H777" s="14">
        <f t="shared" si="12"/>
        <v>3.1600239999999999</v>
      </c>
    </row>
    <row r="778" spans="1:8" x14ac:dyDescent="0.35">
      <c r="A778" s="24" t="s">
        <v>370</v>
      </c>
      <c r="B778" s="29">
        <v>46218</v>
      </c>
      <c r="C778" s="24" t="s">
        <v>665</v>
      </c>
      <c r="D778" s="21">
        <v>98</v>
      </c>
      <c r="E778" s="25">
        <v>8.59</v>
      </c>
      <c r="F778" s="26">
        <v>105</v>
      </c>
      <c r="G778" s="30">
        <f>'Efectos y supuestos'!$B$9*MAX(0,D778-'Efectos y supuestos'!$B$10)/30</f>
        <v>-3.8933333333333333E-3</v>
      </c>
      <c r="H778" s="14">
        <f t="shared" si="12"/>
        <v>3.5115919999999998</v>
      </c>
    </row>
    <row r="779" spans="1:8" x14ac:dyDescent="0.35">
      <c r="A779" s="24" t="s">
        <v>371</v>
      </c>
      <c r="B779" s="29">
        <v>46218</v>
      </c>
      <c r="C779" s="24" t="s">
        <v>665</v>
      </c>
      <c r="D779" s="21">
        <v>98</v>
      </c>
      <c r="E779" s="25">
        <v>7.76</v>
      </c>
      <c r="F779" s="26">
        <v>105</v>
      </c>
      <c r="G779" s="30">
        <f>'Efectos y supuestos'!$B$9*MAX(0,D779-'Efectos y supuestos'!$B$10)/30</f>
        <v>-3.8933333333333333E-3</v>
      </c>
      <c r="H779" s="14">
        <f t="shared" si="12"/>
        <v>3.172288</v>
      </c>
    </row>
    <row r="780" spans="1:8" x14ac:dyDescent="0.35">
      <c r="A780" s="24" t="s">
        <v>475</v>
      </c>
      <c r="B780" s="29">
        <v>46188</v>
      </c>
      <c r="C780" s="24" t="s">
        <v>647</v>
      </c>
      <c r="D780" s="21">
        <v>117</v>
      </c>
      <c r="E780" s="25">
        <v>7.55</v>
      </c>
      <c r="F780" s="26">
        <v>105</v>
      </c>
      <c r="G780" s="30">
        <f>'Efectos y supuestos'!$B$9*MAX(0,D780-'Efectos y supuestos'!$B$10)/30</f>
        <v>-1.3140000000000001E-2</v>
      </c>
      <c r="H780" s="14">
        <f t="shared" si="12"/>
        <v>10.416735000000001</v>
      </c>
    </row>
    <row r="781" spans="1:8" x14ac:dyDescent="0.35">
      <c r="A781" s="24" t="s">
        <v>550</v>
      </c>
      <c r="B781" s="29">
        <v>45976</v>
      </c>
      <c r="C781" s="24" t="s">
        <v>648</v>
      </c>
      <c r="D781" s="21">
        <v>96</v>
      </c>
      <c r="E781" s="25">
        <v>7.55</v>
      </c>
      <c r="F781" s="26">
        <v>109.5</v>
      </c>
      <c r="G781" s="30">
        <f>'Efectos y supuestos'!$B$9*MAX(0,D781-'Efectos y supuestos'!$B$10)/30</f>
        <v>-2.9199999999999999E-3</v>
      </c>
      <c r="H781" s="14">
        <f t="shared" si="12"/>
        <v>2.4140369999999995</v>
      </c>
    </row>
    <row r="782" spans="1:8" x14ac:dyDescent="0.35">
      <c r="A782" s="24" t="s">
        <v>150</v>
      </c>
      <c r="B782" s="29">
        <v>45976</v>
      </c>
      <c r="C782" s="24" t="s">
        <v>648</v>
      </c>
      <c r="D782" s="21">
        <v>96</v>
      </c>
      <c r="E782" s="25">
        <v>15.3</v>
      </c>
      <c r="F782" s="26">
        <v>120.2</v>
      </c>
      <c r="G782" s="30">
        <f>'Efectos y supuestos'!$B$9*MAX(0,D782-'Efectos y supuestos'!$B$10)/30</f>
        <v>-2.9199999999999999E-3</v>
      </c>
      <c r="H782" s="14">
        <f t="shared" si="12"/>
        <v>5.3700552000000004</v>
      </c>
    </row>
    <row r="783" spans="1:8" x14ac:dyDescent="0.35">
      <c r="A783" s="24" t="s">
        <v>372</v>
      </c>
      <c r="B783" s="29">
        <v>46280</v>
      </c>
      <c r="C783" s="24" t="s">
        <v>665</v>
      </c>
      <c r="D783" s="21">
        <v>36</v>
      </c>
      <c r="E783" s="25">
        <v>9.58</v>
      </c>
      <c r="F783" s="26">
        <v>105</v>
      </c>
      <c r="G783" s="30">
        <f>'Efectos y supuestos'!$B$9*MAX(0,D783-'Efectos y supuestos'!$B$10)/30</f>
        <v>0</v>
      </c>
      <c r="H783" s="14">
        <f t="shared" si="12"/>
        <v>0</v>
      </c>
    </row>
    <row r="784" spans="1:8" x14ac:dyDescent="0.35">
      <c r="A784" s="24" t="s">
        <v>590</v>
      </c>
      <c r="B784" s="29">
        <v>45976</v>
      </c>
      <c r="C784" s="24" t="s">
        <v>647</v>
      </c>
      <c r="D784" s="21">
        <v>70</v>
      </c>
      <c r="E784" s="25">
        <v>9.8000000000000007</v>
      </c>
      <c r="F784" s="26">
        <v>112.8</v>
      </c>
      <c r="G784" s="30">
        <f>'Efectos y supuestos'!$B$9*MAX(0,D784-'Efectos y supuestos'!$B$10)/30</f>
        <v>0</v>
      </c>
      <c r="H784" s="14">
        <f t="shared" si="12"/>
        <v>0</v>
      </c>
    </row>
    <row r="785" spans="1:8" x14ac:dyDescent="0.35">
      <c r="A785" s="24" t="s">
        <v>591</v>
      </c>
      <c r="B785" s="29">
        <v>46006</v>
      </c>
      <c r="C785" s="24" t="s">
        <v>648</v>
      </c>
      <c r="D785" s="21">
        <v>66</v>
      </c>
      <c r="E785" s="25">
        <v>18.98</v>
      </c>
      <c r="F785" s="26">
        <v>104.5</v>
      </c>
      <c r="G785" s="30">
        <f>'Efectos y supuestos'!$B$9*MAX(0,D785-'Efectos y supuestos'!$B$10)/30</f>
        <v>0</v>
      </c>
      <c r="H785" s="14">
        <f t="shared" si="12"/>
        <v>0</v>
      </c>
    </row>
    <row r="786" spans="1:8" x14ac:dyDescent="0.35">
      <c r="A786" s="24" t="s">
        <v>592</v>
      </c>
      <c r="B786" s="29">
        <v>45976</v>
      </c>
      <c r="C786" s="24" t="s">
        <v>648</v>
      </c>
      <c r="D786" s="21">
        <v>118</v>
      </c>
      <c r="E786" s="25">
        <v>4.66</v>
      </c>
      <c r="F786" s="26">
        <v>107.7</v>
      </c>
      <c r="G786" s="30">
        <f>'Efectos y supuestos'!$B$9*MAX(0,D786-'Efectos y supuestos'!$B$10)/30</f>
        <v>-1.3626666666666667E-2</v>
      </c>
      <c r="H786" s="14">
        <f t="shared" si="12"/>
        <v>6.8389787200000001</v>
      </c>
    </row>
    <row r="787" spans="1:8" x14ac:dyDescent="0.35">
      <c r="A787" s="24" t="s">
        <v>373</v>
      </c>
      <c r="B787" s="29">
        <v>46218</v>
      </c>
      <c r="C787" s="24" t="s">
        <v>648</v>
      </c>
      <c r="D787" s="21">
        <v>-6</v>
      </c>
      <c r="E787" s="25">
        <v>9.0500000000000007</v>
      </c>
      <c r="F787" s="26">
        <v>105</v>
      </c>
      <c r="G787" s="30">
        <f>'Efectos y supuestos'!$B$9*MAX(0,D787-'Efectos y supuestos'!$B$10)/30</f>
        <v>0</v>
      </c>
      <c r="H787" s="14">
        <f t="shared" si="12"/>
        <v>0</v>
      </c>
    </row>
    <row r="788" spans="1:8" x14ac:dyDescent="0.35">
      <c r="A788" s="24" t="s">
        <v>151</v>
      </c>
      <c r="B788" s="29">
        <v>46006</v>
      </c>
      <c r="C788" s="24" t="s">
        <v>648</v>
      </c>
      <c r="D788" s="21">
        <v>88</v>
      </c>
      <c r="E788" s="25">
        <v>5.82</v>
      </c>
      <c r="F788" s="26">
        <v>78.599999999999994</v>
      </c>
      <c r="G788" s="30">
        <f>'Efectos y supuestos'!$B$9*MAX(0,D788-'Efectos y supuestos'!$B$10)/30</f>
        <v>0</v>
      </c>
      <c r="H788" s="14">
        <f t="shared" si="12"/>
        <v>0</v>
      </c>
    </row>
    <row r="789" spans="1:8" x14ac:dyDescent="0.35">
      <c r="A789" s="24" t="s">
        <v>374</v>
      </c>
      <c r="B789" s="29">
        <v>46096</v>
      </c>
      <c r="C789" s="24" t="s">
        <v>648</v>
      </c>
      <c r="D789" s="21">
        <v>60</v>
      </c>
      <c r="E789" s="25">
        <v>7.3</v>
      </c>
      <c r="F789" s="26">
        <v>95.1</v>
      </c>
      <c r="G789" s="30">
        <f>'Efectos y supuestos'!$B$9*MAX(0,D789-'Efectos y supuestos'!$B$10)/30</f>
        <v>0</v>
      </c>
      <c r="H789" s="14">
        <f t="shared" si="12"/>
        <v>0</v>
      </c>
    </row>
    <row r="790" spans="1:8" x14ac:dyDescent="0.35">
      <c r="A790" s="24" t="s">
        <v>375</v>
      </c>
      <c r="B790" s="29">
        <v>46096</v>
      </c>
      <c r="C790" s="24" t="s">
        <v>648</v>
      </c>
      <c r="D790" s="21">
        <v>60</v>
      </c>
      <c r="E790" s="25">
        <v>5.32</v>
      </c>
      <c r="F790" s="26">
        <v>98.5</v>
      </c>
      <c r="G790" s="30">
        <f>'Efectos y supuestos'!$B$9*MAX(0,D790-'Efectos y supuestos'!$B$10)/30</f>
        <v>0</v>
      </c>
      <c r="H790" s="14">
        <f t="shared" si="12"/>
        <v>0</v>
      </c>
    </row>
    <row r="791" spans="1:8" x14ac:dyDescent="0.35">
      <c r="A791" s="24" t="s">
        <v>376</v>
      </c>
      <c r="B791" s="29">
        <v>46127</v>
      </c>
      <c r="C791" s="24" t="s">
        <v>648</v>
      </c>
      <c r="D791" s="21">
        <v>78</v>
      </c>
      <c r="E791" s="25">
        <v>15.99</v>
      </c>
      <c r="F791" s="26">
        <v>81.7</v>
      </c>
      <c r="G791" s="30">
        <f>'Efectos y supuestos'!$B$9*MAX(0,D791-'Efectos y supuestos'!$B$10)/30</f>
        <v>0</v>
      </c>
      <c r="H791" s="14">
        <f t="shared" si="12"/>
        <v>0</v>
      </c>
    </row>
    <row r="792" spans="1:8" x14ac:dyDescent="0.35">
      <c r="A792" s="24" t="s">
        <v>377</v>
      </c>
      <c r="B792" s="29">
        <v>46127</v>
      </c>
      <c r="C792" s="24" t="s">
        <v>648</v>
      </c>
      <c r="D792" s="21">
        <v>78</v>
      </c>
      <c r="E792" s="25">
        <v>16.89</v>
      </c>
      <c r="F792" s="26">
        <v>98.9</v>
      </c>
      <c r="G792" s="30">
        <f>'Efectos y supuestos'!$B$9*MAX(0,D792-'Efectos y supuestos'!$B$10)/30</f>
        <v>0</v>
      </c>
      <c r="H792" s="14">
        <f t="shared" si="12"/>
        <v>0</v>
      </c>
    </row>
    <row r="793" spans="1:8" x14ac:dyDescent="0.35">
      <c r="A793" s="24" t="s">
        <v>378</v>
      </c>
      <c r="B793" s="29">
        <v>46188</v>
      </c>
      <c r="C793" s="24" t="s">
        <v>647</v>
      </c>
      <c r="D793" s="21">
        <v>114</v>
      </c>
      <c r="E793" s="25">
        <v>5.03</v>
      </c>
      <c r="F793" s="26">
        <v>105</v>
      </c>
      <c r="G793" s="30">
        <f>'Efectos y supuestos'!$B$9*MAX(0,D793-'Efectos y supuestos'!$B$10)/30</f>
        <v>-1.1679999999999999E-2</v>
      </c>
      <c r="H793" s="14">
        <f t="shared" si="12"/>
        <v>6.1687919999999998</v>
      </c>
    </row>
    <row r="794" spans="1:8" x14ac:dyDescent="0.35">
      <c r="A794" s="8" t="s">
        <v>666</v>
      </c>
      <c r="B794" s="9"/>
      <c r="C794" s="9"/>
      <c r="D794" s="9"/>
      <c r="E794" s="10">
        <f>SUMIFS(E327:E793,G327:G793,"&lt;0")</f>
        <v>1447.0800000000004</v>
      </c>
      <c r="F794" s="9"/>
      <c r="G794" s="9"/>
      <c r="H794" s="10">
        <f>SUM(H327:H793)</f>
        <v>1465.9912321533329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/>
  </sheetViews>
  <sheetFormatPr baseColWidth="10" defaultColWidth="8.7265625" defaultRowHeight="14.5" x14ac:dyDescent="0.35"/>
  <cols>
    <col min="1" max="1" width="44" customWidth="1"/>
    <col min="2" max="2" width="11" customWidth="1"/>
    <col min="3" max="3" width="12" customWidth="1"/>
    <col min="4" max="6" width="11" customWidth="1"/>
  </cols>
  <sheetData>
    <row r="1" spans="1:6" ht="18" x14ac:dyDescent="0.4">
      <c r="A1" s="1" t="s">
        <v>667</v>
      </c>
    </row>
    <row r="2" spans="1:6" x14ac:dyDescent="0.35">
      <c r="A2" s="2" t="s">
        <v>668</v>
      </c>
    </row>
    <row r="4" spans="1:6" ht="40" customHeight="1" x14ac:dyDescent="0.35">
      <c r="A4" s="3" t="s">
        <v>669</v>
      </c>
      <c r="B4" s="3" t="s">
        <v>670</v>
      </c>
      <c r="C4" s="3" t="s">
        <v>671</v>
      </c>
      <c r="D4" s="3" t="s">
        <v>672</v>
      </c>
      <c r="E4" s="3" t="s">
        <v>673</v>
      </c>
      <c r="F4" s="3" t="s">
        <v>674</v>
      </c>
    </row>
    <row r="5" spans="1:6" x14ac:dyDescent="0.35">
      <c r="A5" s="4" t="s">
        <v>675</v>
      </c>
      <c r="B5" s="21">
        <v>-13.279181068487491</v>
      </c>
      <c r="C5" s="21">
        <v>35.152934947874392</v>
      </c>
      <c r="D5" s="31">
        <f>B5-C5</f>
        <v>-48.432116016361881</v>
      </c>
      <c r="E5" s="32">
        <f>'Efectos y supuestos'!$B$12</f>
        <v>7.0166177037788878E-3</v>
      </c>
      <c r="F5" s="33">
        <f>E5*D5/100</f>
        <v>-3.3982964267187782E-3</v>
      </c>
    </row>
    <row r="6" spans="1:6" x14ac:dyDescent="0.35">
      <c r="A6" s="4" t="s">
        <v>676</v>
      </c>
      <c r="B6" s="21">
        <v>-99.868944390064144</v>
      </c>
      <c r="C6" s="21">
        <v>-43.837057475155142</v>
      </c>
      <c r="D6" s="31">
        <f>B6-C6</f>
        <v>-56.031886914909002</v>
      </c>
      <c r="E6" s="32">
        <f>'Efectos y supuestos'!$B$13</f>
        <v>-4.5347777982367244E-3</v>
      </c>
      <c r="F6" s="33">
        <f>E6*D6/100</f>
        <v>2.5409215677504016E-3</v>
      </c>
    </row>
    <row r="7" spans="1:6" x14ac:dyDescent="0.35">
      <c r="A7" s="4" t="s">
        <v>677</v>
      </c>
      <c r="B7" s="21">
        <v>149.36160577662369</v>
      </c>
      <c r="C7" s="21">
        <v>32.381380065632953</v>
      </c>
      <c r="D7" s="31">
        <f>B7-C7</f>
        <v>116.98022571099074</v>
      </c>
      <c r="E7" s="32">
        <f>'Efectos y supuestos'!$B$14</f>
        <v>-1.253536460939823E-2</v>
      </c>
      <c r="F7" s="33">
        <f>E7*D7/100</f>
        <v>-1.4663897813769701E-2</v>
      </c>
    </row>
    <row r="8" spans="1:6" x14ac:dyDescent="0.35">
      <c r="A8" s="4" t="s">
        <v>678</v>
      </c>
      <c r="B8" s="7">
        <v>306958.67</v>
      </c>
      <c r="C8" s="7">
        <v>2786.39</v>
      </c>
    </row>
    <row r="9" spans="1:6" x14ac:dyDescent="0.35">
      <c r="A9" s="8" t="s">
        <v>679</v>
      </c>
      <c r="B9" s="9"/>
      <c r="C9" s="10">
        <v>2117.66</v>
      </c>
      <c r="D9" s="9"/>
      <c r="E9" s="9"/>
      <c r="F9" s="10">
        <f>-SUM(F5:F7)*B8</f>
        <v>4764.3892163310256</v>
      </c>
    </row>
    <row r="11" spans="1:6" x14ac:dyDescent="0.35">
      <c r="A11" s="4" t="s">
        <v>680</v>
      </c>
      <c r="B11" s="21">
        <v>376.15935439825279</v>
      </c>
      <c r="C11" s="21">
        <v>348.23606245632448</v>
      </c>
      <c r="D11" s="31">
        <f>B11-C11</f>
        <v>27.923291941928312</v>
      </c>
      <c r="E11" s="32">
        <f>'Efectos y supuestos'!$B$15</f>
        <v>-1.207961878313279E-2</v>
      </c>
      <c r="F11" s="33">
        <f>E11*D11/100</f>
        <v>-3.3730272182861771E-3</v>
      </c>
    </row>
    <row r="12" spans="1:6" x14ac:dyDescent="0.35">
      <c r="A12" s="8" t="s">
        <v>681</v>
      </c>
      <c r="B12" s="9"/>
      <c r="C12" s="10">
        <v>1874.52</v>
      </c>
      <c r="D12" s="9"/>
      <c r="E12" s="9"/>
      <c r="F12" s="10">
        <f>-F11*B8</f>
        <v>1035.3799487989245</v>
      </c>
    </row>
    <row r="14" spans="1:6" ht="40" customHeight="1" x14ac:dyDescent="0.35">
      <c r="A14" s="3" t="s">
        <v>682</v>
      </c>
      <c r="B14" s="3" t="s">
        <v>683</v>
      </c>
      <c r="C14" s="3" t="s">
        <v>684</v>
      </c>
      <c r="D14" s="3" t="s">
        <v>672</v>
      </c>
      <c r="E14" s="3" t="s">
        <v>673</v>
      </c>
      <c r="F14" s="3" t="s">
        <v>685</v>
      </c>
    </row>
    <row r="15" spans="1:6" x14ac:dyDescent="0.35">
      <c r="A15" s="4" t="s">
        <v>675</v>
      </c>
      <c r="B15" s="21">
        <v>56.47770931266826</v>
      </c>
      <c r="C15" s="21">
        <v>35.796347946189847</v>
      </c>
      <c r="D15" s="31">
        <f>B15-C15</f>
        <v>20.681361366478413</v>
      </c>
      <c r="E15" s="32">
        <f>'Efectos y supuestos'!$B$12</f>
        <v>7.0166177037788878E-3</v>
      </c>
      <c r="F15" s="7">
        <v>2615.89</v>
      </c>
    </row>
    <row r="16" spans="1:6" x14ac:dyDescent="0.35">
      <c r="A16" s="4" t="s">
        <v>676</v>
      </c>
      <c r="B16" s="21">
        <v>-9.9253557321601696E-3</v>
      </c>
      <c r="C16" s="21">
        <v>-72.443276985573419</v>
      </c>
      <c r="D16" s="31">
        <f>B16-C16</f>
        <v>72.433351629841255</v>
      </c>
      <c r="E16" s="32">
        <f>'Efectos y supuestos'!$B$13</f>
        <v>-4.5347777982367244E-3</v>
      </c>
      <c r="F16" s="7">
        <v>1734.36</v>
      </c>
    </row>
    <row r="17" spans="1:6" x14ac:dyDescent="0.35">
      <c r="A17" s="4" t="s">
        <v>686</v>
      </c>
      <c r="B17" s="21">
        <v>301.41315740862029</v>
      </c>
      <c r="C17" s="21">
        <v>314.46756045514081</v>
      </c>
      <c r="D17" s="31">
        <f>B17-C17</f>
        <v>-13.05440304652052</v>
      </c>
      <c r="E17" s="32">
        <f>'Efectos y supuestos'!$B$15</f>
        <v>-1.207961878313279E-2</v>
      </c>
      <c r="F17" s="7">
        <v>2977.41</v>
      </c>
    </row>
    <row r="19" spans="1:6" x14ac:dyDescent="0.35">
      <c r="A19" s="2" t="s">
        <v>687</v>
      </c>
    </row>
    <row r="20" spans="1:6" x14ac:dyDescent="0.35">
      <c r="A20" s="8" t="s">
        <v>688</v>
      </c>
      <c r="B20" s="9"/>
      <c r="C20" s="9"/>
      <c r="D20" s="9"/>
      <c r="E20" s="9"/>
      <c r="F20" s="10">
        <f>-(E15*D15/100*F15+E16*D16/100*F16)*'Efectos y supuestos'!$B$19</f>
        <v>196.92658693701554</v>
      </c>
    </row>
    <row r="21" spans="1:6" x14ac:dyDescent="0.35">
      <c r="A21" s="8" t="s">
        <v>689</v>
      </c>
      <c r="B21" s="9"/>
      <c r="C21" s="10">
        <f>'Efectos y supuestos'!$B$7</f>
        <v>5393</v>
      </c>
      <c r="D21" s="9"/>
      <c r="E21" s="9"/>
      <c r="F21" s="10">
        <f>-'Efectos y supuestos'!$B$14*'Efectos y supuestos'!$B$18/100*'Efectos y supuestos'!$B$7*'Efectos y supuestos'!$B$19</f>
        <v>8194.3216648804009</v>
      </c>
    </row>
    <row r="22" spans="1:6" x14ac:dyDescent="0.35">
      <c r="A22" s="8" t="s">
        <v>690</v>
      </c>
      <c r="B22" s="9"/>
      <c r="C22" s="10">
        <v>1303.71</v>
      </c>
      <c r="D22" s="9"/>
      <c r="E22" s="9"/>
      <c r="F22" s="10">
        <f>-E17*D17/100*F17*'Efectos y supuestos'!$B$19</f>
        <v>-486.41688696302401</v>
      </c>
    </row>
    <row r="23" spans="1:6" x14ac:dyDescent="0.35">
      <c r="A23" s="2" t="s">
        <v>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"/>
  <sheetViews>
    <sheetView workbookViewId="0"/>
  </sheetViews>
  <sheetFormatPr baseColWidth="10" defaultColWidth="8.7265625" defaultRowHeight="14.5" x14ac:dyDescent="0.35"/>
  <cols>
    <col min="1" max="1" width="10" customWidth="1"/>
    <col min="2" max="2" width="9" customWidth="1"/>
    <col min="3" max="4" width="11" customWidth="1"/>
    <col min="5" max="5" width="9" customWidth="1"/>
    <col min="6" max="7" width="11" customWidth="1"/>
    <col min="8" max="8" width="12" customWidth="1"/>
  </cols>
  <sheetData>
    <row r="1" spans="1:8" ht="18" x14ac:dyDescent="0.4">
      <c r="A1" s="1" t="s">
        <v>692</v>
      </c>
    </row>
    <row r="2" spans="1:8" x14ac:dyDescent="0.35">
      <c r="A2" s="2" t="s">
        <v>693</v>
      </c>
    </row>
    <row r="4" spans="1:8" ht="40" customHeight="1" x14ac:dyDescent="0.35">
      <c r="A4" s="3" t="s">
        <v>73</v>
      </c>
      <c r="B4" s="3" t="s">
        <v>75</v>
      </c>
      <c r="C4" s="3" t="s">
        <v>694</v>
      </c>
      <c r="D4" s="3" t="s">
        <v>695</v>
      </c>
      <c r="E4" s="3" t="s">
        <v>696</v>
      </c>
      <c r="F4" s="3" t="s">
        <v>697</v>
      </c>
      <c r="G4" s="3" t="s">
        <v>79</v>
      </c>
      <c r="H4" s="3" t="s">
        <v>698</v>
      </c>
    </row>
    <row r="5" spans="1:8" x14ac:dyDescent="0.35">
      <c r="A5" s="20" t="s">
        <v>699</v>
      </c>
    </row>
    <row r="6" spans="1:8" x14ac:dyDescent="0.35">
      <c r="A6" s="24" t="s">
        <v>700</v>
      </c>
      <c r="B6" s="25">
        <v>14.29</v>
      </c>
      <c r="C6" s="29">
        <v>45672</v>
      </c>
      <c r="D6" s="29">
        <v>46181</v>
      </c>
      <c r="E6" s="34">
        <f t="shared" ref="E6:E40" si="0">D6-C6</f>
        <v>509</v>
      </c>
      <c r="F6" s="34">
        <f>MAX(0,E6-'Efectos y supuestos'!$B$17)</f>
        <v>449</v>
      </c>
      <c r="G6" s="14">
        <f>B6*F6/30.44*'Efectos y supuestos'!$B$16</f>
        <v>2080.1119667637481</v>
      </c>
      <c r="H6" s="14">
        <f>B6*E6/30.44*'Efectos y supuestos'!$B$16</f>
        <v>2358.0779311419769</v>
      </c>
    </row>
    <row r="7" spans="1:8" x14ac:dyDescent="0.35">
      <c r="A7" s="24" t="s">
        <v>701</v>
      </c>
      <c r="B7" s="25">
        <v>15.24</v>
      </c>
      <c r="C7" s="29">
        <v>45853</v>
      </c>
      <c r="D7" s="29">
        <v>46262</v>
      </c>
      <c r="E7" s="34">
        <f t="shared" si="0"/>
        <v>409</v>
      </c>
      <c r="F7" s="34">
        <f>MAX(0,E7-'Efectos y supuestos'!$B$17)</f>
        <v>349</v>
      </c>
      <c r="G7" s="14">
        <f>B7*F7/30.44*'Efectos y supuestos'!$B$16</f>
        <v>1724.3226646796711</v>
      </c>
      <c r="H7" s="14">
        <f>B7*E7/30.44*'Efectos y supuestos'!$B$16</f>
        <v>2020.7678219311904</v>
      </c>
    </row>
    <row r="8" spans="1:8" x14ac:dyDescent="0.35">
      <c r="A8" s="24" t="s">
        <v>702</v>
      </c>
      <c r="B8" s="25">
        <v>15.77</v>
      </c>
      <c r="C8" s="29">
        <v>45853</v>
      </c>
      <c r="D8" s="29">
        <v>46234</v>
      </c>
      <c r="E8" s="34">
        <f t="shared" si="0"/>
        <v>381</v>
      </c>
      <c r="F8" s="34">
        <f>MAX(0,E8-'Efectos y supuestos'!$B$17)</f>
        <v>321</v>
      </c>
      <c r="G8" s="14">
        <f>B8*F8/30.44*'Efectos y supuestos'!$B$16</f>
        <v>1641.1371190769071</v>
      </c>
      <c r="H8" s="14">
        <f>B8*E8/30.44*'Efectos y supuestos'!$B$16</f>
        <v>1947.8917207735251</v>
      </c>
    </row>
    <row r="9" spans="1:8" x14ac:dyDescent="0.35">
      <c r="A9" s="24" t="s">
        <v>703</v>
      </c>
      <c r="B9" s="25">
        <v>8.5</v>
      </c>
      <c r="C9" s="29">
        <v>45731</v>
      </c>
      <c r="D9" s="29">
        <v>46078</v>
      </c>
      <c r="E9" s="34">
        <f t="shared" si="0"/>
        <v>347</v>
      </c>
      <c r="F9" s="34">
        <f>MAX(0,E9-'Efectos y supuestos'!$B$17)</f>
        <v>287</v>
      </c>
      <c r="G9" s="14">
        <f>B9*F9/30.44*'Efectos y supuestos'!$B$16</f>
        <v>790.87703534020295</v>
      </c>
      <c r="H9" s="14">
        <f>B9*E9/30.44*'Efectos y supuestos'!$B$16</f>
        <v>956.21718210122083</v>
      </c>
    </row>
    <row r="10" spans="1:8" x14ac:dyDescent="0.35">
      <c r="A10" s="24" t="s">
        <v>704</v>
      </c>
      <c r="B10" s="25">
        <v>10.11</v>
      </c>
      <c r="C10" s="29">
        <v>45823</v>
      </c>
      <c r="D10" s="29">
        <v>46128</v>
      </c>
      <c r="E10" s="34">
        <f t="shared" si="0"/>
        <v>305</v>
      </c>
      <c r="F10" s="34">
        <f>MAX(0,E10-'Efectos y supuestos'!$B$17)</f>
        <v>245</v>
      </c>
      <c r="G10" s="14">
        <f>B10*F10/30.44*'Efectos y supuestos'!$B$16</f>
        <v>803.01818925432076</v>
      </c>
      <c r="H10" s="14">
        <f>B10*E10/30.44*'Efectos y supuestos'!$B$16</f>
        <v>999.67570499007275</v>
      </c>
    </row>
    <row r="11" spans="1:8" x14ac:dyDescent="0.35">
      <c r="A11" s="24" t="s">
        <v>705</v>
      </c>
      <c r="B11" s="25">
        <v>15.17</v>
      </c>
      <c r="C11" s="29">
        <v>45909</v>
      </c>
      <c r="D11" s="29">
        <v>46203</v>
      </c>
      <c r="E11" s="34">
        <f t="shared" si="0"/>
        <v>294</v>
      </c>
      <c r="F11" s="34">
        <f>MAX(0,E11-'Efectos y supuestos'!$B$17)</f>
        <v>234</v>
      </c>
      <c r="G11" s="14">
        <f>B11*F11/30.44*'Efectos y supuestos'!$B$16</f>
        <v>1150.8257768026012</v>
      </c>
      <c r="H11" s="14">
        <f>B11*E11/30.44*'Efectos y supuestos'!$B$16</f>
        <v>1445.9093093160884</v>
      </c>
    </row>
    <row r="12" spans="1:8" x14ac:dyDescent="0.35">
      <c r="A12" s="24" t="s">
        <v>706</v>
      </c>
      <c r="B12" s="25">
        <v>16.829999999999998</v>
      </c>
      <c r="C12" s="29">
        <v>45896</v>
      </c>
      <c r="D12" s="29">
        <v>46123</v>
      </c>
      <c r="E12" s="34">
        <f t="shared" si="0"/>
        <v>227</v>
      </c>
      <c r="F12" s="34">
        <f>MAX(0,E12-'Efectos y supuestos'!$B$17)</f>
        <v>167</v>
      </c>
      <c r="G12" s="14">
        <f>B12*F12/30.44*'Efectos y supuestos'!$B$16</f>
        <v>911.18954879997023</v>
      </c>
      <c r="H12" s="14">
        <f>B12*E12/30.44*'Efectos y supuestos'!$B$16</f>
        <v>1238.5630393867857</v>
      </c>
    </row>
    <row r="13" spans="1:8" x14ac:dyDescent="0.35">
      <c r="A13" s="24" t="s">
        <v>236</v>
      </c>
      <c r="B13" s="25">
        <v>11.43</v>
      </c>
      <c r="C13" s="29">
        <v>46068</v>
      </c>
      <c r="D13" s="29">
        <v>46268</v>
      </c>
      <c r="E13" s="34">
        <f t="shared" si="0"/>
        <v>200</v>
      </c>
      <c r="F13" s="34">
        <f>MAX(0,E13-'Efectos y supuestos'!$B$17)</f>
        <v>140</v>
      </c>
      <c r="G13" s="14">
        <f>B13*F13/30.44*'Efectos y supuestos'!$B$16</f>
        <v>518.7790251901589</v>
      </c>
      <c r="H13" s="14">
        <f>B13*E13/30.44*'Efectos y supuestos'!$B$16</f>
        <v>741.11289312879842</v>
      </c>
    </row>
    <row r="14" spans="1:8" x14ac:dyDescent="0.35">
      <c r="A14" s="24" t="s">
        <v>707</v>
      </c>
      <c r="B14" s="25">
        <v>13.49</v>
      </c>
      <c r="C14" s="29">
        <v>45918</v>
      </c>
      <c r="D14" s="29">
        <v>46107</v>
      </c>
      <c r="E14" s="34">
        <f t="shared" si="0"/>
        <v>189</v>
      </c>
      <c r="F14" s="34">
        <f>MAX(0,E14-'Efectos y supuestos'!$B$17)</f>
        <v>129</v>
      </c>
      <c r="G14" s="14">
        <f>B14*F14/30.44*'Efectos y supuestos'!$B$16</f>
        <v>564.16975842155125</v>
      </c>
      <c r="H14" s="14">
        <f>B14*E14/30.44*'Efectos y supuestos'!$B$16</f>
        <v>826.57429722227289</v>
      </c>
    </row>
    <row r="15" spans="1:8" x14ac:dyDescent="0.35">
      <c r="A15" s="24" t="s">
        <v>708</v>
      </c>
      <c r="B15" s="25">
        <v>10.42</v>
      </c>
      <c r="C15" s="29">
        <v>46006</v>
      </c>
      <c r="D15" s="29">
        <v>46192</v>
      </c>
      <c r="E15" s="34">
        <f t="shared" si="0"/>
        <v>186</v>
      </c>
      <c r="F15" s="34">
        <f>MAX(0,E15-'Efectos y supuestos'!$B$17)</f>
        <v>126</v>
      </c>
      <c r="G15" s="14">
        <f>B15*F15/30.44*'Efectos y supuestos'!$B$16</f>
        <v>425.64389310877607</v>
      </c>
      <c r="H15" s="14">
        <f>B15*E15/30.44*'Efectos y supuestos'!$B$16</f>
        <v>628.3314612558122</v>
      </c>
    </row>
    <row r="16" spans="1:8" x14ac:dyDescent="0.35">
      <c r="A16" s="24" t="s">
        <v>709</v>
      </c>
      <c r="B16" s="25">
        <v>14.92</v>
      </c>
      <c r="C16" s="29">
        <v>45916</v>
      </c>
      <c r="D16" s="29">
        <v>46095</v>
      </c>
      <c r="E16" s="34">
        <f t="shared" si="0"/>
        <v>179</v>
      </c>
      <c r="F16" s="34">
        <f>MAX(0,E16-'Efectos y supuestos'!$B$17)</f>
        <v>119</v>
      </c>
      <c r="G16" s="14">
        <f>B16*F16/30.44*'Efectos y supuestos'!$B$16</f>
        <v>575.60416425735741</v>
      </c>
      <c r="H16" s="14">
        <f>B16*E16/30.44*'Efectos y supuestos'!$B$16</f>
        <v>865.82475127787359</v>
      </c>
    </row>
    <row r="17" spans="1:8" x14ac:dyDescent="0.35">
      <c r="A17" s="24" t="s">
        <v>710</v>
      </c>
      <c r="B17" s="25">
        <v>5.91</v>
      </c>
      <c r="C17" s="29">
        <v>45912</v>
      </c>
      <c r="D17" s="29">
        <v>46090</v>
      </c>
      <c r="E17" s="34">
        <f t="shared" si="0"/>
        <v>178</v>
      </c>
      <c r="F17" s="34">
        <f>MAX(0,E17-'Efectos y supuestos'!$B$17)</f>
        <v>118</v>
      </c>
      <c r="G17" s="14">
        <f>B17*F17/30.44*'Efectos y supuestos'!$B$16</f>
        <v>226.08806185921321</v>
      </c>
      <c r="H17" s="14">
        <f>B17*E17/30.44*'Efectos y supuestos'!$B$16</f>
        <v>341.04809331305052</v>
      </c>
    </row>
    <row r="18" spans="1:8" x14ac:dyDescent="0.35">
      <c r="A18" s="24" t="s">
        <v>711</v>
      </c>
      <c r="B18" s="25">
        <v>6.91</v>
      </c>
      <c r="C18" s="29">
        <v>45922</v>
      </c>
      <c r="D18" s="29">
        <v>46088</v>
      </c>
      <c r="E18" s="34">
        <f t="shared" si="0"/>
        <v>166</v>
      </c>
      <c r="F18" s="34">
        <f>MAX(0,E18-'Efectos y supuestos'!$B$17)</f>
        <v>106</v>
      </c>
      <c r="G18" s="14">
        <f>B18*F18/30.44*'Efectos y supuestos'!$B$16</f>
        <v>237.46087038544172</v>
      </c>
      <c r="H18" s="14">
        <f>B18*E18/30.44*'Efectos y supuestos'!$B$16</f>
        <v>371.87268381116337</v>
      </c>
    </row>
    <row r="19" spans="1:8" x14ac:dyDescent="0.35">
      <c r="A19" s="24" t="s">
        <v>712</v>
      </c>
      <c r="B19" s="25">
        <v>7.63</v>
      </c>
      <c r="C19" s="29">
        <v>45967</v>
      </c>
      <c r="D19" s="29">
        <v>46132</v>
      </c>
      <c r="E19" s="34">
        <f t="shared" si="0"/>
        <v>165</v>
      </c>
      <c r="F19" s="34">
        <f>MAX(0,E19-'Efectos y supuestos'!$B$17)</f>
        <v>105</v>
      </c>
      <c r="G19" s="14">
        <f>B19*F19/30.44*'Efectos y supuestos'!$B$16</f>
        <v>259.72991877958742</v>
      </c>
      <c r="H19" s="14">
        <f>B19*E19/30.44*'Efectos y supuestos'!$B$16</f>
        <v>408.14701522506596</v>
      </c>
    </row>
    <row r="20" spans="1:8" x14ac:dyDescent="0.35">
      <c r="A20" s="24" t="s">
        <v>713</v>
      </c>
      <c r="B20" s="25">
        <v>16.59</v>
      </c>
      <c r="C20" s="29">
        <v>45894</v>
      </c>
      <c r="D20" s="29">
        <v>46053</v>
      </c>
      <c r="E20" s="34">
        <f t="shared" si="0"/>
        <v>159</v>
      </c>
      <c r="F20" s="34">
        <f>MAX(0,E20-'Efectos y supuestos'!$B$17)</f>
        <v>99</v>
      </c>
      <c r="G20" s="14">
        <f>B20*F20/30.44*'Efectos y supuestos'!$B$16</f>
        <v>532.46335380737969</v>
      </c>
      <c r="H20" s="14">
        <f>B20*E20/30.44*'Efectos y supuestos'!$B$16</f>
        <v>855.16841672094301</v>
      </c>
    </row>
    <row r="21" spans="1:8" x14ac:dyDescent="0.35">
      <c r="A21" s="24" t="s">
        <v>714</v>
      </c>
      <c r="B21" s="25">
        <v>2.92</v>
      </c>
      <c r="C21" s="29">
        <v>45976</v>
      </c>
      <c r="D21" s="29">
        <v>46119</v>
      </c>
      <c r="E21" s="34">
        <f t="shared" si="0"/>
        <v>143</v>
      </c>
      <c r="F21" s="34">
        <f>MAX(0,E21-'Efectos y supuestos'!$B$17)</f>
        <v>83</v>
      </c>
      <c r="G21" s="14">
        <f>B21*F21/30.44*'Efectos y supuestos'!$B$16</f>
        <v>78.57223131176535</v>
      </c>
      <c r="H21" s="14">
        <f>B21*E21/30.44*'Efectos y supuestos'!$B$16</f>
        <v>135.37143466966802</v>
      </c>
    </row>
    <row r="22" spans="1:8" x14ac:dyDescent="0.35">
      <c r="A22" s="24" t="s">
        <v>715</v>
      </c>
      <c r="B22" s="25">
        <v>0.44</v>
      </c>
      <c r="C22" s="29">
        <v>45976</v>
      </c>
      <c r="D22" s="29">
        <v>46118</v>
      </c>
      <c r="E22" s="34">
        <f t="shared" si="0"/>
        <v>142</v>
      </c>
      <c r="F22" s="34">
        <f>MAX(0,E22-'Efectos y supuestos'!$B$17)</f>
        <v>82</v>
      </c>
      <c r="G22" s="14">
        <f>B22*F22/30.44*'Efectos y supuestos'!$B$16</f>
        <v>11.697004892426529</v>
      </c>
      <c r="H22" s="14">
        <f>B22*E22/30.44*'Efectos y supuestos'!$B$16</f>
        <v>20.2557889600557</v>
      </c>
    </row>
    <row r="23" spans="1:8" x14ac:dyDescent="0.35">
      <c r="A23" s="24" t="s">
        <v>716</v>
      </c>
      <c r="B23" s="25">
        <v>8.6199999999999992</v>
      </c>
      <c r="C23" s="29">
        <v>45976</v>
      </c>
      <c r="D23" s="29">
        <v>46118</v>
      </c>
      <c r="E23" s="34">
        <f t="shared" si="0"/>
        <v>142</v>
      </c>
      <c r="F23" s="34">
        <f>MAX(0,E23-'Efectos y supuestos'!$B$17)</f>
        <v>82</v>
      </c>
      <c r="G23" s="14">
        <f>B23*F23/30.44*'Efectos y supuestos'!$B$16</f>
        <v>229.15495948344702</v>
      </c>
      <c r="H23" s="14">
        <f>B23*E23/30.44*'Efectos y supuestos'!$B$16</f>
        <v>396.82932008109117</v>
      </c>
    </row>
    <row r="24" spans="1:8" x14ac:dyDescent="0.35">
      <c r="A24" s="24" t="s">
        <v>717</v>
      </c>
      <c r="B24" s="25">
        <v>9.81</v>
      </c>
      <c r="C24" s="29">
        <v>45961</v>
      </c>
      <c r="D24" s="29">
        <v>46081</v>
      </c>
      <c r="E24" s="34">
        <f t="shared" si="0"/>
        <v>120</v>
      </c>
      <c r="F24" s="34">
        <f>MAX(0,E24-'Efectos y supuestos'!$B$17)</f>
        <v>60</v>
      </c>
      <c r="G24" s="14">
        <f>B24*F24/30.44*'Efectos y supuestos'!$B$16</f>
        <v>190.82198114418668</v>
      </c>
      <c r="H24" s="14">
        <f>B24*E24/30.44*'Efectos y supuestos'!$B$16</f>
        <v>381.64396228837336</v>
      </c>
    </row>
    <row r="25" spans="1:8" x14ac:dyDescent="0.35">
      <c r="A25" s="24" t="s">
        <v>718</v>
      </c>
      <c r="B25" s="25">
        <v>9.8699999999999992</v>
      </c>
      <c r="C25" s="29">
        <v>46096</v>
      </c>
      <c r="D25" s="29">
        <v>46214</v>
      </c>
      <c r="E25" s="34">
        <f t="shared" si="0"/>
        <v>118</v>
      </c>
      <c r="F25" s="34">
        <f>MAX(0,E25-'Efectos y supuestos'!$B$17)</f>
        <v>58</v>
      </c>
      <c r="G25" s="14">
        <f>B25*F25/30.44*'Efectos y supuestos'!$B$16</f>
        <v>185.58945179374973</v>
      </c>
      <c r="H25" s="14">
        <f>B25*E25/30.44*'Efectos y supuestos'!$B$16</f>
        <v>377.57853985624951</v>
      </c>
    </row>
    <row r="26" spans="1:8" x14ac:dyDescent="0.35">
      <c r="A26" s="24" t="s">
        <v>719</v>
      </c>
      <c r="B26" s="25">
        <v>6.25</v>
      </c>
      <c r="C26" s="29">
        <v>45940</v>
      </c>
      <c r="D26" s="29">
        <v>46053</v>
      </c>
      <c r="E26" s="34">
        <f t="shared" si="0"/>
        <v>113</v>
      </c>
      <c r="F26" s="34">
        <f>MAX(0,E26-'Efectos y supuestos'!$B$17)</f>
        <v>53</v>
      </c>
      <c r="G26" s="14">
        <f>B26*F26/30.44*'Efectos y supuestos'!$B$16</f>
        <v>107.3900463031122</v>
      </c>
      <c r="H26" s="14">
        <f>B26*E26/30.44*'Efectos y supuestos'!$B$16</f>
        <v>228.96368362739017</v>
      </c>
    </row>
    <row r="27" spans="1:8" x14ac:dyDescent="0.35">
      <c r="A27" s="24" t="s">
        <v>100</v>
      </c>
      <c r="B27" s="25">
        <v>2.97</v>
      </c>
      <c r="C27" s="29">
        <v>46096</v>
      </c>
      <c r="D27" s="29">
        <v>46203</v>
      </c>
      <c r="E27" s="34">
        <f t="shared" si="0"/>
        <v>107</v>
      </c>
      <c r="F27" s="34">
        <f>MAX(0,E27-'Efectos y supuestos'!$B$17)</f>
        <v>47</v>
      </c>
      <c r="G27" s="14">
        <f>B27*F27/30.44*'Efectos y supuestos'!$B$16</f>
        <v>45.254570757589228</v>
      </c>
      <c r="H27" s="14">
        <f>B27*E27/30.44*'Efectos y supuestos'!$B$16</f>
        <v>103.02636321408612</v>
      </c>
    </row>
    <row r="28" spans="1:8" x14ac:dyDescent="0.35">
      <c r="A28" s="24" t="s">
        <v>720</v>
      </c>
      <c r="B28" s="25">
        <v>13.48</v>
      </c>
      <c r="C28" s="29">
        <v>45973</v>
      </c>
      <c r="D28" s="29">
        <v>46065</v>
      </c>
      <c r="E28" s="34">
        <f t="shared" si="0"/>
        <v>92</v>
      </c>
      <c r="F28" s="34">
        <f>MAX(0,E28-'Efectos y supuestos'!$B$17)</f>
        <v>32</v>
      </c>
      <c r="G28" s="14">
        <f>B28*F28/30.44*'Efectos y supuestos'!$B$16</f>
        <v>139.84534452320145</v>
      </c>
      <c r="H28" s="14">
        <f>B28*E28/30.44*'Efectos y supuestos'!$B$16</f>
        <v>402.05536550420413</v>
      </c>
    </row>
    <row r="29" spans="1:8" x14ac:dyDescent="0.35">
      <c r="A29" s="24" t="s">
        <v>274</v>
      </c>
      <c r="B29" s="25">
        <v>15.03</v>
      </c>
      <c r="C29" s="29">
        <v>46037</v>
      </c>
      <c r="D29" s="29">
        <v>46125</v>
      </c>
      <c r="E29" s="34">
        <f t="shared" si="0"/>
        <v>88</v>
      </c>
      <c r="F29" s="34">
        <f>MAX(0,E29-'Efectos y supuestos'!$B$17)</f>
        <v>28</v>
      </c>
      <c r="G29" s="14">
        <f>B29*F29/30.44*'Efectos y supuestos'!$B$16</f>
        <v>136.43479875079768</v>
      </c>
      <c r="H29" s="14">
        <f>B29*E29/30.44*'Efectos y supuestos'!$B$16</f>
        <v>428.7950817882213</v>
      </c>
    </row>
    <row r="30" spans="1:8" x14ac:dyDescent="0.35">
      <c r="A30" s="24" t="s">
        <v>337</v>
      </c>
      <c r="B30" s="25">
        <v>5.51</v>
      </c>
      <c r="C30" s="29">
        <v>46096</v>
      </c>
      <c r="D30" s="29">
        <v>46184</v>
      </c>
      <c r="E30" s="34">
        <f t="shared" si="0"/>
        <v>88</v>
      </c>
      <c r="F30" s="34">
        <f>MAX(0,E30-'Efectos y supuestos'!$B$17)</f>
        <v>28</v>
      </c>
      <c r="G30" s="14">
        <f>B30*F30/30.44*'Efectos y supuestos'!$B$16</f>
        <v>50.017015377038938</v>
      </c>
      <c r="H30" s="14">
        <f>B30*E30/30.44*'Efectos y supuestos'!$B$16</f>
        <v>157.1963340421224</v>
      </c>
    </row>
    <row r="31" spans="1:8" x14ac:dyDescent="0.35">
      <c r="A31" s="24" t="s">
        <v>268</v>
      </c>
      <c r="B31" s="25">
        <v>9.25</v>
      </c>
      <c r="C31" s="29">
        <v>46127</v>
      </c>
      <c r="D31" s="29">
        <v>46197</v>
      </c>
      <c r="E31" s="34">
        <f t="shared" si="0"/>
        <v>70</v>
      </c>
      <c r="F31" s="34">
        <f>MAX(0,E31-'Efectos y supuestos'!$B$17)</f>
        <v>10</v>
      </c>
      <c r="G31" s="14">
        <f>B31*F31/30.44*'Efectos y supuestos'!$B$16</f>
        <v>29.988163873321895</v>
      </c>
      <c r="H31" s="14">
        <f>B31*E31/30.44*'Efectos y supuestos'!$B$16</f>
        <v>209.91714711325326</v>
      </c>
    </row>
    <row r="32" spans="1:8" x14ac:dyDescent="0.35">
      <c r="A32" s="24" t="s">
        <v>273</v>
      </c>
      <c r="B32" s="25">
        <v>12.99</v>
      </c>
      <c r="C32" s="29">
        <v>46218</v>
      </c>
      <c r="D32" s="29">
        <v>46282</v>
      </c>
      <c r="E32" s="34">
        <f t="shared" si="0"/>
        <v>64</v>
      </c>
      <c r="F32" s="34">
        <f>MAX(0,E32-'Efectos y supuestos'!$B$17)</f>
        <v>4</v>
      </c>
      <c r="G32" s="14">
        <f>B32*F32/30.44*'Efectos y supuestos'!$B$16</f>
        <v>16.845243187651953</v>
      </c>
      <c r="H32" s="14">
        <f>B32*E32/30.44*'Efectos y supuestos'!$B$16</f>
        <v>269.52389100243124</v>
      </c>
    </row>
    <row r="33" spans="1:8" x14ac:dyDescent="0.35">
      <c r="A33" s="24" t="s">
        <v>343</v>
      </c>
      <c r="B33" s="25">
        <v>7.88</v>
      </c>
      <c r="C33" s="29">
        <v>46096</v>
      </c>
      <c r="D33" s="29">
        <v>46150</v>
      </c>
      <c r="E33" s="34">
        <f t="shared" si="0"/>
        <v>54</v>
      </c>
      <c r="F33" s="34">
        <f>MAX(0,E33-'Efectos y supuestos'!$B$17)</f>
        <v>0</v>
      </c>
      <c r="G33" s="14">
        <f>B33*F33/30.44*'Efectos y supuestos'!$B$16</f>
        <v>0</v>
      </c>
      <c r="H33" s="14">
        <f>B33*E33/30.44*'Efectos y supuestos'!$B$16</f>
        <v>137.95203774460467</v>
      </c>
    </row>
    <row r="34" spans="1:8" x14ac:dyDescent="0.35">
      <c r="A34" s="24" t="s">
        <v>179</v>
      </c>
      <c r="B34" s="25">
        <v>5.18</v>
      </c>
      <c r="C34" s="29">
        <v>46218</v>
      </c>
      <c r="D34" s="29">
        <v>46270</v>
      </c>
      <c r="E34" s="34">
        <f t="shared" si="0"/>
        <v>52</v>
      </c>
      <c r="F34" s="34">
        <f>MAX(0,E34-'Efectos y supuestos'!$B$17)</f>
        <v>0</v>
      </c>
      <c r="G34" s="14">
        <f>B34*F34/30.44*'Efectos y supuestos'!$B$16</f>
        <v>0</v>
      </c>
      <c r="H34" s="14">
        <f>B34*E34/30.44*'Efectos y supuestos'!$B$16</f>
        <v>87.32553319911338</v>
      </c>
    </row>
    <row r="35" spans="1:8" x14ac:dyDescent="0.35">
      <c r="A35" s="24" t="s">
        <v>721</v>
      </c>
      <c r="B35" s="25">
        <v>10.26</v>
      </c>
      <c r="C35" s="29">
        <v>45980</v>
      </c>
      <c r="D35" s="29">
        <v>46031</v>
      </c>
      <c r="E35" s="34">
        <f t="shared" si="0"/>
        <v>51</v>
      </c>
      <c r="F35" s="34">
        <f>MAX(0,E35-'Efectos y supuestos'!$B$17)</f>
        <v>0</v>
      </c>
      <c r="G35" s="14">
        <f>B35*F35/30.44*'Efectos y supuestos'!$B$16</f>
        <v>0</v>
      </c>
      <c r="H35" s="14">
        <f>B35*E35/30.44*'Efectos y supuestos'!$B$16</f>
        <v>169.63899057680447</v>
      </c>
    </row>
    <row r="36" spans="1:8" x14ac:dyDescent="0.35">
      <c r="A36" s="24" t="s">
        <v>223</v>
      </c>
      <c r="B36" s="25">
        <v>4.84</v>
      </c>
      <c r="C36" s="29">
        <v>46096</v>
      </c>
      <c r="D36" s="29">
        <v>46137</v>
      </c>
      <c r="E36" s="34">
        <f t="shared" si="0"/>
        <v>41</v>
      </c>
      <c r="F36" s="34">
        <f>MAX(0,E36-'Efectos y supuestos'!$B$17)</f>
        <v>0</v>
      </c>
      <c r="G36" s="14">
        <f>B36*F36/30.44*'Efectos y supuestos'!$B$16</f>
        <v>0</v>
      </c>
      <c r="H36" s="14">
        <f>B36*E36/30.44*'Efectos y supuestos'!$B$16</f>
        <v>64.333526908345917</v>
      </c>
    </row>
    <row r="37" spans="1:8" x14ac:dyDescent="0.35">
      <c r="A37" s="24" t="s">
        <v>272</v>
      </c>
      <c r="B37" s="25">
        <v>12.95</v>
      </c>
      <c r="C37" s="29">
        <v>46096</v>
      </c>
      <c r="D37" s="29">
        <v>46137</v>
      </c>
      <c r="E37" s="34">
        <f t="shared" si="0"/>
        <v>41</v>
      </c>
      <c r="F37" s="34">
        <f>MAX(0,E37-'Efectos y supuestos'!$B$17)</f>
        <v>0</v>
      </c>
      <c r="G37" s="14">
        <f>B37*F37/30.44*'Efectos y supuestos'!$B$16</f>
        <v>0</v>
      </c>
      <c r="H37" s="14">
        <f>B37*E37/30.44*'Efectos y supuestos'!$B$16</f>
        <v>172.13206063286768</v>
      </c>
    </row>
    <row r="38" spans="1:8" x14ac:dyDescent="0.35">
      <c r="A38" s="24" t="s">
        <v>722</v>
      </c>
      <c r="B38" s="25">
        <v>5.73</v>
      </c>
      <c r="C38" s="29">
        <v>46096</v>
      </c>
      <c r="D38" s="29">
        <v>46136</v>
      </c>
      <c r="E38" s="34">
        <f t="shared" si="0"/>
        <v>40</v>
      </c>
      <c r="F38" s="34">
        <f>MAX(0,E38-'Efectos y supuestos'!$B$17)</f>
        <v>0</v>
      </c>
      <c r="G38" s="14">
        <f>B38*F38/30.44*'Efectos y supuestos'!$B$16</f>
        <v>0</v>
      </c>
      <c r="H38" s="14">
        <f>B38*E38/30.44*'Efectos y supuestos'!$B$16</f>
        <v>74.305807132598702</v>
      </c>
    </row>
    <row r="39" spans="1:8" x14ac:dyDescent="0.35">
      <c r="A39" s="24" t="s">
        <v>723</v>
      </c>
      <c r="B39" s="25">
        <v>1.87</v>
      </c>
      <c r="C39" s="29">
        <v>46269</v>
      </c>
      <c r="D39" s="29">
        <v>46290</v>
      </c>
      <c r="E39" s="34">
        <f t="shared" si="0"/>
        <v>21</v>
      </c>
      <c r="F39" s="34">
        <f>MAX(0,E39-'Efectos y supuestos'!$B$17)</f>
        <v>0</v>
      </c>
      <c r="G39" s="14">
        <f>B39*F39/30.44*'Efectos y supuestos'!$B$16</f>
        <v>0</v>
      </c>
      <c r="H39" s="14">
        <f>B39*E39/30.44*'Efectos y supuestos'!$B$16</f>
        <v>12.73119130059839</v>
      </c>
    </row>
    <row r="40" spans="1:8" x14ac:dyDescent="0.35">
      <c r="A40" s="24" t="s">
        <v>724</v>
      </c>
      <c r="B40" s="25">
        <v>3.17</v>
      </c>
      <c r="C40" s="29">
        <v>46267</v>
      </c>
      <c r="D40" s="29">
        <v>46288</v>
      </c>
      <c r="E40" s="34">
        <f t="shared" si="0"/>
        <v>21</v>
      </c>
      <c r="F40" s="34">
        <f>MAX(0,E40-'Efectos y supuestos'!$B$17)</f>
        <v>0</v>
      </c>
      <c r="G40" s="14">
        <f>B40*F40/30.44*'Efectos y supuestos'!$B$16</f>
        <v>0</v>
      </c>
      <c r="H40" s="14">
        <f>B40*E40/30.44*'Efectos y supuestos'!$B$16</f>
        <v>21.581752097805818</v>
      </c>
    </row>
    <row r="41" spans="1:8" x14ac:dyDescent="0.35">
      <c r="A41" s="8" t="s">
        <v>152</v>
      </c>
      <c r="B41" s="35">
        <f>SUM(B6:B40)</f>
        <v>332.22999999999996</v>
      </c>
      <c r="C41" s="9"/>
      <c r="D41" s="9"/>
      <c r="E41" s="9"/>
      <c r="F41" s="9"/>
      <c r="G41" s="10">
        <f>SUM(G6:G40)</f>
        <v>13663.032157925176</v>
      </c>
      <c r="H41" s="10">
        <f>SUM(H6:H40)</f>
        <v>19856.340133335725</v>
      </c>
    </row>
    <row r="43" spans="1:8" x14ac:dyDescent="0.35">
      <c r="A43" s="20" t="s">
        <v>725</v>
      </c>
    </row>
    <row r="44" spans="1:8" x14ac:dyDescent="0.35">
      <c r="A44" s="24" t="s">
        <v>726</v>
      </c>
      <c r="B44" s="25">
        <v>8.33</v>
      </c>
      <c r="C44" s="29">
        <v>46006</v>
      </c>
      <c r="D44" s="29">
        <v>46316</v>
      </c>
      <c r="E44" s="34">
        <f>D44-C44</f>
        <v>310</v>
      </c>
      <c r="F44" s="34">
        <f>MAX(0,E44-'Efectos y supuestos'!$B$17)</f>
        <v>250</v>
      </c>
      <c r="G44" s="14">
        <f>B44*F44/30.44*'Efectos y supuestos'!$B$16</f>
        <v>675.13893260749035</v>
      </c>
      <c r="H44" s="14">
        <f>B44*E44/30.44*'Efectos y supuestos'!$B$16</f>
        <v>837.17227643328806</v>
      </c>
    </row>
    <row r="45" spans="1:8" x14ac:dyDescent="0.35">
      <c r="A45" s="24" t="s">
        <v>101</v>
      </c>
      <c r="B45" s="25">
        <v>12.44</v>
      </c>
      <c r="C45" s="29">
        <v>46282</v>
      </c>
      <c r="D45" s="29">
        <v>46316</v>
      </c>
      <c r="E45" s="34">
        <f>D45-C45</f>
        <v>34</v>
      </c>
      <c r="F45" s="34">
        <f>MAX(0,E45-'Efectos y supuestos'!$B$17)</f>
        <v>0</v>
      </c>
      <c r="G45" s="14">
        <f>B45*F45/30.44*'Efectos y supuestos'!$B$16</f>
        <v>0</v>
      </c>
      <c r="H45" s="14">
        <f>B45*E45/30.44*'Efectos y supuestos'!$B$16</f>
        <v>137.12209504713761</v>
      </c>
    </row>
    <row r="46" spans="1:8" x14ac:dyDescent="0.35">
      <c r="A46" s="8" t="s">
        <v>727</v>
      </c>
      <c r="B46" s="35">
        <f>SUM(B44:B45)</f>
        <v>20.77</v>
      </c>
      <c r="C46" s="9"/>
      <c r="D46" s="9"/>
      <c r="E46" s="9"/>
      <c r="F46" s="9"/>
      <c r="G46" s="10">
        <f>SUM(G44:G45)</f>
        <v>675.13893260749035</v>
      </c>
      <c r="H46" s="10">
        <f>SUM(H44:H45)</f>
        <v>974.29437148042564</v>
      </c>
    </row>
    <row r="47" spans="1:8" x14ac:dyDescent="0.35">
      <c r="A47" s="2" t="s">
        <v>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9"/>
  <sheetViews>
    <sheetView workbookViewId="0"/>
  </sheetViews>
  <sheetFormatPr baseColWidth="10" defaultColWidth="8.7265625" defaultRowHeight="14.5" x14ac:dyDescent="0.35"/>
  <cols>
    <col min="1" max="1" width="26" customWidth="1"/>
    <col min="2" max="3" width="10" customWidth="1"/>
    <col min="4" max="4" width="14" customWidth="1"/>
  </cols>
  <sheetData>
    <row r="1" spans="1:4" ht="18" x14ac:dyDescent="0.4">
      <c r="A1" s="1" t="s">
        <v>729</v>
      </c>
    </row>
    <row r="2" spans="1:4" x14ac:dyDescent="0.35">
      <c r="A2" s="2" t="s">
        <v>730</v>
      </c>
    </row>
    <row r="4" spans="1:4" ht="40" customHeight="1" x14ac:dyDescent="0.35">
      <c r="A4" s="3" t="s">
        <v>731</v>
      </c>
      <c r="B4" s="3" t="s">
        <v>732</v>
      </c>
      <c r="C4" s="3" t="s">
        <v>733</v>
      </c>
      <c r="D4" s="3" t="s">
        <v>734</v>
      </c>
    </row>
    <row r="5" spans="1:4" x14ac:dyDescent="0.35">
      <c r="A5" s="4" t="s">
        <v>735</v>
      </c>
      <c r="B5" s="21">
        <v>71</v>
      </c>
      <c r="C5" s="26">
        <v>127.47947220963979</v>
      </c>
      <c r="D5" s="24" t="s">
        <v>736</v>
      </c>
    </row>
    <row r="6" spans="1:4" x14ac:dyDescent="0.35">
      <c r="A6" s="4" t="s">
        <v>737</v>
      </c>
      <c r="B6" s="21">
        <v>153</v>
      </c>
      <c r="C6" s="26">
        <v>138.05214551544469</v>
      </c>
      <c r="D6" s="24" t="s">
        <v>738</v>
      </c>
    </row>
    <row r="7" spans="1:4" x14ac:dyDescent="0.35">
      <c r="A7" s="4" t="s">
        <v>739</v>
      </c>
      <c r="B7" s="21">
        <v>92</v>
      </c>
      <c r="C7" s="26">
        <v>138.42161178805401</v>
      </c>
      <c r="D7" s="24" t="s">
        <v>740</v>
      </c>
    </row>
    <row r="8" spans="1:4" x14ac:dyDescent="0.35">
      <c r="A8" s="4" t="s">
        <v>741</v>
      </c>
      <c r="B8" s="21">
        <v>103</v>
      </c>
      <c r="C8" s="26">
        <v>130.74442228738999</v>
      </c>
      <c r="D8" s="24" t="s">
        <v>742</v>
      </c>
    </row>
    <row r="10" spans="1:4" x14ac:dyDescent="0.35">
      <c r="A10" s="20" t="s">
        <v>743</v>
      </c>
    </row>
    <row r="12" spans="1:4" ht="40" customHeight="1" x14ac:dyDescent="0.35">
      <c r="A12" s="3" t="s">
        <v>744</v>
      </c>
      <c r="B12" s="3" t="s">
        <v>75</v>
      </c>
      <c r="C12" s="3" t="s">
        <v>696</v>
      </c>
      <c r="D12" s="3" t="s">
        <v>162</v>
      </c>
    </row>
    <row r="13" spans="1:4" x14ac:dyDescent="0.35">
      <c r="A13" s="24" t="s">
        <v>631</v>
      </c>
      <c r="B13" s="25">
        <v>14.47</v>
      </c>
      <c r="C13" s="21">
        <v>547</v>
      </c>
      <c r="D13" s="26">
        <v>128.12</v>
      </c>
    </row>
    <row r="14" spans="1:4" x14ac:dyDescent="0.35">
      <c r="A14" s="24" t="s">
        <v>526</v>
      </c>
      <c r="B14" s="25">
        <v>10.87</v>
      </c>
      <c r="C14" s="21">
        <v>372</v>
      </c>
      <c r="D14" s="26">
        <v>126.3403863845446</v>
      </c>
    </row>
    <row r="15" spans="1:4" x14ac:dyDescent="0.35">
      <c r="A15" s="24" t="s">
        <v>597</v>
      </c>
      <c r="B15" s="25">
        <v>7.84</v>
      </c>
      <c r="C15" s="21">
        <v>296</v>
      </c>
      <c r="D15" s="26">
        <v>147.68367346938771</v>
      </c>
    </row>
    <row r="16" spans="1:4" x14ac:dyDescent="0.35">
      <c r="A16" s="24" t="s">
        <v>596</v>
      </c>
      <c r="B16" s="25">
        <v>7.8</v>
      </c>
      <c r="C16" s="21">
        <v>295</v>
      </c>
      <c r="D16" s="26">
        <v>133.33333333333329</v>
      </c>
    </row>
    <row r="17" spans="1:4" x14ac:dyDescent="0.35">
      <c r="A17" s="24" t="s">
        <v>527</v>
      </c>
      <c r="B17" s="25">
        <v>10.220000000000001</v>
      </c>
      <c r="C17" s="21">
        <v>259</v>
      </c>
      <c r="D17" s="26">
        <v>123.96</v>
      </c>
    </row>
    <row r="18" spans="1:4" x14ac:dyDescent="0.35">
      <c r="A18" s="24" t="s">
        <v>581</v>
      </c>
      <c r="B18" s="25">
        <v>8.5</v>
      </c>
      <c r="C18" s="21">
        <v>245</v>
      </c>
      <c r="D18" s="26">
        <v>142.54</v>
      </c>
    </row>
    <row r="19" spans="1:4" x14ac:dyDescent="0.35">
      <c r="A19" s="24" t="s">
        <v>581</v>
      </c>
      <c r="B19" s="25">
        <v>8.5</v>
      </c>
      <c r="C19" s="21">
        <v>245</v>
      </c>
      <c r="D19" s="26">
        <v>142.53882352941179</v>
      </c>
    </row>
    <row r="20" spans="1:4" x14ac:dyDescent="0.35">
      <c r="A20" s="24" t="s">
        <v>502</v>
      </c>
      <c r="B20" s="25">
        <v>15.45</v>
      </c>
      <c r="C20" s="21">
        <v>227</v>
      </c>
      <c r="D20" s="26">
        <v>120.4174757281554</v>
      </c>
    </row>
    <row r="21" spans="1:4" x14ac:dyDescent="0.35">
      <c r="A21" s="24" t="s">
        <v>502</v>
      </c>
      <c r="B21" s="25">
        <v>15.55</v>
      </c>
      <c r="C21" s="21">
        <v>227</v>
      </c>
      <c r="D21" s="26">
        <v>120.42</v>
      </c>
    </row>
    <row r="22" spans="1:4" x14ac:dyDescent="0.35">
      <c r="A22" s="24" t="s">
        <v>578</v>
      </c>
      <c r="B22" s="25">
        <v>5.75</v>
      </c>
      <c r="C22" s="21">
        <v>221</v>
      </c>
      <c r="D22" s="26">
        <v>130.84869565217389</v>
      </c>
    </row>
    <row r="23" spans="1:4" x14ac:dyDescent="0.35">
      <c r="A23" s="24" t="s">
        <v>563</v>
      </c>
      <c r="B23" s="25">
        <v>10.33</v>
      </c>
      <c r="C23" s="21">
        <v>220</v>
      </c>
      <c r="D23" s="26">
        <v>144.01936108422069</v>
      </c>
    </row>
    <row r="24" spans="1:4" x14ac:dyDescent="0.35">
      <c r="A24" s="24" t="s">
        <v>635</v>
      </c>
      <c r="B24" s="25">
        <v>14.26</v>
      </c>
      <c r="C24" s="21">
        <v>215</v>
      </c>
      <c r="D24" s="26">
        <v>109.95</v>
      </c>
    </row>
    <row r="25" spans="1:4" x14ac:dyDescent="0.35">
      <c r="A25" s="24" t="s">
        <v>634</v>
      </c>
      <c r="B25" s="25">
        <v>8.5399999999999991</v>
      </c>
      <c r="C25" s="21">
        <v>206</v>
      </c>
      <c r="D25" s="26">
        <v>125.76</v>
      </c>
    </row>
    <row r="26" spans="1:4" x14ac:dyDescent="0.35">
      <c r="A26" s="24" t="s">
        <v>565</v>
      </c>
      <c r="B26" s="25">
        <v>3.9</v>
      </c>
      <c r="C26" s="21">
        <v>205</v>
      </c>
      <c r="D26" s="26">
        <v>139.17948717948721</v>
      </c>
    </row>
    <row r="27" spans="1:4" x14ac:dyDescent="0.35">
      <c r="A27" s="24" t="s">
        <v>565</v>
      </c>
      <c r="B27" s="25">
        <v>3.9</v>
      </c>
      <c r="C27" s="21">
        <v>205</v>
      </c>
      <c r="D27" s="26">
        <v>139.18</v>
      </c>
    </row>
    <row r="28" spans="1:4" x14ac:dyDescent="0.35">
      <c r="A28" s="24" t="s">
        <v>564</v>
      </c>
      <c r="B28" s="25">
        <v>17.78</v>
      </c>
      <c r="C28" s="21">
        <v>203</v>
      </c>
      <c r="D28" s="26">
        <v>141.71</v>
      </c>
    </row>
    <row r="29" spans="1:4" x14ac:dyDescent="0.35">
      <c r="A29" s="24" t="s">
        <v>564</v>
      </c>
      <c r="B29" s="25">
        <v>17.78</v>
      </c>
      <c r="C29" s="21">
        <v>203</v>
      </c>
      <c r="D29" s="26">
        <v>141.70809898762661</v>
      </c>
    </row>
    <row r="30" spans="1:4" x14ac:dyDescent="0.35">
      <c r="A30" s="24" t="s">
        <v>488</v>
      </c>
      <c r="B30" s="25">
        <v>11.26</v>
      </c>
      <c r="C30" s="21">
        <v>195</v>
      </c>
      <c r="D30" s="26">
        <v>122.2984014209591</v>
      </c>
    </row>
    <row r="31" spans="1:4" x14ac:dyDescent="0.35">
      <c r="A31" s="24" t="s">
        <v>488</v>
      </c>
      <c r="B31" s="25">
        <v>11.26</v>
      </c>
      <c r="C31" s="21">
        <v>195</v>
      </c>
      <c r="D31" s="26">
        <v>122.3</v>
      </c>
    </row>
    <row r="32" spans="1:4" x14ac:dyDescent="0.35">
      <c r="A32" s="24" t="s">
        <v>599</v>
      </c>
      <c r="B32" s="25">
        <v>7.59</v>
      </c>
      <c r="C32" s="21">
        <v>192</v>
      </c>
      <c r="D32" s="26">
        <v>121.79051383399209</v>
      </c>
    </row>
    <row r="33" spans="1:4" x14ac:dyDescent="0.35">
      <c r="A33" s="24" t="s">
        <v>633</v>
      </c>
      <c r="B33" s="25">
        <v>8.5500000000000007</v>
      </c>
      <c r="C33" s="21">
        <v>184</v>
      </c>
      <c r="D33" s="26">
        <v>145.89590643274849</v>
      </c>
    </row>
    <row r="34" spans="1:4" x14ac:dyDescent="0.35">
      <c r="A34" s="24" t="s">
        <v>633</v>
      </c>
      <c r="B34" s="25">
        <v>8.5500000000000007</v>
      </c>
      <c r="C34" s="21">
        <v>184</v>
      </c>
      <c r="D34" s="26">
        <v>145.9</v>
      </c>
    </row>
    <row r="35" spans="1:4" x14ac:dyDescent="0.35">
      <c r="A35" s="24" t="s">
        <v>561</v>
      </c>
      <c r="B35" s="25">
        <v>6.68</v>
      </c>
      <c r="C35" s="21">
        <v>178</v>
      </c>
      <c r="D35" s="26">
        <v>139.26796407185631</v>
      </c>
    </row>
    <row r="36" spans="1:4" x14ac:dyDescent="0.35">
      <c r="A36" s="24" t="s">
        <v>575</v>
      </c>
      <c r="B36" s="25">
        <v>2.84</v>
      </c>
      <c r="C36" s="21">
        <v>162</v>
      </c>
      <c r="D36" s="26">
        <v>111.2781690140845</v>
      </c>
    </row>
    <row r="37" spans="1:4" x14ac:dyDescent="0.35">
      <c r="A37" s="24" t="s">
        <v>566</v>
      </c>
      <c r="B37" s="25">
        <v>4.66</v>
      </c>
      <c r="C37" s="21">
        <v>129</v>
      </c>
      <c r="D37" s="26">
        <v>121.8326180257511</v>
      </c>
    </row>
    <row r="38" spans="1:4" x14ac:dyDescent="0.35">
      <c r="A38" s="24" t="s">
        <v>601</v>
      </c>
      <c r="B38" s="25">
        <v>5.9</v>
      </c>
      <c r="C38" s="21">
        <v>126</v>
      </c>
      <c r="D38" s="26">
        <v>131.62203389830509</v>
      </c>
    </row>
    <row r="39" spans="1:4" x14ac:dyDescent="0.35">
      <c r="A39" s="24" t="s">
        <v>636</v>
      </c>
      <c r="B39" s="25">
        <v>1.69</v>
      </c>
      <c r="C39" s="21">
        <v>111</v>
      </c>
      <c r="D39" s="26">
        <v>122.54</v>
      </c>
    </row>
    <row r="40" spans="1:4" x14ac:dyDescent="0.35">
      <c r="A40" s="24" t="s">
        <v>636</v>
      </c>
      <c r="B40" s="25">
        <v>1.69</v>
      </c>
      <c r="C40" s="21">
        <v>111</v>
      </c>
      <c r="D40" s="26">
        <v>122.5384615384615</v>
      </c>
    </row>
    <row r="41" spans="1:4" x14ac:dyDescent="0.35">
      <c r="A41" s="24" t="s">
        <v>533</v>
      </c>
      <c r="B41" s="25">
        <v>14.08</v>
      </c>
      <c r="C41" s="21">
        <v>96</v>
      </c>
      <c r="D41" s="26">
        <v>96.384943181818173</v>
      </c>
    </row>
    <row r="42" spans="1:4" x14ac:dyDescent="0.35">
      <c r="A42" s="24" t="s">
        <v>533</v>
      </c>
      <c r="B42" s="25">
        <v>14.37</v>
      </c>
      <c r="C42" s="21">
        <v>96</v>
      </c>
      <c r="D42" s="26">
        <v>96.38</v>
      </c>
    </row>
    <row r="43" spans="1:4" x14ac:dyDescent="0.35">
      <c r="A43" s="24" t="s">
        <v>535</v>
      </c>
      <c r="B43" s="25">
        <v>5.01</v>
      </c>
      <c r="C43" s="21">
        <v>80</v>
      </c>
      <c r="D43" s="26">
        <v>145.88622754491021</v>
      </c>
    </row>
    <row r="44" spans="1:4" x14ac:dyDescent="0.35">
      <c r="A44" s="24" t="s">
        <v>638</v>
      </c>
      <c r="B44" s="25">
        <v>9.49</v>
      </c>
      <c r="C44" s="21">
        <v>66</v>
      </c>
      <c r="D44" s="26">
        <v>121.37</v>
      </c>
    </row>
    <row r="45" spans="1:4" x14ac:dyDescent="0.35">
      <c r="A45" s="24" t="s">
        <v>638</v>
      </c>
      <c r="B45" s="25">
        <v>7.69</v>
      </c>
      <c r="C45" s="21">
        <v>66</v>
      </c>
      <c r="D45" s="26">
        <v>121.369310793238</v>
      </c>
    </row>
    <row r="46" spans="1:4" x14ac:dyDescent="0.35">
      <c r="A46" s="24" t="s">
        <v>367</v>
      </c>
      <c r="B46" s="25">
        <v>7.94</v>
      </c>
      <c r="C46" s="21">
        <v>53</v>
      </c>
      <c r="D46" s="26">
        <v>134.78211586901759</v>
      </c>
    </row>
    <row r="47" spans="1:4" x14ac:dyDescent="0.35">
      <c r="A47" s="24" t="s">
        <v>366</v>
      </c>
      <c r="B47" s="25">
        <v>12.74</v>
      </c>
      <c r="C47" s="21">
        <v>52</v>
      </c>
      <c r="D47" s="26">
        <v>144.33987441130299</v>
      </c>
    </row>
    <row r="48" spans="1:4" x14ac:dyDescent="0.35">
      <c r="A48" s="24" t="s">
        <v>614</v>
      </c>
      <c r="B48" s="25">
        <v>5.1100000000000003</v>
      </c>
      <c r="C48" s="21">
        <v>50</v>
      </c>
      <c r="D48" s="26">
        <v>99.722113502935414</v>
      </c>
    </row>
    <row r="49" spans="1:4" x14ac:dyDescent="0.35">
      <c r="A49" s="24" t="s">
        <v>577</v>
      </c>
      <c r="B49" s="25">
        <v>14.83</v>
      </c>
      <c r="C49" s="21">
        <v>46</v>
      </c>
      <c r="D49" s="26">
        <v>96.651382333108558</v>
      </c>
    </row>
    <row r="50" spans="1:4" x14ac:dyDescent="0.35">
      <c r="A50" s="24" t="s">
        <v>632</v>
      </c>
      <c r="B50" s="25">
        <v>5.08</v>
      </c>
      <c r="C50" s="21">
        <v>43</v>
      </c>
      <c r="D50" s="26">
        <v>137.94999999999999</v>
      </c>
    </row>
    <row r="51" spans="1:4" x14ac:dyDescent="0.35">
      <c r="A51" s="8" t="s">
        <v>745</v>
      </c>
      <c r="B51" s="10">
        <f>SUMIFS(B13:B50,C13:C50,"&gt;60")</f>
        <v>302.75</v>
      </c>
    </row>
    <row r="53" spans="1:4" ht="40" customHeight="1" x14ac:dyDescent="0.35">
      <c r="A53" s="3" t="s">
        <v>746</v>
      </c>
      <c r="B53" s="3" t="s">
        <v>75</v>
      </c>
      <c r="C53" s="3" t="s">
        <v>696</v>
      </c>
      <c r="D53" s="3" t="s">
        <v>747</v>
      </c>
    </row>
    <row r="54" spans="1:4" x14ac:dyDescent="0.35">
      <c r="A54" s="24" t="s">
        <v>700</v>
      </c>
      <c r="B54" s="25">
        <v>14.29</v>
      </c>
      <c r="C54" s="21">
        <v>509</v>
      </c>
      <c r="D54" s="29">
        <v>46181</v>
      </c>
    </row>
    <row r="55" spans="1:4" x14ac:dyDescent="0.35">
      <c r="A55" s="24" t="s">
        <v>701</v>
      </c>
      <c r="B55" s="25">
        <v>15.24</v>
      </c>
      <c r="C55" s="21">
        <v>409</v>
      </c>
      <c r="D55" s="29">
        <v>46262</v>
      </c>
    </row>
    <row r="56" spans="1:4" x14ac:dyDescent="0.35">
      <c r="A56" s="24" t="s">
        <v>702</v>
      </c>
      <c r="B56" s="25">
        <v>15.77</v>
      </c>
      <c r="C56" s="21">
        <v>381</v>
      </c>
      <c r="D56" s="29">
        <v>46234</v>
      </c>
    </row>
    <row r="57" spans="1:4" x14ac:dyDescent="0.35">
      <c r="A57" s="24" t="s">
        <v>703</v>
      </c>
      <c r="B57" s="25">
        <v>8.5</v>
      </c>
      <c r="C57" s="21">
        <v>347</v>
      </c>
      <c r="D57" s="29">
        <v>46078</v>
      </c>
    </row>
    <row r="58" spans="1:4" x14ac:dyDescent="0.35">
      <c r="A58" s="24" t="s">
        <v>704</v>
      </c>
      <c r="B58" s="25">
        <v>10.11</v>
      </c>
      <c r="C58" s="21">
        <v>305</v>
      </c>
      <c r="D58" s="29">
        <v>46128</v>
      </c>
    </row>
    <row r="59" spans="1:4" x14ac:dyDescent="0.35">
      <c r="A59" s="24" t="s">
        <v>705</v>
      </c>
      <c r="B59" s="25">
        <v>15.17</v>
      </c>
      <c r="C59" s="21">
        <v>294</v>
      </c>
      <c r="D59" s="29">
        <v>46203</v>
      </c>
    </row>
    <row r="60" spans="1:4" x14ac:dyDescent="0.35">
      <c r="A60" s="24" t="s">
        <v>748</v>
      </c>
      <c r="B60" s="25">
        <v>14.18</v>
      </c>
      <c r="C60" s="21">
        <v>260</v>
      </c>
      <c r="D60" s="29">
        <v>45991</v>
      </c>
    </row>
    <row r="61" spans="1:4" x14ac:dyDescent="0.35">
      <c r="A61" s="24" t="s">
        <v>749</v>
      </c>
      <c r="B61" s="25">
        <v>11</v>
      </c>
      <c r="C61" s="21">
        <v>230</v>
      </c>
      <c r="D61" s="29">
        <v>45961</v>
      </c>
    </row>
    <row r="62" spans="1:4" x14ac:dyDescent="0.35">
      <c r="A62" s="24" t="s">
        <v>706</v>
      </c>
      <c r="B62" s="25">
        <v>16.829999999999998</v>
      </c>
      <c r="C62" s="21">
        <v>227</v>
      </c>
      <c r="D62" s="29">
        <v>46123</v>
      </c>
    </row>
    <row r="63" spans="1:4" x14ac:dyDescent="0.35">
      <c r="A63" s="24" t="s">
        <v>635</v>
      </c>
      <c r="B63" s="25">
        <v>14.26</v>
      </c>
      <c r="C63" s="21">
        <v>215</v>
      </c>
      <c r="D63" s="29">
        <v>45946</v>
      </c>
    </row>
    <row r="64" spans="1:4" x14ac:dyDescent="0.35">
      <c r="A64" s="24" t="s">
        <v>634</v>
      </c>
      <c r="B64" s="25">
        <v>8.5399999999999991</v>
      </c>
      <c r="C64" s="21">
        <v>206</v>
      </c>
      <c r="D64" s="29">
        <v>45937</v>
      </c>
    </row>
    <row r="65" spans="1:4" x14ac:dyDescent="0.35">
      <c r="A65" s="24" t="s">
        <v>236</v>
      </c>
      <c r="B65" s="25">
        <v>11.43</v>
      </c>
      <c r="C65" s="21">
        <v>200</v>
      </c>
      <c r="D65" s="29">
        <v>46268</v>
      </c>
    </row>
    <row r="66" spans="1:4" x14ac:dyDescent="0.35">
      <c r="A66" s="24" t="s">
        <v>707</v>
      </c>
      <c r="B66" s="25">
        <v>13.49</v>
      </c>
      <c r="C66" s="21">
        <v>189</v>
      </c>
      <c r="D66" s="29">
        <v>46107</v>
      </c>
    </row>
    <row r="67" spans="1:4" x14ac:dyDescent="0.35">
      <c r="A67" s="24" t="s">
        <v>708</v>
      </c>
      <c r="B67" s="25">
        <v>10.42</v>
      </c>
      <c r="C67" s="21">
        <v>186</v>
      </c>
      <c r="D67" s="29">
        <v>46192</v>
      </c>
    </row>
    <row r="68" spans="1:4" x14ac:dyDescent="0.35">
      <c r="A68" s="24" t="s">
        <v>750</v>
      </c>
      <c r="B68" s="25">
        <v>6.33</v>
      </c>
      <c r="C68" s="21">
        <v>183</v>
      </c>
      <c r="D68" s="29">
        <v>46006</v>
      </c>
    </row>
    <row r="69" spans="1:4" x14ac:dyDescent="0.35">
      <c r="A69" s="24" t="s">
        <v>709</v>
      </c>
      <c r="B69" s="25">
        <v>14.92</v>
      </c>
      <c r="C69" s="21">
        <v>179</v>
      </c>
      <c r="D69" s="29">
        <v>46095</v>
      </c>
    </row>
    <row r="70" spans="1:4" x14ac:dyDescent="0.35">
      <c r="A70" s="24" t="s">
        <v>710</v>
      </c>
      <c r="B70" s="25">
        <v>5.91</v>
      </c>
      <c r="C70" s="21">
        <v>178</v>
      </c>
      <c r="D70" s="29">
        <v>46090</v>
      </c>
    </row>
    <row r="71" spans="1:4" x14ac:dyDescent="0.35">
      <c r="A71" s="24" t="s">
        <v>711</v>
      </c>
      <c r="B71" s="25">
        <v>6.91</v>
      </c>
      <c r="C71" s="21">
        <v>166</v>
      </c>
      <c r="D71" s="29">
        <v>46088</v>
      </c>
    </row>
    <row r="72" spans="1:4" x14ac:dyDescent="0.35">
      <c r="A72" s="24" t="s">
        <v>712</v>
      </c>
      <c r="B72" s="25">
        <v>7.63</v>
      </c>
      <c r="C72" s="21">
        <v>165</v>
      </c>
      <c r="D72" s="29">
        <v>46132</v>
      </c>
    </row>
    <row r="73" spans="1:4" x14ac:dyDescent="0.35">
      <c r="A73" s="24" t="s">
        <v>751</v>
      </c>
      <c r="B73" s="25">
        <v>11.7</v>
      </c>
      <c r="C73" s="21">
        <v>160</v>
      </c>
      <c r="D73" s="29">
        <v>46013</v>
      </c>
    </row>
    <row r="74" spans="1:4" x14ac:dyDescent="0.35">
      <c r="A74" s="24" t="s">
        <v>713</v>
      </c>
      <c r="B74" s="25">
        <v>16.59</v>
      </c>
      <c r="C74" s="21">
        <v>159</v>
      </c>
      <c r="D74" s="29">
        <v>46053</v>
      </c>
    </row>
    <row r="75" spans="1:4" x14ac:dyDescent="0.35">
      <c r="A75" s="24" t="s">
        <v>714</v>
      </c>
      <c r="B75" s="25">
        <v>2.92</v>
      </c>
      <c r="C75" s="21">
        <v>143</v>
      </c>
      <c r="D75" s="29">
        <v>46119</v>
      </c>
    </row>
    <row r="76" spans="1:4" x14ac:dyDescent="0.35">
      <c r="A76" s="24" t="s">
        <v>715</v>
      </c>
      <c r="B76" s="25">
        <v>0.44</v>
      </c>
      <c r="C76" s="21">
        <v>142</v>
      </c>
      <c r="D76" s="29">
        <v>46118</v>
      </c>
    </row>
    <row r="77" spans="1:4" x14ac:dyDescent="0.35">
      <c r="A77" s="24" t="s">
        <v>716</v>
      </c>
      <c r="B77" s="25">
        <v>8.6199999999999992</v>
      </c>
      <c r="C77" s="21">
        <v>142</v>
      </c>
      <c r="D77" s="29">
        <v>46118</v>
      </c>
    </row>
    <row r="78" spans="1:4" x14ac:dyDescent="0.35">
      <c r="A78" s="24" t="s">
        <v>752</v>
      </c>
      <c r="B78" s="25">
        <v>13.65</v>
      </c>
      <c r="C78" s="21">
        <v>138</v>
      </c>
      <c r="D78" s="29">
        <v>45961</v>
      </c>
    </row>
    <row r="79" spans="1:4" x14ac:dyDescent="0.35">
      <c r="A79" s="24" t="s">
        <v>753</v>
      </c>
      <c r="B79" s="25">
        <v>13.93</v>
      </c>
      <c r="C79" s="21">
        <v>121</v>
      </c>
      <c r="D79" s="29">
        <v>45974</v>
      </c>
    </row>
    <row r="80" spans="1:4" x14ac:dyDescent="0.35">
      <c r="A80" s="24" t="s">
        <v>717</v>
      </c>
      <c r="B80" s="25">
        <v>9.81</v>
      </c>
      <c r="C80" s="21">
        <v>120</v>
      </c>
      <c r="D80" s="29">
        <v>46081</v>
      </c>
    </row>
    <row r="81" spans="1:4" x14ac:dyDescent="0.35">
      <c r="A81" s="24" t="s">
        <v>718</v>
      </c>
      <c r="B81" s="25">
        <v>9.8699999999999992</v>
      </c>
      <c r="C81" s="21">
        <v>118</v>
      </c>
      <c r="D81" s="29">
        <v>46214</v>
      </c>
    </row>
    <row r="82" spans="1:4" x14ac:dyDescent="0.35">
      <c r="A82" s="24" t="s">
        <v>719</v>
      </c>
      <c r="B82" s="25">
        <v>6.25</v>
      </c>
      <c r="C82" s="21">
        <v>113</v>
      </c>
      <c r="D82" s="29">
        <v>46053</v>
      </c>
    </row>
    <row r="83" spans="1:4" x14ac:dyDescent="0.35">
      <c r="A83" s="24" t="s">
        <v>754</v>
      </c>
      <c r="B83" s="25">
        <v>12.25</v>
      </c>
      <c r="C83" s="21">
        <v>113</v>
      </c>
      <c r="D83" s="29">
        <v>45997</v>
      </c>
    </row>
    <row r="84" spans="1:4" x14ac:dyDescent="0.35">
      <c r="A84" s="24" t="s">
        <v>100</v>
      </c>
      <c r="B84" s="25">
        <v>2.97</v>
      </c>
      <c r="C84" s="21">
        <v>107</v>
      </c>
      <c r="D84" s="29">
        <v>46203</v>
      </c>
    </row>
    <row r="85" spans="1:4" x14ac:dyDescent="0.35">
      <c r="A85" s="24" t="s">
        <v>755</v>
      </c>
      <c r="B85" s="25">
        <v>7.88</v>
      </c>
      <c r="C85" s="21">
        <v>106</v>
      </c>
      <c r="D85" s="29">
        <v>46021</v>
      </c>
    </row>
    <row r="86" spans="1:4" x14ac:dyDescent="0.35">
      <c r="A86" s="24" t="s">
        <v>756</v>
      </c>
      <c r="B86" s="25">
        <v>6.97</v>
      </c>
      <c r="C86" s="21">
        <v>103</v>
      </c>
      <c r="D86" s="29">
        <v>45987</v>
      </c>
    </row>
    <row r="87" spans="1:4" x14ac:dyDescent="0.35">
      <c r="A87" s="24" t="s">
        <v>757</v>
      </c>
      <c r="B87" s="25">
        <v>7.01</v>
      </c>
      <c r="C87" s="21">
        <v>101</v>
      </c>
      <c r="D87" s="29">
        <v>45985</v>
      </c>
    </row>
    <row r="88" spans="1:4" x14ac:dyDescent="0.35">
      <c r="A88" s="24" t="s">
        <v>758</v>
      </c>
      <c r="B88" s="25">
        <v>7.51</v>
      </c>
      <c r="C88" s="21">
        <v>99</v>
      </c>
      <c r="D88" s="29">
        <v>45952</v>
      </c>
    </row>
    <row r="89" spans="1:4" x14ac:dyDescent="0.35">
      <c r="A89" s="24" t="s">
        <v>759</v>
      </c>
      <c r="B89" s="25">
        <v>7.53</v>
      </c>
      <c r="C89" s="21">
        <v>95</v>
      </c>
      <c r="D89" s="29">
        <v>45979</v>
      </c>
    </row>
    <row r="90" spans="1:4" x14ac:dyDescent="0.35">
      <c r="A90" s="24" t="s">
        <v>720</v>
      </c>
      <c r="B90" s="25">
        <v>13.48</v>
      </c>
      <c r="C90" s="21">
        <v>92</v>
      </c>
      <c r="D90" s="29">
        <v>46065</v>
      </c>
    </row>
    <row r="91" spans="1:4" x14ac:dyDescent="0.35">
      <c r="A91" s="24" t="s">
        <v>274</v>
      </c>
      <c r="B91" s="25">
        <v>15.03</v>
      </c>
      <c r="C91" s="21">
        <v>88</v>
      </c>
      <c r="D91" s="29">
        <v>46125</v>
      </c>
    </row>
    <row r="92" spans="1:4" x14ac:dyDescent="0.35">
      <c r="A92" s="24" t="s">
        <v>337</v>
      </c>
      <c r="B92" s="25">
        <v>5.51</v>
      </c>
      <c r="C92" s="21">
        <v>88</v>
      </c>
      <c r="D92" s="29">
        <v>46184</v>
      </c>
    </row>
    <row r="93" spans="1:4" x14ac:dyDescent="0.35">
      <c r="A93" s="24" t="s">
        <v>760</v>
      </c>
      <c r="B93" s="25">
        <v>17.68</v>
      </c>
      <c r="C93" s="21">
        <v>73</v>
      </c>
      <c r="D93" s="29">
        <v>46018</v>
      </c>
    </row>
    <row r="94" spans="1:4" x14ac:dyDescent="0.35">
      <c r="A94" s="24" t="s">
        <v>761</v>
      </c>
      <c r="B94" s="25">
        <v>3.29</v>
      </c>
      <c r="C94" s="21">
        <v>71</v>
      </c>
      <c r="D94" s="29">
        <v>45955</v>
      </c>
    </row>
    <row r="95" spans="1:4" x14ac:dyDescent="0.35">
      <c r="A95" s="24" t="s">
        <v>762</v>
      </c>
      <c r="B95" s="25">
        <v>2.89</v>
      </c>
      <c r="C95" s="21">
        <v>70</v>
      </c>
      <c r="D95" s="29">
        <v>45954</v>
      </c>
    </row>
    <row r="96" spans="1:4" x14ac:dyDescent="0.35">
      <c r="A96" s="24" t="s">
        <v>268</v>
      </c>
      <c r="B96" s="25">
        <v>9.25</v>
      </c>
      <c r="C96" s="21">
        <v>70</v>
      </c>
      <c r="D96" s="29">
        <v>46197</v>
      </c>
    </row>
    <row r="97" spans="1:4" x14ac:dyDescent="0.35">
      <c r="A97" s="24" t="s">
        <v>273</v>
      </c>
      <c r="B97" s="25">
        <v>12.99</v>
      </c>
      <c r="C97" s="21">
        <v>64</v>
      </c>
      <c r="D97" s="29">
        <v>46282</v>
      </c>
    </row>
    <row r="98" spans="1:4" x14ac:dyDescent="0.35">
      <c r="A98" s="24" t="s">
        <v>763</v>
      </c>
      <c r="B98" s="25">
        <v>6.44</v>
      </c>
      <c r="C98" s="21">
        <v>63</v>
      </c>
      <c r="D98" s="29">
        <v>46008</v>
      </c>
    </row>
    <row r="99" spans="1:4" x14ac:dyDescent="0.35">
      <c r="A99" s="24" t="s">
        <v>343</v>
      </c>
      <c r="B99" s="25">
        <v>7.88</v>
      </c>
      <c r="C99" s="21">
        <v>54</v>
      </c>
      <c r="D99" s="29">
        <v>46150</v>
      </c>
    </row>
    <row r="100" spans="1:4" x14ac:dyDescent="0.35">
      <c r="A100" s="24" t="s">
        <v>179</v>
      </c>
      <c r="B100" s="25">
        <v>5.18</v>
      </c>
      <c r="C100" s="21">
        <v>52</v>
      </c>
      <c r="D100" s="29">
        <v>46270</v>
      </c>
    </row>
    <row r="101" spans="1:4" x14ac:dyDescent="0.35">
      <c r="A101" s="24" t="s">
        <v>721</v>
      </c>
      <c r="B101" s="25">
        <v>10.26</v>
      </c>
      <c r="C101" s="21">
        <v>51</v>
      </c>
      <c r="D101" s="29">
        <v>46031</v>
      </c>
    </row>
    <row r="102" spans="1:4" x14ac:dyDescent="0.35">
      <c r="A102" s="24" t="s">
        <v>764</v>
      </c>
      <c r="B102" s="25">
        <v>5.8</v>
      </c>
      <c r="C102" s="21">
        <v>46</v>
      </c>
      <c r="D102" s="29">
        <v>46022</v>
      </c>
    </row>
    <row r="103" spans="1:4" x14ac:dyDescent="0.35">
      <c r="A103" s="24" t="s">
        <v>765</v>
      </c>
      <c r="B103" s="25">
        <v>4.33</v>
      </c>
      <c r="C103" s="21">
        <v>43</v>
      </c>
      <c r="D103" s="29">
        <v>45988</v>
      </c>
    </row>
    <row r="104" spans="1:4" x14ac:dyDescent="0.35">
      <c r="A104" s="24" t="s">
        <v>223</v>
      </c>
      <c r="B104" s="25">
        <v>4.84</v>
      </c>
      <c r="C104" s="21">
        <v>41</v>
      </c>
      <c r="D104" s="29">
        <v>46137</v>
      </c>
    </row>
    <row r="105" spans="1:4" x14ac:dyDescent="0.35">
      <c r="A105" s="24" t="s">
        <v>272</v>
      </c>
      <c r="B105" s="25">
        <v>12.95</v>
      </c>
      <c r="C105" s="21">
        <v>41</v>
      </c>
      <c r="D105" s="29">
        <v>46137</v>
      </c>
    </row>
    <row r="106" spans="1:4" x14ac:dyDescent="0.35">
      <c r="A106" s="24" t="s">
        <v>722</v>
      </c>
      <c r="B106" s="25">
        <v>5.73</v>
      </c>
      <c r="C106" s="21">
        <v>40</v>
      </c>
      <c r="D106" s="29">
        <v>46136</v>
      </c>
    </row>
    <row r="107" spans="1:4" x14ac:dyDescent="0.35">
      <c r="A107" s="24" t="s">
        <v>723</v>
      </c>
      <c r="B107" s="25">
        <v>1.87</v>
      </c>
      <c r="C107" s="21">
        <v>21</v>
      </c>
      <c r="D107" s="29">
        <v>46290</v>
      </c>
    </row>
    <row r="108" spans="1:4" x14ac:dyDescent="0.35">
      <c r="A108" s="24" t="s">
        <v>724</v>
      </c>
      <c r="B108" s="25">
        <v>3.17</v>
      </c>
      <c r="C108" s="21">
        <v>21</v>
      </c>
      <c r="D108" s="29">
        <v>46288</v>
      </c>
    </row>
    <row r="109" spans="1:4" x14ac:dyDescent="0.35">
      <c r="A109" s="8" t="s">
        <v>766</v>
      </c>
      <c r="B109" s="10">
        <f>SUMIFS(B54:B108,C54:C108,"&gt;60")</f>
        <v>453.38999999999993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5"/>
  <sheetViews>
    <sheetView workbookViewId="0"/>
  </sheetViews>
  <sheetFormatPr baseColWidth="10" defaultColWidth="8.7265625" defaultRowHeight="14.5" x14ac:dyDescent="0.35"/>
  <cols>
    <col min="1" max="1" width="10" customWidth="1"/>
    <col min="2" max="2" width="6" customWidth="1"/>
    <col min="3" max="3" width="9" customWidth="1"/>
    <col min="4" max="4" width="16" customWidth="1"/>
    <col min="5" max="5" width="14" customWidth="1"/>
    <col min="6" max="6" width="10" customWidth="1"/>
    <col min="7" max="7" width="16" customWidth="1"/>
    <col min="8" max="8" width="14" customWidth="1"/>
    <col min="9" max="9" width="8" customWidth="1"/>
    <col min="10" max="10" width="12" customWidth="1"/>
  </cols>
  <sheetData>
    <row r="1" spans="1:10" ht="18" x14ac:dyDescent="0.4">
      <c r="A1" s="1" t="s">
        <v>767</v>
      </c>
    </row>
    <row r="2" spans="1:10" x14ac:dyDescent="0.35">
      <c r="A2" s="2" t="s">
        <v>768</v>
      </c>
    </row>
    <row r="4" spans="1:10" ht="40" customHeight="1" x14ac:dyDescent="0.35">
      <c r="A4" s="3" t="s">
        <v>73</v>
      </c>
      <c r="B4" s="3" t="s">
        <v>769</v>
      </c>
      <c r="C4" s="3" t="s">
        <v>75</v>
      </c>
      <c r="D4" s="3" t="s">
        <v>770</v>
      </c>
      <c r="E4" s="3" t="s">
        <v>771</v>
      </c>
      <c r="F4" s="3" t="s">
        <v>772</v>
      </c>
      <c r="G4" s="3" t="s">
        <v>773</v>
      </c>
      <c r="H4" s="3" t="s">
        <v>774</v>
      </c>
      <c r="I4" s="3" t="s">
        <v>162</v>
      </c>
      <c r="J4" s="3" t="s">
        <v>775</v>
      </c>
    </row>
    <row r="5" spans="1:10" x14ac:dyDescent="0.35">
      <c r="A5" s="24" t="s">
        <v>408</v>
      </c>
      <c r="B5" s="21">
        <v>7</v>
      </c>
      <c r="C5" s="25">
        <v>14.02</v>
      </c>
      <c r="D5" s="24" t="s">
        <v>776</v>
      </c>
      <c r="E5" s="24" t="s">
        <v>777</v>
      </c>
      <c r="F5" s="21">
        <v>3</v>
      </c>
      <c r="G5" s="24" t="s">
        <v>776</v>
      </c>
      <c r="H5" s="24" t="s">
        <v>778</v>
      </c>
      <c r="I5" s="26">
        <v>96.619115549215408</v>
      </c>
      <c r="J5" s="22">
        <v>-1.2610619036435461E-2</v>
      </c>
    </row>
    <row r="6" spans="1:10" x14ac:dyDescent="0.35">
      <c r="A6" s="24" t="s">
        <v>168</v>
      </c>
      <c r="B6" s="21">
        <v>7</v>
      </c>
      <c r="C6" s="25">
        <v>6.91</v>
      </c>
      <c r="D6" s="24" t="s">
        <v>776</v>
      </c>
      <c r="E6" s="24" t="s">
        <v>778</v>
      </c>
      <c r="F6" s="21">
        <v>1</v>
      </c>
      <c r="G6" s="24" t="s">
        <v>776</v>
      </c>
      <c r="H6" s="24" t="s">
        <v>778</v>
      </c>
      <c r="I6" s="26">
        <v>102.82344428364689</v>
      </c>
      <c r="J6" s="22">
        <v>-1.156164687721362E-2</v>
      </c>
    </row>
    <row r="7" spans="1:10" x14ac:dyDescent="0.35">
      <c r="A7" s="24" t="s">
        <v>410</v>
      </c>
      <c r="B7" s="21">
        <v>8</v>
      </c>
      <c r="C7" s="25">
        <v>12.74</v>
      </c>
      <c r="D7" s="24" t="s">
        <v>776</v>
      </c>
      <c r="E7" s="24" t="s">
        <v>777</v>
      </c>
      <c r="F7" s="21">
        <v>3</v>
      </c>
      <c r="G7" s="24" t="s">
        <v>776</v>
      </c>
      <c r="H7" s="24" t="s">
        <v>777</v>
      </c>
      <c r="I7" s="26">
        <v>118.89481946624799</v>
      </c>
      <c r="J7" s="22">
        <v>0.1471812759560471</v>
      </c>
    </row>
    <row r="8" spans="1:10" x14ac:dyDescent="0.35">
      <c r="A8" s="24" t="s">
        <v>172</v>
      </c>
      <c r="B8" s="21">
        <v>6</v>
      </c>
      <c r="C8" s="25">
        <v>6.59</v>
      </c>
      <c r="D8" s="24" t="s">
        <v>776</v>
      </c>
      <c r="E8" s="24" t="s">
        <v>778</v>
      </c>
      <c r="F8" s="21">
        <v>1</v>
      </c>
      <c r="G8" s="24" t="s">
        <v>776</v>
      </c>
      <c r="H8" s="24" t="s">
        <v>777</v>
      </c>
      <c r="I8" s="26">
        <v>104.40971168437029</v>
      </c>
      <c r="J8" s="22">
        <v>-0.18252833612723929</v>
      </c>
    </row>
    <row r="9" spans="1:10" x14ac:dyDescent="0.35">
      <c r="A9" s="24" t="s">
        <v>173</v>
      </c>
      <c r="B9" s="21">
        <v>3</v>
      </c>
      <c r="C9" s="25">
        <v>10.65</v>
      </c>
      <c r="D9" s="24" t="s">
        <v>776</v>
      </c>
      <c r="E9" s="24" t="s">
        <v>778</v>
      </c>
      <c r="F9" s="21">
        <v>1</v>
      </c>
      <c r="G9" s="24" t="s">
        <v>776</v>
      </c>
      <c r="H9" s="24" t="s">
        <v>777</v>
      </c>
      <c r="I9" s="26">
        <v>155.12018779342719</v>
      </c>
      <c r="J9" s="22">
        <v>0.22263388685023441</v>
      </c>
    </row>
    <row r="10" spans="1:10" x14ac:dyDescent="0.35">
      <c r="A10" s="24" t="s">
        <v>174</v>
      </c>
      <c r="B10" s="21">
        <v>7</v>
      </c>
      <c r="C10" s="25">
        <v>10.57</v>
      </c>
      <c r="D10" s="24" t="s">
        <v>776</v>
      </c>
      <c r="E10" s="24" t="s">
        <v>778</v>
      </c>
      <c r="F10" s="21">
        <v>1</v>
      </c>
      <c r="G10" s="24" t="s">
        <v>776</v>
      </c>
      <c r="H10" s="24" t="s">
        <v>778</v>
      </c>
      <c r="I10" s="26">
        <v>107.79848628193</v>
      </c>
      <c r="J10" s="22">
        <v>-0.14144045451507509</v>
      </c>
    </row>
    <row r="11" spans="1:10" x14ac:dyDescent="0.35">
      <c r="A11" s="24" t="s">
        <v>82</v>
      </c>
      <c r="B11" s="21">
        <v>7</v>
      </c>
      <c r="C11" s="25">
        <v>19.25</v>
      </c>
      <c r="D11" s="24" t="s">
        <v>776</v>
      </c>
      <c r="E11" s="24" t="s">
        <v>778</v>
      </c>
      <c r="F11" s="21">
        <v>1</v>
      </c>
      <c r="G11" s="24" t="s">
        <v>776</v>
      </c>
      <c r="H11" s="24" t="s">
        <v>778</v>
      </c>
      <c r="I11" s="26">
        <v>110.8088311688312</v>
      </c>
      <c r="J11" s="22">
        <v>-7.679406673122835E-2</v>
      </c>
    </row>
    <row r="12" spans="1:10" x14ac:dyDescent="0.35">
      <c r="A12" s="24" t="s">
        <v>175</v>
      </c>
      <c r="B12" s="21">
        <v>8</v>
      </c>
      <c r="C12" s="25">
        <v>4.43</v>
      </c>
      <c r="D12" s="24" t="s">
        <v>776</v>
      </c>
      <c r="E12" s="24" t="s">
        <v>777</v>
      </c>
      <c r="F12" s="21">
        <v>3</v>
      </c>
      <c r="G12" s="24" t="s">
        <v>776</v>
      </c>
      <c r="H12" s="24" t="s">
        <v>777</v>
      </c>
      <c r="I12" s="26">
        <v>104.9097065462754</v>
      </c>
      <c r="J12" s="22">
        <v>-4.9508886416238518E-2</v>
      </c>
    </row>
    <row r="13" spans="1:10" x14ac:dyDescent="0.35">
      <c r="A13" s="24" t="s">
        <v>176</v>
      </c>
      <c r="B13" s="21">
        <v>7</v>
      </c>
      <c r="C13" s="25">
        <v>7.97</v>
      </c>
      <c r="D13" s="24" t="s">
        <v>776</v>
      </c>
      <c r="E13" s="24" t="s">
        <v>777</v>
      </c>
      <c r="F13" s="21">
        <v>3</v>
      </c>
      <c r="G13" s="24" t="s">
        <v>776</v>
      </c>
      <c r="H13" s="24" t="s">
        <v>778</v>
      </c>
      <c r="I13" s="26">
        <v>91.974905897114184</v>
      </c>
      <c r="J13" s="22">
        <v>-0.20933899106183759</v>
      </c>
    </row>
    <row r="14" spans="1:10" x14ac:dyDescent="0.35">
      <c r="A14" s="24" t="s">
        <v>561</v>
      </c>
      <c r="B14" s="21">
        <v>8</v>
      </c>
      <c r="C14" s="25">
        <v>6.68</v>
      </c>
      <c r="D14" s="24" t="s">
        <v>776</v>
      </c>
      <c r="E14" s="24" t="s">
        <v>777</v>
      </c>
      <c r="F14" s="21">
        <v>3</v>
      </c>
      <c r="G14" s="24" t="s">
        <v>776</v>
      </c>
      <c r="H14" s="24" t="s">
        <v>777</v>
      </c>
      <c r="I14" s="26">
        <v>139.26796407185631</v>
      </c>
      <c r="J14" s="22">
        <v>0.63441304882105909</v>
      </c>
    </row>
    <row r="15" spans="1:10" x14ac:dyDescent="0.35">
      <c r="A15" s="24" t="s">
        <v>177</v>
      </c>
      <c r="B15" s="21">
        <v>4</v>
      </c>
      <c r="C15" s="25">
        <v>5.56</v>
      </c>
      <c r="D15" s="24" t="s">
        <v>776</v>
      </c>
      <c r="E15" s="24" t="s">
        <v>777</v>
      </c>
      <c r="F15" s="21">
        <v>3</v>
      </c>
      <c r="G15" s="24" t="s">
        <v>776</v>
      </c>
      <c r="H15" s="24" t="s">
        <v>777</v>
      </c>
      <c r="I15" s="26">
        <v>139.73741007194249</v>
      </c>
      <c r="J15" s="22">
        <v>0.34355749694732812</v>
      </c>
    </row>
    <row r="16" spans="1:10" x14ac:dyDescent="0.35">
      <c r="A16" s="24" t="s">
        <v>411</v>
      </c>
      <c r="B16" s="21">
        <v>3</v>
      </c>
      <c r="C16" s="25">
        <v>10.36</v>
      </c>
      <c r="D16" s="24" t="s">
        <v>776</v>
      </c>
      <c r="E16" s="24" t="s">
        <v>778</v>
      </c>
      <c r="F16" s="21">
        <v>1</v>
      </c>
      <c r="G16" s="24" t="s">
        <v>776</v>
      </c>
      <c r="H16" s="24" t="s">
        <v>778</v>
      </c>
      <c r="I16" s="26">
        <v>113.4855212355212</v>
      </c>
      <c r="J16" s="22">
        <v>1.484297952264169E-2</v>
      </c>
    </row>
    <row r="17" spans="1:10" x14ac:dyDescent="0.35">
      <c r="A17" s="24" t="s">
        <v>179</v>
      </c>
      <c r="B17" s="21">
        <v>7</v>
      </c>
      <c r="C17" s="25">
        <v>5.18</v>
      </c>
      <c r="D17" s="24" t="s">
        <v>776</v>
      </c>
      <c r="E17" s="24" t="s">
        <v>778</v>
      </c>
      <c r="F17" s="21">
        <v>1</v>
      </c>
      <c r="G17" s="24" t="s">
        <v>776</v>
      </c>
      <c r="H17" s="24" t="s">
        <v>778</v>
      </c>
      <c r="I17" s="26">
        <v>76.181467181467184</v>
      </c>
      <c r="J17" s="22">
        <v>-0.20624374399996301</v>
      </c>
    </row>
    <row r="18" spans="1:10" x14ac:dyDescent="0.35">
      <c r="A18" s="24" t="s">
        <v>180</v>
      </c>
      <c r="B18" s="21">
        <v>6</v>
      </c>
      <c r="C18" s="25">
        <v>9.1999999999999993</v>
      </c>
      <c r="D18" s="24" t="s">
        <v>456</v>
      </c>
      <c r="E18" s="24" t="s">
        <v>778</v>
      </c>
      <c r="F18" s="21">
        <v>3</v>
      </c>
      <c r="G18" s="24" t="s">
        <v>776</v>
      </c>
      <c r="H18" s="24" t="s">
        <v>777</v>
      </c>
      <c r="I18" s="26">
        <v>113.3902173913044</v>
      </c>
      <c r="J18" s="22">
        <v>7.9657111777614587E-2</v>
      </c>
    </row>
    <row r="19" spans="1:10" x14ac:dyDescent="0.35">
      <c r="A19" s="24" t="s">
        <v>455</v>
      </c>
      <c r="B19" s="21">
        <v>5</v>
      </c>
      <c r="C19" s="25">
        <v>9.32</v>
      </c>
      <c r="D19" s="24" t="s">
        <v>776</v>
      </c>
      <c r="E19" s="24" t="s">
        <v>778</v>
      </c>
      <c r="F19" s="21">
        <v>1</v>
      </c>
      <c r="G19" s="24" t="s">
        <v>456</v>
      </c>
      <c r="H19" s="24" t="s">
        <v>778</v>
      </c>
      <c r="I19" s="26">
        <v>104.6416309012876</v>
      </c>
      <c r="J19" s="22">
        <v>2.5663650271115831E-2</v>
      </c>
    </row>
    <row r="20" spans="1:10" x14ac:dyDescent="0.35">
      <c r="A20" s="24" t="s">
        <v>457</v>
      </c>
      <c r="B20" s="21">
        <v>6</v>
      </c>
      <c r="C20" s="25">
        <v>5.52</v>
      </c>
      <c r="D20" s="24" t="s">
        <v>456</v>
      </c>
      <c r="E20" s="24" t="s">
        <v>777</v>
      </c>
      <c r="F20" s="21">
        <v>5</v>
      </c>
      <c r="G20" s="24" t="s">
        <v>456</v>
      </c>
      <c r="H20" s="24" t="s">
        <v>777</v>
      </c>
      <c r="I20" s="26">
        <v>123.0634057971015</v>
      </c>
      <c r="J20" s="22">
        <v>7.1684931264751839E-2</v>
      </c>
    </row>
    <row r="21" spans="1:10" x14ac:dyDescent="0.35">
      <c r="A21" s="24" t="s">
        <v>181</v>
      </c>
      <c r="B21" s="21">
        <v>8</v>
      </c>
      <c r="C21" s="25">
        <v>4.6500000000000004</v>
      </c>
      <c r="D21" s="24" t="s">
        <v>776</v>
      </c>
      <c r="E21" s="24" t="s">
        <v>777</v>
      </c>
      <c r="F21" s="21">
        <v>3</v>
      </c>
      <c r="G21" s="24" t="s">
        <v>776</v>
      </c>
      <c r="H21" s="24" t="s">
        <v>778</v>
      </c>
      <c r="I21" s="26">
        <v>87.683870967741939</v>
      </c>
      <c r="J21" s="22">
        <v>-0.1348280878725672</v>
      </c>
    </row>
    <row r="22" spans="1:10" x14ac:dyDescent="0.35">
      <c r="A22" s="24" t="s">
        <v>562</v>
      </c>
      <c r="B22" s="21">
        <v>6</v>
      </c>
      <c r="C22" s="25">
        <v>1.1299999999999999</v>
      </c>
      <c r="D22" s="24" t="s">
        <v>776</v>
      </c>
      <c r="E22" s="24" t="s">
        <v>777</v>
      </c>
      <c r="F22" s="21">
        <v>3</v>
      </c>
      <c r="G22" s="24" t="s">
        <v>776</v>
      </c>
      <c r="H22" s="24" t="s">
        <v>777</v>
      </c>
      <c r="I22" s="26">
        <v>90.141592920353986</v>
      </c>
      <c r="J22" s="22">
        <v>-3.1695001293542409E-3</v>
      </c>
    </row>
    <row r="23" spans="1:10" x14ac:dyDescent="0.35">
      <c r="A23" s="24" t="s">
        <v>182</v>
      </c>
      <c r="B23" s="21">
        <v>3</v>
      </c>
      <c r="C23" s="25">
        <v>14.11</v>
      </c>
      <c r="D23" s="24" t="s">
        <v>776</v>
      </c>
      <c r="E23" s="24" t="s">
        <v>777</v>
      </c>
      <c r="F23" s="21">
        <v>3</v>
      </c>
      <c r="G23" s="24" t="s">
        <v>776</v>
      </c>
      <c r="H23" s="24" t="s">
        <v>777</v>
      </c>
      <c r="I23" s="26">
        <v>117.0439404677534</v>
      </c>
      <c r="J23" s="22">
        <v>-3.2742606686277147E-2</v>
      </c>
    </row>
    <row r="24" spans="1:10" x14ac:dyDescent="0.35">
      <c r="A24" s="24" t="s">
        <v>183</v>
      </c>
      <c r="B24" s="21">
        <v>3</v>
      </c>
      <c r="C24" s="25">
        <v>5.72</v>
      </c>
      <c r="D24" s="24" t="s">
        <v>776</v>
      </c>
      <c r="E24" s="24" t="s">
        <v>777</v>
      </c>
      <c r="F24" s="21">
        <v>3</v>
      </c>
      <c r="G24" s="24" t="s">
        <v>776</v>
      </c>
      <c r="H24" s="24" t="s">
        <v>777</v>
      </c>
      <c r="I24" s="26">
        <v>116.8024475524476</v>
      </c>
      <c r="J24" s="22">
        <v>0.18717856249918369</v>
      </c>
    </row>
    <row r="25" spans="1:10" x14ac:dyDescent="0.35">
      <c r="A25" s="24" t="s">
        <v>184</v>
      </c>
      <c r="B25" s="21">
        <v>3</v>
      </c>
      <c r="C25" s="25">
        <v>5.51</v>
      </c>
      <c r="D25" s="24" t="s">
        <v>776</v>
      </c>
      <c r="E25" s="24" t="s">
        <v>777</v>
      </c>
      <c r="F25" s="21">
        <v>3</v>
      </c>
      <c r="G25" s="24" t="s">
        <v>776</v>
      </c>
      <c r="H25" s="24" t="s">
        <v>777</v>
      </c>
      <c r="I25" s="26">
        <v>88.235934664246827</v>
      </c>
      <c r="J25" s="22">
        <v>-0.1110919581113549</v>
      </c>
    </row>
    <row r="26" spans="1:10" x14ac:dyDescent="0.35">
      <c r="A26" s="24" t="s">
        <v>185</v>
      </c>
      <c r="B26" s="21">
        <v>3</v>
      </c>
      <c r="C26" s="25">
        <v>5.81</v>
      </c>
      <c r="D26" s="24" t="s">
        <v>776</v>
      </c>
      <c r="E26" s="24" t="s">
        <v>777</v>
      </c>
      <c r="F26" s="21">
        <v>3</v>
      </c>
      <c r="G26" s="24" t="s">
        <v>776</v>
      </c>
      <c r="H26" s="24" t="s">
        <v>777</v>
      </c>
      <c r="I26" s="26">
        <v>104.4130808950086</v>
      </c>
      <c r="J26" s="22">
        <v>0.1217928279331493</v>
      </c>
    </row>
    <row r="27" spans="1:10" x14ac:dyDescent="0.35">
      <c r="A27" s="24" t="s">
        <v>186</v>
      </c>
      <c r="B27" s="21">
        <v>7</v>
      </c>
      <c r="C27" s="25">
        <v>20.170000000000002</v>
      </c>
      <c r="D27" s="24" t="s">
        <v>776</v>
      </c>
      <c r="E27" s="24" t="s">
        <v>778</v>
      </c>
      <c r="F27" s="21">
        <v>1</v>
      </c>
      <c r="G27" s="24" t="s">
        <v>776</v>
      </c>
      <c r="H27" s="24" t="s">
        <v>778</v>
      </c>
      <c r="I27" s="26">
        <v>140.50470996529501</v>
      </c>
      <c r="J27" s="22">
        <v>0.30161842102709002</v>
      </c>
    </row>
    <row r="28" spans="1:10" x14ac:dyDescent="0.35">
      <c r="A28" s="24" t="s">
        <v>83</v>
      </c>
      <c r="B28" s="21">
        <v>8</v>
      </c>
      <c r="C28" s="25">
        <v>14.42</v>
      </c>
      <c r="D28" s="24" t="s">
        <v>776</v>
      </c>
      <c r="E28" s="24" t="s">
        <v>778</v>
      </c>
      <c r="F28" s="21">
        <v>1</v>
      </c>
      <c r="G28" s="24" t="s">
        <v>776</v>
      </c>
      <c r="H28" s="24" t="s">
        <v>777</v>
      </c>
      <c r="I28" s="26">
        <v>110.0894590846047</v>
      </c>
      <c r="J28" s="22">
        <v>-7.349619869324775E-2</v>
      </c>
    </row>
    <row r="29" spans="1:10" x14ac:dyDescent="0.35">
      <c r="A29" s="24" t="s">
        <v>84</v>
      </c>
      <c r="B29" s="21">
        <v>8</v>
      </c>
      <c r="C29" s="25">
        <v>3.72</v>
      </c>
      <c r="D29" s="24" t="s">
        <v>776</v>
      </c>
      <c r="E29" s="24" t="s">
        <v>778</v>
      </c>
      <c r="F29" s="21">
        <v>1</v>
      </c>
      <c r="G29" s="24" t="s">
        <v>776</v>
      </c>
      <c r="H29" s="24" t="s">
        <v>777</v>
      </c>
      <c r="I29" s="26">
        <v>102.760752688172</v>
      </c>
      <c r="J29" s="22">
        <v>-7.3396726653149891E-3</v>
      </c>
    </row>
    <row r="30" spans="1:10" x14ac:dyDescent="0.35">
      <c r="A30" s="24" t="s">
        <v>187</v>
      </c>
      <c r="B30" s="21">
        <v>7</v>
      </c>
      <c r="C30" s="25">
        <v>8.9700000000000006</v>
      </c>
      <c r="D30" s="24" t="s">
        <v>776</v>
      </c>
      <c r="E30" s="24" t="s">
        <v>778</v>
      </c>
      <c r="F30" s="21">
        <v>1</v>
      </c>
      <c r="G30" s="24" t="s">
        <v>776</v>
      </c>
      <c r="H30" s="24" t="s">
        <v>777</v>
      </c>
      <c r="I30" s="26">
        <v>94.265328874024519</v>
      </c>
      <c r="J30" s="22">
        <v>-0.24209671593559259</v>
      </c>
    </row>
    <row r="31" spans="1:10" x14ac:dyDescent="0.35">
      <c r="A31" s="24" t="s">
        <v>389</v>
      </c>
      <c r="B31" s="21">
        <v>8</v>
      </c>
      <c r="C31" s="25">
        <v>3.58</v>
      </c>
      <c r="D31" s="24" t="s">
        <v>776</v>
      </c>
      <c r="E31" s="24" t="s">
        <v>778</v>
      </c>
      <c r="F31" s="21">
        <v>1</v>
      </c>
      <c r="G31" s="24" t="s">
        <v>776</v>
      </c>
      <c r="H31" s="24" t="s">
        <v>778</v>
      </c>
      <c r="I31" s="26">
        <v>102.25698324022351</v>
      </c>
      <c r="J31" s="22">
        <v>-6.9412779049836559E-2</v>
      </c>
    </row>
    <row r="32" spans="1:10" x14ac:dyDescent="0.35">
      <c r="A32" s="24" t="s">
        <v>563</v>
      </c>
      <c r="B32" s="21">
        <v>8</v>
      </c>
      <c r="C32" s="25">
        <v>10.33</v>
      </c>
      <c r="D32" s="24" t="s">
        <v>776</v>
      </c>
      <c r="E32" s="24" t="s">
        <v>777</v>
      </c>
      <c r="F32" s="21">
        <v>3</v>
      </c>
      <c r="G32" s="24" t="s">
        <v>776</v>
      </c>
      <c r="H32" s="24" t="s">
        <v>777</v>
      </c>
      <c r="I32" s="26">
        <v>144.01936108422069</v>
      </c>
      <c r="J32" s="22">
        <v>0.46213232219059369</v>
      </c>
    </row>
    <row r="33" spans="1:10" x14ac:dyDescent="0.35">
      <c r="A33" s="24" t="s">
        <v>188</v>
      </c>
      <c r="B33" s="21">
        <v>3</v>
      </c>
      <c r="C33" s="25">
        <v>1.64</v>
      </c>
      <c r="D33" s="24" t="s">
        <v>776</v>
      </c>
      <c r="E33" s="24" t="s">
        <v>777</v>
      </c>
      <c r="F33" s="21">
        <v>3</v>
      </c>
      <c r="G33" s="24" t="s">
        <v>776</v>
      </c>
      <c r="H33" s="24" t="s">
        <v>777</v>
      </c>
      <c r="I33" s="26">
        <v>118.5487804878049</v>
      </c>
      <c r="J33" s="22">
        <v>6.7729777356859033E-2</v>
      </c>
    </row>
    <row r="34" spans="1:10" x14ac:dyDescent="0.35">
      <c r="A34" s="24" t="s">
        <v>189</v>
      </c>
      <c r="B34" s="21">
        <v>7</v>
      </c>
      <c r="C34" s="25">
        <v>8.9700000000000006</v>
      </c>
      <c r="D34" s="24" t="s">
        <v>776</v>
      </c>
      <c r="E34" s="24" t="s">
        <v>777</v>
      </c>
      <c r="F34" s="21">
        <v>3</v>
      </c>
      <c r="G34" s="24" t="s">
        <v>776</v>
      </c>
      <c r="H34" s="24" t="s">
        <v>777</v>
      </c>
      <c r="I34" s="26">
        <v>88.994425863991069</v>
      </c>
      <c r="J34" s="22">
        <v>-4.0681909948139583E-2</v>
      </c>
    </row>
    <row r="35" spans="1:10" x14ac:dyDescent="0.35">
      <c r="A35" s="24" t="s">
        <v>190</v>
      </c>
      <c r="B35" s="21">
        <v>8</v>
      </c>
      <c r="C35" s="25">
        <v>7.29</v>
      </c>
      <c r="D35" s="24" t="s">
        <v>776</v>
      </c>
      <c r="E35" s="24" t="s">
        <v>778</v>
      </c>
      <c r="F35" s="21">
        <v>1</v>
      </c>
      <c r="G35" s="24" t="s">
        <v>776</v>
      </c>
      <c r="H35" s="24" t="s">
        <v>777</v>
      </c>
      <c r="I35" s="26">
        <v>144.80658436213989</v>
      </c>
      <c r="J35" s="22">
        <v>0.18818199629783169</v>
      </c>
    </row>
    <row r="36" spans="1:10" x14ac:dyDescent="0.35">
      <c r="A36" s="24" t="s">
        <v>191</v>
      </c>
      <c r="B36" s="21">
        <v>7</v>
      </c>
      <c r="C36" s="25">
        <v>6.74</v>
      </c>
      <c r="D36" s="24" t="s">
        <v>776</v>
      </c>
      <c r="E36" s="24" t="s">
        <v>778</v>
      </c>
      <c r="F36" s="21">
        <v>1</v>
      </c>
      <c r="G36" s="24" t="s">
        <v>776</v>
      </c>
      <c r="H36" s="24" t="s">
        <v>778</v>
      </c>
      <c r="I36" s="26">
        <v>100.14836795252219</v>
      </c>
      <c r="J36" s="22">
        <v>6.5386329224152551E-2</v>
      </c>
    </row>
    <row r="37" spans="1:10" x14ac:dyDescent="0.35">
      <c r="A37" s="24" t="s">
        <v>192</v>
      </c>
      <c r="B37" s="21">
        <v>8</v>
      </c>
      <c r="C37" s="25">
        <v>5.74</v>
      </c>
      <c r="D37" s="24" t="s">
        <v>776</v>
      </c>
      <c r="E37" s="24" t="s">
        <v>778</v>
      </c>
      <c r="F37" s="21">
        <v>1</v>
      </c>
      <c r="G37" s="24" t="s">
        <v>776</v>
      </c>
      <c r="H37" s="24" t="s">
        <v>777</v>
      </c>
      <c r="I37" s="26">
        <v>95.395470383275267</v>
      </c>
      <c r="J37" s="22">
        <v>-0.11186655980409781</v>
      </c>
    </row>
    <row r="38" spans="1:10" x14ac:dyDescent="0.35">
      <c r="A38" s="24" t="s">
        <v>193</v>
      </c>
      <c r="B38" s="21">
        <v>8</v>
      </c>
      <c r="C38" s="25">
        <v>6.73</v>
      </c>
      <c r="D38" s="24" t="s">
        <v>776</v>
      </c>
      <c r="E38" s="24" t="s">
        <v>778</v>
      </c>
      <c r="F38" s="21">
        <v>1</v>
      </c>
      <c r="G38" s="24" t="s">
        <v>776</v>
      </c>
      <c r="H38" s="24" t="s">
        <v>777</v>
      </c>
      <c r="I38" s="26">
        <v>95.884101040118864</v>
      </c>
      <c r="J38" s="22">
        <v>-2.2935994024129051E-2</v>
      </c>
    </row>
    <row r="39" spans="1:10" x14ac:dyDescent="0.35">
      <c r="A39" s="24" t="s">
        <v>194</v>
      </c>
      <c r="B39" s="21">
        <v>7</v>
      </c>
      <c r="C39" s="25">
        <v>7.92</v>
      </c>
      <c r="D39" s="24" t="s">
        <v>776</v>
      </c>
      <c r="E39" s="24" t="s">
        <v>778</v>
      </c>
      <c r="F39" s="21">
        <v>1</v>
      </c>
      <c r="G39" s="24" t="s">
        <v>776</v>
      </c>
      <c r="H39" s="24" t="s">
        <v>777</v>
      </c>
      <c r="I39" s="26">
        <v>104.29671717171721</v>
      </c>
      <c r="J39" s="22">
        <v>-0.23848812388009219</v>
      </c>
    </row>
    <row r="40" spans="1:10" x14ac:dyDescent="0.35">
      <c r="A40" s="24" t="s">
        <v>195</v>
      </c>
      <c r="B40" s="21">
        <v>7</v>
      </c>
      <c r="C40" s="25">
        <v>7.72</v>
      </c>
      <c r="D40" s="24" t="s">
        <v>776</v>
      </c>
      <c r="E40" s="24" t="s">
        <v>778</v>
      </c>
      <c r="F40" s="21">
        <v>1</v>
      </c>
      <c r="G40" s="24" t="s">
        <v>776</v>
      </c>
      <c r="H40" s="24" t="s">
        <v>778</v>
      </c>
      <c r="I40" s="26">
        <v>99.549222797927456</v>
      </c>
      <c r="J40" s="22">
        <v>-0.15765640591981259</v>
      </c>
    </row>
    <row r="41" spans="1:10" x14ac:dyDescent="0.35">
      <c r="A41" s="24" t="s">
        <v>196</v>
      </c>
      <c r="B41" s="21">
        <v>5</v>
      </c>
      <c r="C41" s="25">
        <v>8.07</v>
      </c>
      <c r="D41" s="24" t="s">
        <v>456</v>
      </c>
      <c r="E41" s="24" t="s">
        <v>778</v>
      </c>
      <c r="F41" s="21">
        <v>3</v>
      </c>
      <c r="G41" s="24" t="s">
        <v>776</v>
      </c>
      <c r="H41" s="24" t="s">
        <v>777</v>
      </c>
      <c r="I41" s="26">
        <v>108.9752168525403</v>
      </c>
      <c r="J41" s="22">
        <v>4.1754437922226773E-2</v>
      </c>
    </row>
    <row r="42" spans="1:10" x14ac:dyDescent="0.35">
      <c r="A42" s="24" t="s">
        <v>86</v>
      </c>
      <c r="B42" s="21">
        <v>8</v>
      </c>
      <c r="C42" s="25">
        <v>8.41</v>
      </c>
      <c r="D42" s="24" t="s">
        <v>776</v>
      </c>
      <c r="E42" s="24" t="s">
        <v>777</v>
      </c>
      <c r="F42" s="21">
        <v>3</v>
      </c>
      <c r="G42" s="24" t="s">
        <v>776</v>
      </c>
      <c r="H42" s="24" t="s">
        <v>778</v>
      </c>
      <c r="I42" s="26">
        <v>100.99167657550539</v>
      </c>
      <c r="J42" s="22">
        <v>-0.14930194407090991</v>
      </c>
    </row>
    <row r="43" spans="1:10" x14ac:dyDescent="0.35">
      <c r="A43" s="24" t="s">
        <v>86</v>
      </c>
      <c r="B43" s="21">
        <v>8</v>
      </c>
      <c r="C43" s="25">
        <v>8.41</v>
      </c>
      <c r="D43" s="24" t="s">
        <v>776</v>
      </c>
      <c r="E43" s="24" t="s">
        <v>777</v>
      </c>
      <c r="F43" s="21">
        <v>3</v>
      </c>
      <c r="G43" s="24" t="s">
        <v>776</v>
      </c>
      <c r="H43" s="24" t="s">
        <v>777</v>
      </c>
      <c r="I43" s="26">
        <v>100.99167657550539</v>
      </c>
      <c r="J43" s="22">
        <v>-0.14930194407090991</v>
      </c>
    </row>
    <row r="44" spans="1:10" x14ac:dyDescent="0.35">
      <c r="A44" s="24" t="s">
        <v>593</v>
      </c>
      <c r="B44" s="21">
        <v>8</v>
      </c>
      <c r="C44" s="25">
        <v>10.36</v>
      </c>
      <c r="D44" s="24" t="s">
        <v>776</v>
      </c>
      <c r="E44" s="24" t="s">
        <v>778</v>
      </c>
      <c r="F44" s="21">
        <v>1</v>
      </c>
      <c r="G44" s="24" t="s">
        <v>776</v>
      </c>
      <c r="H44" s="24" t="s">
        <v>778</v>
      </c>
      <c r="I44" s="26">
        <v>130.8137065637066</v>
      </c>
      <c r="J44" s="22">
        <v>6.1819834741280388E-2</v>
      </c>
    </row>
    <row r="45" spans="1:10" x14ac:dyDescent="0.35">
      <c r="A45" s="24" t="s">
        <v>197</v>
      </c>
      <c r="B45" s="21">
        <v>7</v>
      </c>
      <c r="C45" s="25">
        <v>10.74</v>
      </c>
      <c r="D45" s="24" t="s">
        <v>776</v>
      </c>
      <c r="E45" s="24" t="s">
        <v>778</v>
      </c>
      <c r="F45" s="21">
        <v>1</v>
      </c>
      <c r="G45" s="24" t="s">
        <v>776</v>
      </c>
      <c r="H45" s="24" t="s">
        <v>777</v>
      </c>
      <c r="I45" s="26">
        <v>119.4869646182495</v>
      </c>
      <c r="J45" s="22">
        <v>7.6080661463339361E-2</v>
      </c>
    </row>
    <row r="46" spans="1:10" x14ac:dyDescent="0.35">
      <c r="A46" s="24" t="s">
        <v>489</v>
      </c>
      <c r="B46" s="21">
        <v>7</v>
      </c>
      <c r="C46" s="25">
        <v>9.02</v>
      </c>
      <c r="D46" s="24" t="s">
        <v>776</v>
      </c>
      <c r="E46" s="24" t="s">
        <v>778</v>
      </c>
      <c r="F46" s="21">
        <v>1</v>
      </c>
      <c r="G46" s="24" t="s">
        <v>776</v>
      </c>
      <c r="H46" s="24" t="s">
        <v>778</v>
      </c>
      <c r="I46" s="26">
        <v>98.574279379157431</v>
      </c>
      <c r="J46" s="22">
        <v>-8.0201398115412381E-2</v>
      </c>
    </row>
    <row r="47" spans="1:10" x14ac:dyDescent="0.35">
      <c r="A47" s="24" t="s">
        <v>490</v>
      </c>
      <c r="B47" s="21">
        <v>7</v>
      </c>
      <c r="C47" s="25">
        <v>8.2799999999999994</v>
      </c>
      <c r="D47" s="24" t="s">
        <v>776</v>
      </c>
      <c r="E47" s="24" t="s">
        <v>778</v>
      </c>
      <c r="F47" s="21">
        <v>1</v>
      </c>
      <c r="G47" s="24" t="s">
        <v>776</v>
      </c>
      <c r="H47" s="24" t="s">
        <v>778</v>
      </c>
      <c r="I47" s="26">
        <v>100.01690821256039</v>
      </c>
      <c r="J47" s="22">
        <v>-4.1705325832470892E-2</v>
      </c>
    </row>
    <row r="48" spans="1:10" x14ac:dyDescent="0.35">
      <c r="A48" s="24" t="s">
        <v>491</v>
      </c>
      <c r="B48" s="21">
        <v>7</v>
      </c>
      <c r="C48" s="25">
        <v>7.97</v>
      </c>
      <c r="D48" s="24" t="s">
        <v>776</v>
      </c>
      <c r="E48" s="24" t="s">
        <v>778</v>
      </c>
      <c r="F48" s="21">
        <v>1</v>
      </c>
      <c r="G48" s="24" t="s">
        <v>776</v>
      </c>
      <c r="H48" s="24" t="s">
        <v>778</v>
      </c>
      <c r="I48" s="26">
        <v>93.422835633626107</v>
      </c>
      <c r="J48" s="22">
        <v>-0.13519948924439579</v>
      </c>
    </row>
    <row r="49" spans="1:10" x14ac:dyDescent="0.35">
      <c r="A49" s="24" t="s">
        <v>198</v>
      </c>
      <c r="B49" s="21">
        <v>8</v>
      </c>
      <c r="C49" s="25">
        <v>7.57</v>
      </c>
      <c r="D49" s="24" t="s">
        <v>776</v>
      </c>
      <c r="E49" s="24" t="s">
        <v>778</v>
      </c>
      <c r="F49" s="21">
        <v>1</v>
      </c>
      <c r="G49" s="24" t="s">
        <v>776</v>
      </c>
      <c r="H49" s="24" t="s">
        <v>777</v>
      </c>
      <c r="I49" s="26">
        <v>99.974900924702766</v>
      </c>
      <c r="J49" s="22">
        <v>-8.9332306732175182E-2</v>
      </c>
    </row>
    <row r="50" spans="1:10" x14ac:dyDescent="0.35">
      <c r="A50" s="24" t="s">
        <v>199</v>
      </c>
      <c r="B50" s="21">
        <v>7</v>
      </c>
      <c r="C50" s="25">
        <v>11.44</v>
      </c>
      <c r="D50" s="24" t="s">
        <v>776</v>
      </c>
      <c r="E50" s="24" t="s">
        <v>778</v>
      </c>
      <c r="F50" s="21">
        <v>1</v>
      </c>
      <c r="G50" s="24" t="s">
        <v>776</v>
      </c>
      <c r="H50" s="24" t="s">
        <v>778</v>
      </c>
      <c r="I50" s="26">
        <v>105.88548951048951</v>
      </c>
      <c r="J50" s="22">
        <v>-8.0270242218925203E-2</v>
      </c>
    </row>
    <row r="51" spans="1:10" x14ac:dyDescent="0.35">
      <c r="A51" s="24" t="s">
        <v>87</v>
      </c>
      <c r="B51" s="21">
        <v>6</v>
      </c>
      <c r="C51" s="25">
        <v>10.18</v>
      </c>
      <c r="D51" s="24" t="s">
        <v>776</v>
      </c>
      <c r="E51" s="24" t="s">
        <v>778</v>
      </c>
      <c r="F51" s="21">
        <v>1</v>
      </c>
      <c r="G51" s="24" t="s">
        <v>776</v>
      </c>
      <c r="H51" s="24" t="s">
        <v>777</v>
      </c>
      <c r="I51" s="26">
        <v>94.231827111984288</v>
      </c>
      <c r="J51" s="22">
        <v>-0.26623000540683489</v>
      </c>
    </row>
    <row r="52" spans="1:10" x14ac:dyDescent="0.35">
      <c r="A52" s="24" t="s">
        <v>202</v>
      </c>
      <c r="B52" s="21">
        <v>6</v>
      </c>
      <c r="C52" s="25">
        <v>10.18</v>
      </c>
      <c r="D52" s="24" t="s">
        <v>776</v>
      </c>
      <c r="E52" s="24" t="s">
        <v>778</v>
      </c>
      <c r="F52" s="21">
        <v>1</v>
      </c>
      <c r="G52" s="24" t="s">
        <v>776</v>
      </c>
      <c r="H52" s="24" t="s">
        <v>777</v>
      </c>
      <c r="I52" s="26">
        <v>85.764243614931246</v>
      </c>
      <c r="J52" s="22">
        <v>-0.15251690887118419</v>
      </c>
    </row>
    <row r="53" spans="1:10" x14ac:dyDescent="0.35">
      <c r="A53" s="24" t="s">
        <v>88</v>
      </c>
      <c r="B53" s="21">
        <v>7</v>
      </c>
      <c r="C53" s="25">
        <v>4.74</v>
      </c>
      <c r="D53" s="24" t="s">
        <v>776</v>
      </c>
      <c r="E53" s="24" t="s">
        <v>778</v>
      </c>
      <c r="F53" s="21">
        <v>1</v>
      </c>
      <c r="G53" s="24" t="s">
        <v>776</v>
      </c>
      <c r="H53" s="24" t="s">
        <v>778</v>
      </c>
      <c r="I53" s="26">
        <v>99.816455696202524</v>
      </c>
      <c r="J53" s="22">
        <v>-6.3326353575753336E-2</v>
      </c>
    </row>
    <row r="54" spans="1:10" x14ac:dyDescent="0.35">
      <c r="A54" s="24" t="s">
        <v>566</v>
      </c>
      <c r="B54" s="21">
        <v>7</v>
      </c>
      <c r="C54" s="25">
        <v>4.66</v>
      </c>
      <c r="D54" s="24" t="s">
        <v>776</v>
      </c>
      <c r="E54" s="24" t="s">
        <v>777</v>
      </c>
      <c r="F54" s="21">
        <v>3</v>
      </c>
      <c r="G54" s="24" t="s">
        <v>776</v>
      </c>
      <c r="H54" s="24" t="s">
        <v>777</v>
      </c>
      <c r="I54" s="26">
        <v>121.8326180257511</v>
      </c>
      <c r="J54" s="22">
        <v>0.1319522079115667</v>
      </c>
    </row>
    <row r="55" spans="1:10" x14ac:dyDescent="0.35">
      <c r="A55" s="24" t="s">
        <v>554</v>
      </c>
      <c r="B55" s="21">
        <v>3</v>
      </c>
      <c r="C55" s="25">
        <v>6.19</v>
      </c>
      <c r="D55" s="24" t="s">
        <v>776</v>
      </c>
      <c r="E55" s="24" t="s">
        <v>777</v>
      </c>
      <c r="F55" s="21">
        <v>3</v>
      </c>
      <c r="G55" s="24" t="s">
        <v>776</v>
      </c>
      <c r="H55" s="24" t="s">
        <v>777</v>
      </c>
      <c r="I55" s="26">
        <v>166.2633279483037</v>
      </c>
      <c r="J55" s="22">
        <v>0.44097693425164652</v>
      </c>
    </row>
    <row r="56" spans="1:10" x14ac:dyDescent="0.35">
      <c r="A56" s="24" t="s">
        <v>89</v>
      </c>
      <c r="B56" s="21">
        <v>3</v>
      </c>
      <c r="C56" s="25">
        <v>1.93</v>
      </c>
      <c r="D56" s="24" t="s">
        <v>776</v>
      </c>
      <c r="E56" s="24" t="s">
        <v>777</v>
      </c>
      <c r="F56" s="21">
        <v>3</v>
      </c>
      <c r="G56" s="24" t="s">
        <v>776</v>
      </c>
      <c r="H56" s="24" t="s">
        <v>777</v>
      </c>
      <c r="I56" s="26">
        <v>111.2227979274611</v>
      </c>
      <c r="J56" s="22">
        <v>4.6616741265157469E-3</v>
      </c>
    </row>
    <row r="57" spans="1:10" x14ac:dyDescent="0.35">
      <c r="A57" s="24" t="s">
        <v>203</v>
      </c>
      <c r="B57" s="21">
        <v>6</v>
      </c>
      <c r="C57" s="25">
        <v>4.3899999999999997</v>
      </c>
      <c r="D57" s="24" t="s">
        <v>776</v>
      </c>
      <c r="E57" s="24" t="s">
        <v>778</v>
      </c>
      <c r="F57" s="21">
        <v>1</v>
      </c>
      <c r="G57" s="24" t="s">
        <v>776</v>
      </c>
      <c r="H57" s="24" t="s">
        <v>777</v>
      </c>
      <c r="I57" s="26">
        <v>145.24145785876991</v>
      </c>
      <c r="J57" s="22">
        <v>0.15588752713007681</v>
      </c>
    </row>
    <row r="58" spans="1:10" x14ac:dyDescent="0.35">
      <c r="A58" s="24" t="s">
        <v>205</v>
      </c>
      <c r="B58" s="21">
        <v>6</v>
      </c>
      <c r="C58" s="25">
        <v>6.67</v>
      </c>
      <c r="D58" s="24" t="s">
        <v>776</v>
      </c>
      <c r="E58" s="24" t="s">
        <v>778</v>
      </c>
      <c r="F58" s="21">
        <v>1</v>
      </c>
      <c r="G58" s="24" t="s">
        <v>776</v>
      </c>
      <c r="H58" s="24" t="s">
        <v>778</v>
      </c>
      <c r="I58" s="26">
        <v>101.4392803598201</v>
      </c>
      <c r="J58" s="22">
        <v>-0.15479411263967571</v>
      </c>
    </row>
    <row r="59" spans="1:10" x14ac:dyDescent="0.35">
      <c r="A59" s="24" t="s">
        <v>206</v>
      </c>
      <c r="B59" s="21">
        <v>6</v>
      </c>
      <c r="C59" s="25">
        <v>2.79</v>
      </c>
      <c r="D59" s="24" t="s">
        <v>776</v>
      </c>
      <c r="E59" s="24" t="s">
        <v>777</v>
      </c>
      <c r="F59" s="21">
        <v>3</v>
      </c>
      <c r="G59" s="24" t="s">
        <v>776</v>
      </c>
      <c r="H59" s="24" t="s">
        <v>778</v>
      </c>
      <c r="I59" s="26">
        <v>153.61290322580641</v>
      </c>
      <c r="J59" s="22">
        <v>0.1651574850067643</v>
      </c>
    </row>
    <row r="60" spans="1:10" x14ac:dyDescent="0.35">
      <c r="A60" s="24" t="s">
        <v>207</v>
      </c>
      <c r="B60" s="21">
        <v>7</v>
      </c>
      <c r="C60" s="25">
        <v>4.07</v>
      </c>
      <c r="D60" s="24" t="s">
        <v>776</v>
      </c>
      <c r="E60" s="24" t="s">
        <v>778</v>
      </c>
      <c r="F60" s="21">
        <v>1</v>
      </c>
      <c r="G60" s="24" t="s">
        <v>776</v>
      </c>
      <c r="H60" s="24" t="s">
        <v>778</v>
      </c>
      <c r="I60" s="26">
        <v>104.76904176904181</v>
      </c>
      <c r="J60" s="22">
        <v>-5.6090578499099257E-2</v>
      </c>
    </row>
    <row r="61" spans="1:10" x14ac:dyDescent="0.35">
      <c r="A61" s="24" t="s">
        <v>208</v>
      </c>
      <c r="B61" s="21">
        <v>4</v>
      </c>
      <c r="C61" s="25">
        <v>18.809999999999999</v>
      </c>
      <c r="D61" s="24" t="s">
        <v>776</v>
      </c>
      <c r="E61" s="24" t="s">
        <v>777</v>
      </c>
      <c r="F61" s="21">
        <v>3</v>
      </c>
      <c r="G61" s="24" t="s">
        <v>776</v>
      </c>
      <c r="H61" s="24" t="s">
        <v>777</v>
      </c>
      <c r="I61" s="26">
        <v>136.6092503987241</v>
      </c>
      <c r="J61" s="22">
        <v>3.6898255126501578E-2</v>
      </c>
    </row>
    <row r="62" spans="1:10" x14ac:dyDescent="0.35">
      <c r="A62" s="24" t="s">
        <v>209</v>
      </c>
      <c r="B62" s="21">
        <v>3</v>
      </c>
      <c r="C62" s="25">
        <v>19.21</v>
      </c>
      <c r="D62" s="24" t="s">
        <v>776</v>
      </c>
      <c r="E62" s="24" t="s">
        <v>777</v>
      </c>
      <c r="F62" s="21">
        <v>3</v>
      </c>
      <c r="G62" s="24" t="s">
        <v>776</v>
      </c>
      <c r="H62" s="24" t="s">
        <v>777</v>
      </c>
      <c r="I62" s="26">
        <v>127.25559604372719</v>
      </c>
      <c r="J62" s="22">
        <v>-0.15334518204434069</v>
      </c>
    </row>
    <row r="63" spans="1:10" x14ac:dyDescent="0.35">
      <c r="A63" s="24" t="s">
        <v>412</v>
      </c>
      <c r="B63" s="21">
        <v>6</v>
      </c>
      <c r="C63" s="25">
        <v>11.68</v>
      </c>
      <c r="D63" s="24" t="s">
        <v>776</v>
      </c>
      <c r="E63" s="24" t="s">
        <v>778</v>
      </c>
      <c r="F63" s="21">
        <v>1</v>
      </c>
      <c r="G63" s="24" t="s">
        <v>776</v>
      </c>
      <c r="H63" s="24" t="s">
        <v>778</v>
      </c>
      <c r="I63" s="26">
        <v>120.93065068493151</v>
      </c>
      <c r="J63" s="22">
        <v>-8.6460140720315604E-2</v>
      </c>
    </row>
    <row r="64" spans="1:10" x14ac:dyDescent="0.35">
      <c r="A64" s="24" t="s">
        <v>413</v>
      </c>
      <c r="B64" s="21">
        <v>7</v>
      </c>
      <c r="C64" s="25">
        <v>20.22</v>
      </c>
      <c r="D64" s="24" t="s">
        <v>776</v>
      </c>
      <c r="E64" s="24" t="s">
        <v>778</v>
      </c>
      <c r="F64" s="21">
        <v>1</v>
      </c>
      <c r="G64" s="24" t="s">
        <v>776</v>
      </c>
      <c r="H64" s="24" t="s">
        <v>778</v>
      </c>
      <c r="I64" s="26">
        <v>94.486152324431259</v>
      </c>
      <c r="J64" s="22">
        <v>-0.2541535128312612</v>
      </c>
    </row>
    <row r="65" spans="1:10" x14ac:dyDescent="0.35">
      <c r="A65" s="24" t="s">
        <v>211</v>
      </c>
      <c r="B65" s="21">
        <v>8</v>
      </c>
      <c r="C65" s="25">
        <v>17.34</v>
      </c>
      <c r="D65" s="24" t="s">
        <v>776</v>
      </c>
      <c r="E65" s="24" t="s">
        <v>778</v>
      </c>
      <c r="F65" s="21">
        <v>1</v>
      </c>
      <c r="G65" s="24" t="s">
        <v>776</v>
      </c>
      <c r="H65" s="24" t="s">
        <v>777</v>
      </c>
      <c r="I65" s="26">
        <v>87.566320645905421</v>
      </c>
      <c r="J65" s="22">
        <v>-0.30808168367100841</v>
      </c>
    </row>
    <row r="66" spans="1:10" x14ac:dyDescent="0.35">
      <c r="A66" s="24" t="s">
        <v>212</v>
      </c>
      <c r="B66" s="21">
        <v>3</v>
      </c>
      <c r="C66" s="25">
        <v>17.850000000000001</v>
      </c>
      <c r="D66" s="24" t="s">
        <v>776</v>
      </c>
      <c r="E66" s="24" t="s">
        <v>778</v>
      </c>
      <c r="F66" s="21">
        <v>1</v>
      </c>
      <c r="G66" s="24" t="s">
        <v>776</v>
      </c>
      <c r="H66" s="24" t="s">
        <v>777</v>
      </c>
      <c r="I66" s="26">
        <v>114.63753501400561</v>
      </c>
      <c r="J66" s="22">
        <v>0.1220405857705049</v>
      </c>
    </row>
    <row r="67" spans="1:10" x14ac:dyDescent="0.35">
      <c r="A67" s="24" t="s">
        <v>213</v>
      </c>
      <c r="B67" s="21">
        <v>8</v>
      </c>
      <c r="C67" s="25">
        <v>11.1</v>
      </c>
      <c r="D67" s="24" t="s">
        <v>776</v>
      </c>
      <c r="E67" s="24" t="s">
        <v>778</v>
      </c>
      <c r="F67" s="21">
        <v>1</v>
      </c>
      <c r="G67" s="24" t="s">
        <v>776</v>
      </c>
      <c r="H67" s="24" t="s">
        <v>777</v>
      </c>
      <c r="I67" s="26">
        <v>94.943243243243231</v>
      </c>
      <c r="J67" s="22">
        <v>-0.29425732437692881</v>
      </c>
    </row>
    <row r="68" spans="1:10" x14ac:dyDescent="0.35">
      <c r="A68" s="24" t="s">
        <v>215</v>
      </c>
      <c r="B68" s="21">
        <v>8</v>
      </c>
      <c r="C68" s="25">
        <v>5.24</v>
      </c>
      <c r="D68" s="24" t="s">
        <v>776</v>
      </c>
      <c r="E68" s="24" t="s">
        <v>777</v>
      </c>
      <c r="F68" s="21">
        <v>3</v>
      </c>
      <c r="G68" s="24" t="s">
        <v>776</v>
      </c>
      <c r="H68" s="24" t="s">
        <v>777</v>
      </c>
      <c r="I68" s="26">
        <v>101.45610687022899</v>
      </c>
      <c r="J68" s="22">
        <v>-0.1561923626558637</v>
      </c>
    </row>
    <row r="69" spans="1:10" x14ac:dyDescent="0.35">
      <c r="A69" s="24" t="s">
        <v>415</v>
      </c>
      <c r="B69" s="21">
        <v>3</v>
      </c>
      <c r="C69" s="25">
        <v>3.98</v>
      </c>
      <c r="D69" s="24" t="s">
        <v>776</v>
      </c>
      <c r="E69" s="24" t="s">
        <v>777</v>
      </c>
      <c r="F69" s="21">
        <v>3</v>
      </c>
      <c r="G69" s="24" t="s">
        <v>776</v>
      </c>
      <c r="H69" s="24" t="s">
        <v>777</v>
      </c>
      <c r="I69" s="26">
        <v>88.69095477386935</v>
      </c>
      <c r="J69" s="22">
        <v>-0.16760859955574889</v>
      </c>
    </row>
    <row r="70" spans="1:10" x14ac:dyDescent="0.35">
      <c r="A70" s="24" t="s">
        <v>216</v>
      </c>
      <c r="B70" s="21">
        <v>7</v>
      </c>
      <c r="C70" s="25">
        <v>17.72</v>
      </c>
      <c r="D70" s="24" t="s">
        <v>776</v>
      </c>
      <c r="E70" s="24" t="s">
        <v>778</v>
      </c>
      <c r="F70" s="21">
        <v>1</v>
      </c>
      <c r="G70" s="24" t="s">
        <v>776</v>
      </c>
      <c r="H70" s="24" t="s">
        <v>778</v>
      </c>
      <c r="I70" s="26">
        <v>102.5423250564334</v>
      </c>
      <c r="J70" s="22">
        <v>-0.24399437303389229</v>
      </c>
    </row>
    <row r="71" spans="1:10" x14ac:dyDescent="0.35">
      <c r="A71" s="24" t="s">
        <v>217</v>
      </c>
      <c r="B71" s="21">
        <v>2</v>
      </c>
      <c r="C71" s="25">
        <v>17.59</v>
      </c>
      <c r="D71" s="24" t="s">
        <v>776</v>
      </c>
      <c r="E71" s="24" t="s">
        <v>778</v>
      </c>
      <c r="F71" s="21">
        <v>1</v>
      </c>
      <c r="G71" s="24" t="s">
        <v>776</v>
      </c>
      <c r="H71" s="24" t="s">
        <v>778</v>
      </c>
      <c r="I71" s="26">
        <v>131.525298465037</v>
      </c>
      <c r="J71" s="22">
        <v>8.9379395287805252E-2</v>
      </c>
    </row>
    <row r="72" spans="1:10" x14ac:dyDescent="0.35">
      <c r="A72" s="24" t="s">
        <v>416</v>
      </c>
      <c r="B72" s="21">
        <v>3</v>
      </c>
      <c r="C72" s="25">
        <v>8.52</v>
      </c>
      <c r="D72" s="24" t="s">
        <v>776</v>
      </c>
      <c r="E72" s="24" t="s">
        <v>777</v>
      </c>
      <c r="F72" s="21">
        <v>3</v>
      </c>
      <c r="G72" s="24" t="s">
        <v>776</v>
      </c>
      <c r="H72" s="24" t="s">
        <v>777</v>
      </c>
      <c r="I72" s="26">
        <v>111.9600938967136</v>
      </c>
      <c r="J72" s="22">
        <v>-8.5528500944065389E-4</v>
      </c>
    </row>
    <row r="73" spans="1:10" x14ac:dyDescent="0.35">
      <c r="A73" s="24" t="s">
        <v>570</v>
      </c>
      <c r="B73" s="21">
        <v>7</v>
      </c>
      <c r="C73" s="25">
        <v>9.94</v>
      </c>
      <c r="D73" s="24" t="s">
        <v>776</v>
      </c>
      <c r="E73" s="24" t="s">
        <v>777</v>
      </c>
      <c r="F73" s="21">
        <v>3</v>
      </c>
      <c r="G73" s="24" t="s">
        <v>776</v>
      </c>
      <c r="H73" s="24" t="s">
        <v>778</v>
      </c>
      <c r="I73" s="26">
        <v>117.5261569416499</v>
      </c>
      <c r="J73" s="22">
        <v>-0.1009590609111977</v>
      </c>
    </row>
    <row r="74" spans="1:10" x14ac:dyDescent="0.35">
      <c r="A74" s="24" t="s">
        <v>571</v>
      </c>
      <c r="B74" s="21">
        <v>7</v>
      </c>
      <c r="C74" s="25">
        <v>1.97</v>
      </c>
      <c r="D74" s="24" t="s">
        <v>776</v>
      </c>
      <c r="E74" s="24" t="s">
        <v>777</v>
      </c>
      <c r="F74" s="21">
        <v>3</v>
      </c>
      <c r="G74" s="24" t="s">
        <v>776</v>
      </c>
      <c r="H74" s="24" t="s">
        <v>778</v>
      </c>
      <c r="I74" s="26">
        <v>114.4619289340102</v>
      </c>
      <c r="J74" s="22">
        <v>8.0818377846855194E-2</v>
      </c>
    </row>
    <row r="75" spans="1:10" x14ac:dyDescent="0.35">
      <c r="A75" s="24" t="s">
        <v>218</v>
      </c>
      <c r="B75" s="21">
        <v>3</v>
      </c>
      <c r="C75" s="25">
        <v>7.52</v>
      </c>
      <c r="D75" s="24" t="s">
        <v>776</v>
      </c>
      <c r="E75" s="24" t="s">
        <v>777</v>
      </c>
      <c r="F75" s="21">
        <v>3</v>
      </c>
      <c r="G75" s="24" t="s">
        <v>776</v>
      </c>
      <c r="H75" s="24" t="s">
        <v>777</v>
      </c>
      <c r="I75" s="26">
        <v>83.047872340425528</v>
      </c>
      <c r="J75" s="22">
        <v>-0.25667497403402911</v>
      </c>
    </row>
    <row r="76" spans="1:10" x14ac:dyDescent="0.35">
      <c r="A76" s="24" t="s">
        <v>461</v>
      </c>
      <c r="B76" s="21">
        <v>2</v>
      </c>
      <c r="C76" s="25">
        <v>5.53</v>
      </c>
      <c r="D76" s="24" t="s">
        <v>776</v>
      </c>
      <c r="E76" s="24" t="s">
        <v>777</v>
      </c>
      <c r="F76" s="21">
        <v>3</v>
      </c>
      <c r="G76" s="24" t="s">
        <v>456</v>
      </c>
      <c r="H76" s="24" t="s">
        <v>777</v>
      </c>
      <c r="I76" s="26">
        <v>103.4900542495479</v>
      </c>
      <c r="J76" s="22">
        <v>-8.1807434385787747E-3</v>
      </c>
    </row>
    <row r="77" spans="1:10" x14ac:dyDescent="0.35">
      <c r="A77" s="24" t="s">
        <v>462</v>
      </c>
      <c r="B77" s="21">
        <v>2</v>
      </c>
      <c r="C77" s="25">
        <v>5.94</v>
      </c>
      <c r="D77" s="24" t="s">
        <v>776</v>
      </c>
      <c r="E77" s="24" t="s">
        <v>777</v>
      </c>
      <c r="F77" s="21">
        <v>3</v>
      </c>
      <c r="G77" s="24" t="s">
        <v>456</v>
      </c>
      <c r="H77" s="24" t="s">
        <v>777</v>
      </c>
      <c r="I77" s="26">
        <v>125.0740740740741</v>
      </c>
      <c r="J77" s="22">
        <v>-4.9094362990228617E-2</v>
      </c>
    </row>
    <row r="78" spans="1:10" x14ac:dyDescent="0.35">
      <c r="A78" s="24" t="s">
        <v>417</v>
      </c>
      <c r="B78" s="21">
        <v>4</v>
      </c>
      <c r="C78" s="25">
        <v>1.84</v>
      </c>
      <c r="D78" s="24" t="s">
        <v>776</v>
      </c>
      <c r="E78" s="24" t="s">
        <v>778</v>
      </c>
      <c r="F78" s="21">
        <v>1</v>
      </c>
      <c r="G78" s="24" t="s">
        <v>776</v>
      </c>
      <c r="H78" s="24" t="s">
        <v>777</v>
      </c>
      <c r="I78" s="26">
        <v>140.53260869565219</v>
      </c>
      <c r="J78" s="22">
        <v>-0.26198019236806808</v>
      </c>
    </row>
    <row r="79" spans="1:10" x14ac:dyDescent="0.35">
      <c r="A79" s="24" t="s">
        <v>220</v>
      </c>
      <c r="B79" s="21">
        <v>8</v>
      </c>
      <c r="C79" s="25">
        <v>10.82</v>
      </c>
      <c r="D79" s="24" t="s">
        <v>776</v>
      </c>
      <c r="E79" s="24" t="s">
        <v>777</v>
      </c>
      <c r="F79" s="21">
        <v>3</v>
      </c>
      <c r="G79" s="24" t="s">
        <v>776</v>
      </c>
      <c r="H79" s="24" t="s">
        <v>778</v>
      </c>
      <c r="I79" s="26">
        <v>114.77634011090571</v>
      </c>
      <c r="J79" s="22">
        <v>-0.16258832515920721</v>
      </c>
    </row>
    <row r="80" spans="1:10" x14ac:dyDescent="0.35">
      <c r="A80" s="24" t="s">
        <v>223</v>
      </c>
      <c r="B80" s="21">
        <v>3</v>
      </c>
      <c r="C80" s="25">
        <v>5.0199999999999996</v>
      </c>
      <c r="D80" s="24" t="s">
        <v>776</v>
      </c>
      <c r="E80" s="24" t="s">
        <v>777</v>
      </c>
      <c r="F80" s="21">
        <v>3</v>
      </c>
      <c r="G80" s="24" t="s">
        <v>776</v>
      </c>
      <c r="H80" s="24" t="s">
        <v>777</v>
      </c>
      <c r="I80" s="26">
        <v>88.211155378486069</v>
      </c>
      <c r="J80" s="22">
        <v>-0.27300891282621809</v>
      </c>
    </row>
    <row r="81" spans="1:10" x14ac:dyDescent="0.35">
      <c r="A81" s="24" t="s">
        <v>224</v>
      </c>
      <c r="B81" s="21">
        <v>3</v>
      </c>
      <c r="C81" s="25">
        <v>9.73</v>
      </c>
      <c r="D81" s="24" t="s">
        <v>776</v>
      </c>
      <c r="E81" s="24" t="s">
        <v>778</v>
      </c>
      <c r="F81" s="21">
        <v>1</v>
      </c>
      <c r="G81" s="24" t="s">
        <v>776</v>
      </c>
      <c r="H81" s="24" t="s">
        <v>777</v>
      </c>
      <c r="I81" s="26">
        <v>107.2189105858171</v>
      </c>
      <c r="J81" s="22">
        <v>-0.1808233566410862</v>
      </c>
    </row>
    <row r="82" spans="1:10" x14ac:dyDescent="0.35">
      <c r="A82" s="24" t="s">
        <v>225</v>
      </c>
      <c r="B82" s="21">
        <v>2</v>
      </c>
      <c r="C82" s="25">
        <v>11.97</v>
      </c>
      <c r="D82" s="24" t="s">
        <v>776</v>
      </c>
      <c r="E82" s="24" t="s">
        <v>777</v>
      </c>
      <c r="F82" s="21">
        <v>3</v>
      </c>
      <c r="G82" s="24" t="s">
        <v>776</v>
      </c>
      <c r="H82" s="24" t="s">
        <v>778</v>
      </c>
      <c r="I82" s="26">
        <v>108.406015037594</v>
      </c>
      <c r="J82" s="22">
        <v>-5.2226136518196187E-2</v>
      </c>
    </row>
    <row r="83" spans="1:10" x14ac:dyDescent="0.35">
      <c r="A83" s="24" t="s">
        <v>418</v>
      </c>
      <c r="B83" s="21">
        <v>3</v>
      </c>
      <c r="C83" s="25">
        <v>4.13</v>
      </c>
      <c r="D83" s="24" t="s">
        <v>776</v>
      </c>
      <c r="E83" s="24" t="s">
        <v>777</v>
      </c>
      <c r="F83" s="21">
        <v>3</v>
      </c>
      <c r="G83" s="24" t="s">
        <v>776</v>
      </c>
      <c r="H83" s="24" t="s">
        <v>777</v>
      </c>
      <c r="I83" s="26">
        <v>72.728813559322035</v>
      </c>
      <c r="J83" s="22">
        <v>-0.28514646396275062</v>
      </c>
    </row>
    <row r="84" spans="1:10" x14ac:dyDescent="0.35">
      <c r="A84" s="24" t="s">
        <v>595</v>
      </c>
      <c r="B84" s="21">
        <v>8</v>
      </c>
      <c r="C84" s="25">
        <v>19.57</v>
      </c>
      <c r="D84" s="24" t="s">
        <v>776</v>
      </c>
      <c r="E84" s="24" t="s">
        <v>777</v>
      </c>
      <c r="F84" s="21">
        <v>3</v>
      </c>
      <c r="G84" s="24" t="s">
        <v>776</v>
      </c>
      <c r="H84" s="24" t="s">
        <v>778</v>
      </c>
      <c r="I84" s="26">
        <v>93.795605518650987</v>
      </c>
      <c r="J84" s="22">
        <v>-0.232031497975311</v>
      </c>
    </row>
    <row r="85" spans="1:10" x14ac:dyDescent="0.35">
      <c r="A85" s="24" t="s">
        <v>419</v>
      </c>
      <c r="B85" s="21">
        <v>8</v>
      </c>
      <c r="C85" s="25">
        <v>17.13</v>
      </c>
      <c r="D85" s="24" t="s">
        <v>776</v>
      </c>
      <c r="E85" s="24" t="s">
        <v>778</v>
      </c>
      <c r="F85" s="21">
        <v>1</v>
      </c>
      <c r="G85" s="24" t="s">
        <v>776</v>
      </c>
      <c r="H85" s="24" t="s">
        <v>778</v>
      </c>
      <c r="I85" s="26">
        <v>108.83129013426741</v>
      </c>
      <c r="J85" s="22">
        <v>2.052448871312507E-2</v>
      </c>
    </row>
    <row r="86" spans="1:10" x14ac:dyDescent="0.35">
      <c r="A86" s="24" t="s">
        <v>420</v>
      </c>
      <c r="B86" s="21">
        <v>6</v>
      </c>
      <c r="C86" s="25">
        <v>4</v>
      </c>
      <c r="D86" s="24" t="s">
        <v>776</v>
      </c>
      <c r="E86" s="24" t="s">
        <v>778</v>
      </c>
      <c r="F86" s="21">
        <v>1</v>
      </c>
      <c r="G86" s="24" t="s">
        <v>776</v>
      </c>
      <c r="H86" s="24" t="s">
        <v>777</v>
      </c>
      <c r="I86" s="26">
        <v>87.27</v>
      </c>
      <c r="J86" s="22">
        <v>-0.18911470455326521</v>
      </c>
    </row>
    <row r="87" spans="1:10" x14ac:dyDescent="0.35">
      <c r="A87" s="24" t="s">
        <v>236</v>
      </c>
      <c r="B87" s="21">
        <v>2</v>
      </c>
      <c r="C87" s="25">
        <v>11.43</v>
      </c>
      <c r="D87" s="24" t="s">
        <v>776</v>
      </c>
      <c r="E87" s="24" t="s">
        <v>778</v>
      </c>
      <c r="F87" s="21">
        <v>1</v>
      </c>
      <c r="G87" s="24" t="s">
        <v>776</v>
      </c>
      <c r="H87" s="24" t="s">
        <v>777</v>
      </c>
      <c r="I87" s="26">
        <v>118.0752405949256</v>
      </c>
      <c r="J87" s="22">
        <v>5.2850076761805642E-2</v>
      </c>
    </row>
    <row r="88" spans="1:10" x14ac:dyDescent="0.35">
      <c r="A88" s="24" t="s">
        <v>237</v>
      </c>
      <c r="B88" s="21">
        <v>8</v>
      </c>
      <c r="C88" s="25">
        <v>17.64</v>
      </c>
      <c r="D88" s="24" t="s">
        <v>776</v>
      </c>
      <c r="E88" s="24" t="s">
        <v>778</v>
      </c>
      <c r="F88" s="21">
        <v>1</v>
      </c>
      <c r="G88" s="24" t="s">
        <v>776</v>
      </c>
      <c r="H88" s="24" t="s">
        <v>777</v>
      </c>
      <c r="I88" s="26">
        <v>123.8526077097505</v>
      </c>
      <c r="J88" s="22">
        <v>2.9803720724330681E-2</v>
      </c>
    </row>
    <row r="89" spans="1:10" x14ac:dyDescent="0.35">
      <c r="A89" s="24" t="s">
        <v>238</v>
      </c>
      <c r="B89" s="21">
        <v>1</v>
      </c>
      <c r="C89" s="25">
        <v>9.6300000000000008</v>
      </c>
      <c r="D89" s="24" t="s">
        <v>776</v>
      </c>
      <c r="E89" s="24" t="s">
        <v>778</v>
      </c>
      <c r="F89" s="21">
        <v>1</v>
      </c>
      <c r="G89" s="24" t="s">
        <v>776</v>
      </c>
      <c r="H89" s="24" t="s">
        <v>777</v>
      </c>
      <c r="I89" s="26">
        <v>113.2336448598131</v>
      </c>
      <c r="J89" s="22">
        <v>1.563734665011229E-2</v>
      </c>
    </row>
    <row r="90" spans="1:10" x14ac:dyDescent="0.35">
      <c r="A90" s="24" t="s">
        <v>97</v>
      </c>
      <c r="B90" s="21">
        <v>8</v>
      </c>
      <c r="C90" s="25">
        <v>11.39</v>
      </c>
      <c r="D90" s="24" t="s">
        <v>776</v>
      </c>
      <c r="E90" s="24" t="s">
        <v>777</v>
      </c>
      <c r="F90" s="21">
        <v>3</v>
      </c>
      <c r="G90" s="24" t="s">
        <v>776</v>
      </c>
      <c r="H90" s="24" t="s">
        <v>778</v>
      </c>
      <c r="I90" s="26">
        <v>98.68305531167691</v>
      </c>
      <c r="J90" s="22">
        <v>-9.3357297457986377E-2</v>
      </c>
    </row>
    <row r="91" spans="1:10" x14ac:dyDescent="0.35">
      <c r="A91" s="24" t="s">
        <v>240</v>
      </c>
      <c r="B91" s="21">
        <v>1</v>
      </c>
      <c r="C91" s="25">
        <v>5.62</v>
      </c>
      <c r="D91" s="24" t="s">
        <v>776</v>
      </c>
      <c r="E91" s="24" t="s">
        <v>778</v>
      </c>
      <c r="F91" s="21">
        <v>1</v>
      </c>
      <c r="G91" s="24" t="s">
        <v>776</v>
      </c>
      <c r="H91" s="24" t="s">
        <v>777</v>
      </c>
      <c r="I91" s="26">
        <v>97.539145907473298</v>
      </c>
      <c r="J91" s="22">
        <v>-3.2475691393489492E-2</v>
      </c>
    </row>
    <row r="92" spans="1:10" x14ac:dyDescent="0.35">
      <c r="A92" s="24" t="s">
        <v>241</v>
      </c>
      <c r="B92" s="21">
        <v>4</v>
      </c>
      <c r="C92" s="25">
        <v>19.34</v>
      </c>
      <c r="D92" s="24" t="s">
        <v>776</v>
      </c>
      <c r="E92" s="24" t="s">
        <v>777</v>
      </c>
      <c r="F92" s="21">
        <v>3</v>
      </c>
      <c r="G92" s="24" t="s">
        <v>776</v>
      </c>
      <c r="H92" s="24" t="s">
        <v>777</v>
      </c>
      <c r="I92" s="26">
        <v>85.443123061013452</v>
      </c>
      <c r="J92" s="22">
        <v>-0.16449333767960439</v>
      </c>
    </row>
    <row r="93" spans="1:10" x14ac:dyDescent="0.35">
      <c r="A93" s="24" t="s">
        <v>596</v>
      </c>
      <c r="B93" s="21">
        <v>8</v>
      </c>
      <c r="C93" s="25">
        <v>7.8</v>
      </c>
      <c r="D93" s="24" t="s">
        <v>776</v>
      </c>
      <c r="E93" s="24" t="s">
        <v>778</v>
      </c>
      <c r="F93" s="21">
        <v>1</v>
      </c>
      <c r="G93" s="24" t="s">
        <v>776</v>
      </c>
      <c r="H93" s="24" t="s">
        <v>777</v>
      </c>
      <c r="I93" s="26">
        <v>133.33333333333329</v>
      </c>
      <c r="J93" s="22">
        <v>0.27008750317454638</v>
      </c>
    </row>
    <row r="94" spans="1:10" x14ac:dyDescent="0.35">
      <c r="A94" s="24" t="s">
        <v>597</v>
      </c>
      <c r="B94" s="21">
        <v>8</v>
      </c>
      <c r="C94" s="25">
        <v>7.84</v>
      </c>
      <c r="D94" s="24" t="s">
        <v>776</v>
      </c>
      <c r="E94" s="24" t="s">
        <v>778</v>
      </c>
      <c r="F94" s="21">
        <v>1</v>
      </c>
      <c r="G94" s="24" t="s">
        <v>776</v>
      </c>
      <c r="H94" s="24" t="s">
        <v>777</v>
      </c>
      <c r="I94" s="26">
        <v>147.68367346938771</v>
      </c>
      <c r="J94" s="22">
        <v>0.58588916755625164</v>
      </c>
    </row>
    <row r="95" spans="1:10" x14ac:dyDescent="0.35">
      <c r="A95" s="24" t="s">
        <v>575</v>
      </c>
      <c r="B95" s="21">
        <v>2</v>
      </c>
      <c r="C95" s="25">
        <v>2.84</v>
      </c>
      <c r="D95" s="24" t="s">
        <v>776</v>
      </c>
      <c r="E95" s="24" t="s">
        <v>778</v>
      </c>
      <c r="F95" s="21">
        <v>1</v>
      </c>
      <c r="G95" s="24" t="s">
        <v>776</v>
      </c>
      <c r="H95" s="24" t="s">
        <v>778</v>
      </c>
      <c r="I95" s="26">
        <v>111.2781690140845</v>
      </c>
      <c r="J95" s="22">
        <v>7.4700945209117409E-2</v>
      </c>
    </row>
    <row r="96" spans="1:10" x14ac:dyDescent="0.35">
      <c r="A96" s="24" t="s">
        <v>392</v>
      </c>
      <c r="B96" s="21">
        <v>8</v>
      </c>
      <c r="C96" s="25">
        <v>16.88</v>
      </c>
      <c r="D96" s="24" t="s">
        <v>776</v>
      </c>
      <c r="E96" s="24" t="s">
        <v>777</v>
      </c>
      <c r="F96" s="21">
        <v>3</v>
      </c>
      <c r="G96" s="24" t="s">
        <v>776</v>
      </c>
      <c r="H96" s="24" t="s">
        <v>778</v>
      </c>
      <c r="I96" s="26">
        <v>88.460900473933663</v>
      </c>
      <c r="J96" s="22">
        <v>-0.24358899850288471</v>
      </c>
    </row>
    <row r="97" spans="1:10" x14ac:dyDescent="0.35">
      <c r="A97" s="24" t="s">
        <v>242</v>
      </c>
      <c r="B97" s="21">
        <v>8</v>
      </c>
      <c r="C97" s="25">
        <v>4.3600000000000003</v>
      </c>
      <c r="D97" s="24" t="s">
        <v>776</v>
      </c>
      <c r="E97" s="24" t="s">
        <v>777</v>
      </c>
      <c r="F97" s="21">
        <v>3</v>
      </c>
      <c r="G97" s="24" t="s">
        <v>776</v>
      </c>
      <c r="H97" s="24" t="s">
        <v>778</v>
      </c>
      <c r="I97" s="26">
        <v>98.42889908256879</v>
      </c>
      <c r="J97" s="22">
        <v>-0.1979623018948892</v>
      </c>
    </row>
    <row r="98" spans="1:10" x14ac:dyDescent="0.35">
      <c r="A98" s="24" t="s">
        <v>598</v>
      </c>
      <c r="B98" s="21">
        <v>8</v>
      </c>
      <c r="C98" s="25">
        <v>17.32</v>
      </c>
      <c r="D98" s="24" t="s">
        <v>776</v>
      </c>
      <c r="E98" s="24" t="s">
        <v>777</v>
      </c>
      <c r="F98" s="21">
        <v>3</v>
      </c>
      <c r="G98" s="24" t="s">
        <v>776</v>
      </c>
      <c r="H98" s="24" t="s">
        <v>778</v>
      </c>
      <c r="I98" s="26">
        <v>87.864896073902997</v>
      </c>
      <c r="J98" s="22">
        <v>-0.2669135499622558</v>
      </c>
    </row>
    <row r="99" spans="1:10" x14ac:dyDescent="0.35">
      <c r="A99" s="24" t="s">
        <v>421</v>
      </c>
      <c r="B99" s="21">
        <v>8</v>
      </c>
      <c r="C99" s="25">
        <v>4.7</v>
      </c>
      <c r="D99" s="24" t="s">
        <v>776</v>
      </c>
      <c r="E99" s="24" t="s">
        <v>778</v>
      </c>
      <c r="F99" s="21">
        <v>1</v>
      </c>
      <c r="G99" s="24" t="s">
        <v>776</v>
      </c>
      <c r="H99" s="24" t="s">
        <v>778</v>
      </c>
      <c r="I99" s="26">
        <v>138.91276595744679</v>
      </c>
      <c r="J99" s="22">
        <v>0.16448514719827109</v>
      </c>
    </row>
    <row r="100" spans="1:10" x14ac:dyDescent="0.35">
      <c r="A100" s="24" t="s">
        <v>599</v>
      </c>
      <c r="B100" s="21">
        <v>8</v>
      </c>
      <c r="C100" s="25">
        <v>7.59</v>
      </c>
      <c r="D100" s="24" t="s">
        <v>776</v>
      </c>
      <c r="E100" s="24" t="s">
        <v>778</v>
      </c>
      <c r="F100" s="21">
        <v>1</v>
      </c>
      <c r="G100" s="24" t="s">
        <v>776</v>
      </c>
      <c r="H100" s="24" t="s">
        <v>777</v>
      </c>
      <c r="I100" s="26">
        <v>121.79051383399209</v>
      </c>
      <c r="J100" s="22">
        <v>0.13118309142786161</v>
      </c>
    </row>
    <row r="101" spans="1:10" x14ac:dyDescent="0.35">
      <c r="A101" s="24" t="s">
        <v>246</v>
      </c>
      <c r="B101" s="21">
        <v>8</v>
      </c>
      <c r="C101" s="25">
        <v>12.22</v>
      </c>
      <c r="D101" s="24" t="s">
        <v>776</v>
      </c>
      <c r="E101" s="24" t="s">
        <v>777</v>
      </c>
      <c r="F101" s="21">
        <v>3</v>
      </c>
      <c r="G101" s="24" t="s">
        <v>776</v>
      </c>
      <c r="H101" s="24" t="s">
        <v>777</v>
      </c>
      <c r="I101" s="26">
        <v>112.7823240589198</v>
      </c>
      <c r="J101" s="22">
        <v>8.9103562422878646E-2</v>
      </c>
    </row>
    <row r="102" spans="1:10" x14ac:dyDescent="0.35">
      <c r="A102" s="24" t="s">
        <v>247</v>
      </c>
      <c r="B102" s="21">
        <v>4</v>
      </c>
      <c r="C102" s="25">
        <v>8.1499999999999986</v>
      </c>
      <c r="D102" s="24" t="s">
        <v>776</v>
      </c>
      <c r="E102" s="24" t="s">
        <v>777</v>
      </c>
      <c r="F102" s="21">
        <v>3</v>
      </c>
      <c r="G102" s="24" t="s">
        <v>776</v>
      </c>
      <c r="H102" s="24" t="s">
        <v>777</v>
      </c>
      <c r="I102" s="26">
        <v>84.774233128834368</v>
      </c>
      <c r="J102" s="22">
        <v>-0.23594697504110629</v>
      </c>
    </row>
    <row r="103" spans="1:10" x14ac:dyDescent="0.35">
      <c r="A103" s="24" t="s">
        <v>248</v>
      </c>
      <c r="B103" s="21">
        <v>4</v>
      </c>
      <c r="C103" s="25">
        <v>4.7</v>
      </c>
      <c r="D103" s="24" t="s">
        <v>776</v>
      </c>
      <c r="E103" s="24" t="s">
        <v>778</v>
      </c>
      <c r="F103" s="21">
        <v>1</v>
      </c>
      <c r="G103" s="24" t="s">
        <v>776</v>
      </c>
      <c r="H103" s="24" t="s">
        <v>778</v>
      </c>
      <c r="I103" s="26">
        <v>73.259574468085106</v>
      </c>
      <c r="J103" s="22">
        <v>-0.34924102328342321</v>
      </c>
    </row>
    <row r="104" spans="1:10" x14ac:dyDescent="0.35">
      <c r="A104" s="24" t="s">
        <v>249</v>
      </c>
      <c r="B104" s="21">
        <v>3</v>
      </c>
      <c r="C104" s="25">
        <v>5.21</v>
      </c>
      <c r="D104" s="24" t="s">
        <v>776</v>
      </c>
      <c r="E104" s="24" t="s">
        <v>777</v>
      </c>
      <c r="F104" s="21">
        <v>3</v>
      </c>
      <c r="G104" s="24" t="s">
        <v>776</v>
      </c>
      <c r="H104" s="24" t="s">
        <v>777</v>
      </c>
      <c r="I104" s="26">
        <v>120.9961612284069</v>
      </c>
      <c r="J104" s="22">
        <v>3.173285459094588E-2</v>
      </c>
    </row>
    <row r="105" spans="1:10" x14ac:dyDescent="0.35">
      <c r="A105" s="24" t="s">
        <v>250</v>
      </c>
      <c r="B105" s="21">
        <v>7</v>
      </c>
      <c r="C105" s="25">
        <v>11.73</v>
      </c>
      <c r="D105" s="24" t="s">
        <v>776</v>
      </c>
      <c r="E105" s="24" t="s">
        <v>778</v>
      </c>
      <c r="F105" s="21">
        <v>1</v>
      </c>
      <c r="G105" s="24" t="s">
        <v>776</v>
      </c>
      <c r="H105" s="24" t="s">
        <v>778</v>
      </c>
      <c r="I105" s="26">
        <v>125.5899403239557</v>
      </c>
      <c r="J105" s="22">
        <v>0.19708448149277169</v>
      </c>
    </row>
    <row r="106" spans="1:10" x14ac:dyDescent="0.35">
      <c r="A106" s="24" t="s">
        <v>253</v>
      </c>
      <c r="B106" s="21">
        <v>8</v>
      </c>
      <c r="C106" s="25">
        <v>16.100000000000001</v>
      </c>
      <c r="D106" s="24" t="s">
        <v>776</v>
      </c>
      <c r="E106" s="24" t="s">
        <v>778</v>
      </c>
      <c r="F106" s="21">
        <v>1</v>
      </c>
      <c r="G106" s="24" t="s">
        <v>776</v>
      </c>
      <c r="H106" s="24" t="s">
        <v>777</v>
      </c>
      <c r="I106" s="26">
        <v>111.3142857142857</v>
      </c>
      <c r="J106" s="22">
        <v>-3.55428189646676E-2</v>
      </c>
    </row>
    <row r="107" spans="1:10" x14ac:dyDescent="0.35">
      <c r="A107" s="24" t="s">
        <v>255</v>
      </c>
      <c r="B107" s="21">
        <v>8</v>
      </c>
      <c r="C107" s="25">
        <v>6.06</v>
      </c>
      <c r="D107" s="24" t="s">
        <v>776</v>
      </c>
      <c r="E107" s="24" t="s">
        <v>778</v>
      </c>
      <c r="F107" s="21">
        <v>1</v>
      </c>
      <c r="G107" s="24" t="s">
        <v>776</v>
      </c>
      <c r="H107" s="24" t="s">
        <v>778</v>
      </c>
      <c r="I107" s="26">
        <v>130.45874587458749</v>
      </c>
      <c r="J107" s="22">
        <v>0.14681013936673179</v>
      </c>
    </row>
    <row r="108" spans="1:10" x14ac:dyDescent="0.35">
      <c r="A108" s="24" t="s">
        <v>256</v>
      </c>
      <c r="B108" s="21">
        <v>8</v>
      </c>
      <c r="C108" s="25">
        <v>11.65</v>
      </c>
      <c r="D108" s="24" t="s">
        <v>776</v>
      </c>
      <c r="E108" s="24" t="s">
        <v>778</v>
      </c>
      <c r="F108" s="21">
        <v>1</v>
      </c>
      <c r="G108" s="24" t="s">
        <v>776</v>
      </c>
      <c r="H108" s="24" t="s">
        <v>778</v>
      </c>
      <c r="I108" s="26">
        <v>97.229184549356219</v>
      </c>
      <c r="J108" s="22">
        <v>-0.11823014357477291</v>
      </c>
    </row>
    <row r="109" spans="1:10" x14ac:dyDescent="0.35">
      <c r="A109" s="24" t="s">
        <v>258</v>
      </c>
      <c r="B109" s="21">
        <v>8</v>
      </c>
      <c r="C109" s="25">
        <v>5.58</v>
      </c>
      <c r="D109" s="24" t="s">
        <v>776</v>
      </c>
      <c r="E109" s="24" t="s">
        <v>777</v>
      </c>
      <c r="F109" s="21">
        <v>3</v>
      </c>
      <c r="G109" s="24" t="s">
        <v>776</v>
      </c>
      <c r="H109" s="24" t="s">
        <v>778</v>
      </c>
      <c r="I109" s="26">
        <v>122.9964157706093</v>
      </c>
      <c r="J109" s="22">
        <v>-1.553424017570992E-2</v>
      </c>
    </row>
    <row r="110" spans="1:10" x14ac:dyDescent="0.35">
      <c r="A110" s="24" t="s">
        <v>259</v>
      </c>
      <c r="B110" s="21">
        <v>7</v>
      </c>
      <c r="C110" s="25">
        <v>5.97</v>
      </c>
      <c r="D110" s="24" t="s">
        <v>776</v>
      </c>
      <c r="E110" s="24" t="s">
        <v>777</v>
      </c>
      <c r="F110" s="21">
        <v>3</v>
      </c>
      <c r="G110" s="24" t="s">
        <v>776</v>
      </c>
      <c r="H110" s="24" t="s">
        <v>778</v>
      </c>
      <c r="I110" s="26">
        <v>109.01842546063649</v>
      </c>
      <c r="J110" s="22">
        <v>-4.8724264614368407E-2</v>
      </c>
    </row>
    <row r="111" spans="1:10" x14ac:dyDescent="0.35">
      <c r="A111" s="24" t="s">
        <v>260</v>
      </c>
      <c r="B111" s="21">
        <v>8</v>
      </c>
      <c r="C111" s="25">
        <v>9.64</v>
      </c>
      <c r="D111" s="24" t="s">
        <v>776</v>
      </c>
      <c r="E111" s="24" t="s">
        <v>778</v>
      </c>
      <c r="F111" s="21">
        <v>1</v>
      </c>
      <c r="G111" s="24" t="s">
        <v>776</v>
      </c>
      <c r="H111" s="24" t="s">
        <v>777</v>
      </c>
      <c r="I111" s="26">
        <v>107.4917012448133</v>
      </c>
      <c r="J111" s="22">
        <v>-6.2792290072684165E-2</v>
      </c>
    </row>
    <row r="112" spans="1:10" x14ac:dyDescent="0.35">
      <c r="A112" s="24" t="s">
        <v>261</v>
      </c>
      <c r="B112" s="21">
        <v>7</v>
      </c>
      <c r="C112" s="25">
        <v>16.329999999999998</v>
      </c>
      <c r="D112" s="24" t="s">
        <v>776</v>
      </c>
      <c r="E112" s="24" t="s">
        <v>778</v>
      </c>
      <c r="F112" s="21">
        <v>1</v>
      </c>
      <c r="G112" s="24" t="s">
        <v>776</v>
      </c>
      <c r="H112" s="24" t="s">
        <v>778</v>
      </c>
      <c r="I112" s="26">
        <v>116.3619105939988</v>
      </c>
      <c r="J112" s="22">
        <v>9.9337574220395686E-2</v>
      </c>
    </row>
    <row r="113" spans="1:10" x14ac:dyDescent="0.35">
      <c r="A113" s="24" t="s">
        <v>262</v>
      </c>
      <c r="B113" s="21">
        <v>7</v>
      </c>
      <c r="C113" s="25">
        <v>16.170000000000002</v>
      </c>
      <c r="D113" s="24" t="s">
        <v>776</v>
      </c>
      <c r="E113" s="24" t="s">
        <v>778</v>
      </c>
      <c r="F113" s="21">
        <v>1</v>
      </c>
      <c r="G113" s="24" t="s">
        <v>776</v>
      </c>
      <c r="H113" s="24" t="s">
        <v>778</v>
      </c>
      <c r="I113" s="26">
        <v>111.9387755102041</v>
      </c>
      <c r="J113" s="22">
        <v>0.1081587893742373</v>
      </c>
    </row>
    <row r="114" spans="1:10" x14ac:dyDescent="0.35">
      <c r="A114" s="24" t="s">
        <v>263</v>
      </c>
      <c r="B114" s="21">
        <v>8</v>
      </c>
      <c r="C114" s="25">
        <v>17.38</v>
      </c>
      <c r="D114" s="24" t="s">
        <v>776</v>
      </c>
      <c r="E114" s="24" t="s">
        <v>778</v>
      </c>
      <c r="F114" s="21">
        <v>1</v>
      </c>
      <c r="G114" s="24" t="s">
        <v>776</v>
      </c>
      <c r="H114" s="24" t="s">
        <v>778</v>
      </c>
      <c r="I114" s="26">
        <v>116.0448791714614</v>
      </c>
      <c r="J114" s="22">
        <v>8.0991700767534258E-3</v>
      </c>
    </row>
    <row r="115" spans="1:10" x14ac:dyDescent="0.35">
      <c r="A115" s="24" t="s">
        <v>264</v>
      </c>
      <c r="B115" s="21">
        <v>6</v>
      </c>
      <c r="C115" s="25">
        <v>9.9600000000000009</v>
      </c>
      <c r="D115" s="24" t="s">
        <v>776</v>
      </c>
      <c r="E115" s="24" t="s">
        <v>777</v>
      </c>
      <c r="F115" s="21">
        <v>3</v>
      </c>
      <c r="G115" s="24" t="s">
        <v>776</v>
      </c>
      <c r="H115" s="24" t="s">
        <v>777</v>
      </c>
      <c r="I115" s="26">
        <v>107.3473895582329</v>
      </c>
      <c r="J115" s="22">
        <v>0.14938058801175941</v>
      </c>
    </row>
    <row r="116" spans="1:10" x14ac:dyDescent="0.35">
      <c r="A116" s="24" t="s">
        <v>265</v>
      </c>
      <c r="B116" s="21">
        <v>5</v>
      </c>
      <c r="C116" s="25">
        <v>3.18</v>
      </c>
      <c r="D116" s="24" t="s">
        <v>776</v>
      </c>
      <c r="E116" s="24" t="s">
        <v>777</v>
      </c>
      <c r="F116" s="21">
        <v>3</v>
      </c>
      <c r="G116" s="24" t="s">
        <v>776</v>
      </c>
      <c r="H116" s="24" t="s">
        <v>777</v>
      </c>
      <c r="I116" s="26">
        <v>134.53459119496861</v>
      </c>
      <c r="J116" s="22">
        <v>0.1026288659793817</v>
      </c>
    </row>
    <row r="117" spans="1:10" x14ac:dyDescent="0.35">
      <c r="A117" s="24" t="s">
        <v>600</v>
      </c>
      <c r="B117" s="21">
        <v>8</v>
      </c>
      <c r="C117" s="25">
        <v>5.95</v>
      </c>
      <c r="D117" s="24" t="s">
        <v>776</v>
      </c>
      <c r="E117" s="24" t="s">
        <v>778</v>
      </c>
      <c r="F117" s="21">
        <v>1</v>
      </c>
      <c r="G117" s="24" t="s">
        <v>776</v>
      </c>
      <c r="H117" s="24" t="s">
        <v>778</v>
      </c>
      <c r="I117" s="26">
        <v>102.5798319327731</v>
      </c>
      <c r="J117" s="22">
        <v>-0.34718434140863141</v>
      </c>
    </row>
    <row r="118" spans="1:10" x14ac:dyDescent="0.35">
      <c r="A118" s="24" t="s">
        <v>423</v>
      </c>
      <c r="B118" s="21">
        <v>3</v>
      </c>
      <c r="C118" s="25">
        <v>0.37</v>
      </c>
      <c r="D118" s="24" t="s">
        <v>776</v>
      </c>
      <c r="E118" s="24" t="s">
        <v>777</v>
      </c>
      <c r="F118" s="21">
        <v>3</v>
      </c>
      <c r="G118" s="24" t="s">
        <v>776</v>
      </c>
      <c r="H118" s="24" t="s">
        <v>777</v>
      </c>
      <c r="I118" s="26">
        <v>78.729729729729726</v>
      </c>
      <c r="J118" s="22">
        <v>-0.28176190208058999</v>
      </c>
    </row>
    <row r="119" spans="1:10" x14ac:dyDescent="0.35">
      <c r="A119" s="24" t="s">
        <v>266</v>
      </c>
      <c r="B119" s="21">
        <v>8</v>
      </c>
      <c r="C119" s="25">
        <v>6.2</v>
      </c>
      <c r="D119" s="24" t="s">
        <v>776</v>
      </c>
      <c r="E119" s="24" t="s">
        <v>777</v>
      </c>
      <c r="F119" s="21">
        <v>3</v>
      </c>
      <c r="G119" s="24" t="s">
        <v>776</v>
      </c>
      <c r="H119" s="24" t="s">
        <v>777</v>
      </c>
      <c r="I119" s="26">
        <v>111.3048387096774</v>
      </c>
      <c r="J119" s="22">
        <v>-9.2140441903743486E-2</v>
      </c>
    </row>
    <row r="120" spans="1:10" x14ac:dyDescent="0.35">
      <c r="A120" s="24" t="s">
        <v>577</v>
      </c>
      <c r="B120" s="21">
        <v>8</v>
      </c>
      <c r="C120" s="25">
        <v>14.83</v>
      </c>
      <c r="D120" s="24" t="s">
        <v>776</v>
      </c>
      <c r="E120" s="24" t="s">
        <v>778</v>
      </c>
      <c r="F120" s="21">
        <v>1</v>
      </c>
      <c r="G120" s="24" t="s">
        <v>776</v>
      </c>
      <c r="H120" s="24" t="s">
        <v>777</v>
      </c>
      <c r="I120" s="26">
        <v>96.651382333108558</v>
      </c>
      <c r="J120" s="22">
        <v>-0.19327441537906259</v>
      </c>
    </row>
    <row r="121" spans="1:10" x14ac:dyDescent="0.35">
      <c r="A121" s="24" t="s">
        <v>267</v>
      </c>
      <c r="B121" s="21">
        <v>6</v>
      </c>
      <c r="C121" s="25">
        <v>11.05</v>
      </c>
      <c r="D121" s="24" t="s">
        <v>776</v>
      </c>
      <c r="E121" s="24" t="s">
        <v>778</v>
      </c>
      <c r="F121" s="21">
        <v>1</v>
      </c>
      <c r="G121" s="24" t="s">
        <v>776</v>
      </c>
      <c r="H121" s="24" t="s">
        <v>778</v>
      </c>
      <c r="I121" s="26">
        <v>88.835294117647052</v>
      </c>
      <c r="J121" s="22">
        <v>-0.20582867461495971</v>
      </c>
    </row>
    <row r="122" spans="1:10" x14ac:dyDescent="0.35">
      <c r="A122" s="24" t="s">
        <v>614</v>
      </c>
      <c r="B122" s="21">
        <v>8</v>
      </c>
      <c r="C122" s="25">
        <v>5.1100000000000003</v>
      </c>
      <c r="D122" s="24" t="s">
        <v>776</v>
      </c>
      <c r="E122" s="24" t="s">
        <v>778</v>
      </c>
      <c r="F122" s="21">
        <v>1</v>
      </c>
      <c r="G122" s="24" t="s">
        <v>776</v>
      </c>
      <c r="H122" s="24" t="s">
        <v>778</v>
      </c>
      <c r="I122" s="26">
        <v>99.722113502935414</v>
      </c>
      <c r="J122" s="22">
        <v>-4.3859378419597311E-4</v>
      </c>
    </row>
    <row r="123" spans="1:10" x14ac:dyDescent="0.35">
      <c r="A123" s="24" t="s">
        <v>100</v>
      </c>
      <c r="B123" s="21">
        <v>3</v>
      </c>
      <c r="C123" s="25">
        <v>3.4</v>
      </c>
      <c r="D123" s="24" t="s">
        <v>776</v>
      </c>
      <c r="E123" s="24" t="s">
        <v>777</v>
      </c>
      <c r="F123" s="21">
        <v>3</v>
      </c>
      <c r="G123" s="24" t="s">
        <v>776</v>
      </c>
      <c r="H123" s="24" t="s">
        <v>777</v>
      </c>
      <c r="I123" s="26">
        <v>83.47058823529413</v>
      </c>
      <c r="J123" s="22">
        <v>-0.172214511573379</v>
      </c>
    </row>
    <row r="124" spans="1:10" x14ac:dyDescent="0.35">
      <c r="A124" s="24" t="s">
        <v>268</v>
      </c>
      <c r="B124" s="21">
        <v>4</v>
      </c>
      <c r="C124" s="25">
        <v>9.25</v>
      </c>
      <c r="D124" s="24" t="s">
        <v>776</v>
      </c>
      <c r="E124" s="24" t="s">
        <v>777</v>
      </c>
      <c r="F124" s="21">
        <v>3</v>
      </c>
      <c r="G124" s="24" t="s">
        <v>776</v>
      </c>
      <c r="H124" s="24" t="s">
        <v>777</v>
      </c>
      <c r="I124" s="26">
        <v>77.781621621621625</v>
      </c>
      <c r="J124" s="22">
        <v>-0.21874011921033029</v>
      </c>
    </row>
    <row r="125" spans="1:10" x14ac:dyDescent="0.35">
      <c r="A125" s="24" t="s">
        <v>269</v>
      </c>
      <c r="B125" s="21">
        <v>8</v>
      </c>
      <c r="C125" s="25">
        <v>4.13</v>
      </c>
      <c r="D125" s="24" t="s">
        <v>776</v>
      </c>
      <c r="E125" s="24" t="s">
        <v>778</v>
      </c>
      <c r="F125" s="21">
        <v>1</v>
      </c>
      <c r="G125" s="24" t="s">
        <v>776</v>
      </c>
      <c r="H125" s="24" t="s">
        <v>778</v>
      </c>
      <c r="I125" s="26">
        <v>113.0847457627119</v>
      </c>
      <c r="J125" s="22">
        <v>8.9817212291167792E-2</v>
      </c>
    </row>
    <row r="126" spans="1:10" x14ac:dyDescent="0.35">
      <c r="A126" s="24" t="s">
        <v>272</v>
      </c>
      <c r="B126" s="21">
        <v>3</v>
      </c>
      <c r="C126" s="25">
        <v>13.5</v>
      </c>
      <c r="D126" s="24" t="s">
        <v>776</v>
      </c>
      <c r="E126" s="24" t="s">
        <v>777</v>
      </c>
      <c r="F126" s="21">
        <v>3</v>
      </c>
      <c r="G126" s="24" t="s">
        <v>776</v>
      </c>
      <c r="H126" s="24" t="s">
        <v>777</v>
      </c>
      <c r="I126" s="26">
        <v>79.031111111111116</v>
      </c>
      <c r="J126" s="22">
        <v>-0.25706491574883911</v>
      </c>
    </row>
    <row r="127" spans="1:10" x14ac:dyDescent="0.35">
      <c r="A127" s="24" t="s">
        <v>425</v>
      </c>
      <c r="B127" s="21">
        <v>3</v>
      </c>
      <c r="C127" s="25">
        <v>7.15</v>
      </c>
      <c r="D127" s="24" t="s">
        <v>776</v>
      </c>
      <c r="E127" s="24" t="s">
        <v>777</v>
      </c>
      <c r="F127" s="21">
        <v>3</v>
      </c>
      <c r="G127" s="24" t="s">
        <v>776</v>
      </c>
      <c r="H127" s="24" t="s">
        <v>777</v>
      </c>
      <c r="I127" s="26">
        <v>90.195804195804186</v>
      </c>
      <c r="J127" s="22">
        <v>-0.17713621178719141</v>
      </c>
    </row>
    <row r="128" spans="1:10" x14ac:dyDescent="0.35">
      <c r="A128" s="24" t="s">
        <v>273</v>
      </c>
      <c r="B128" s="21">
        <v>7</v>
      </c>
      <c r="C128" s="25">
        <v>12.99</v>
      </c>
      <c r="D128" s="24" t="s">
        <v>776</v>
      </c>
      <c r="E128" s="24" t="s">
        <v>778</v>
      </c>
      <c r="F128" s="21">
        <v>1</v>
      </c>
      <c r="G128" s="24" t="s">
        <v>776</v>
      </c>
      <c r="H128" s="24" t="s">
        <v>778</v>
      </c>
      <c r="I128" s="26">
        <v>86.294842186297146</v>
      </c>
      <c r="J128" s="22">
        <v>-0.26688536876506769</v>
      </c>
    </row>
    <row r="129" spans="1:10" x14ac:dyDescent="0.35">
      <c r="A129" s="24" t="s">
        <v>274</v>
      </c>
      <c r="B129" s="21">
        <v>1</v>
      </c>
      <c r="C129" s="25">
        <v>15.64</v>
      </c>
      <c r="D129" s="24" t="s">
        <v>776</v>
      </c>
      <c r="E129" s="24" t="s">
        <v>778</v>
      </c>
      <c r="F129" s="21">
        <v>1</v>
      </c>
      <c r="G129" s="24" t="s">
        <v>776</v>
      </c>
      <c r="H129" s="24" t="s">
        <v>777</v>
      </c>
      <c r="I129" s="26">
        <v>110.8772378516624</v>
      </c>
      <c r="J129" s="22">
        <v>4.889883605337042E-3</v>
      </c>
    </row>
    <row r="130" spans="1:10" x14ac:dyDescent="0.35">
      <c r="A130" s="24" t="s">
        <v>275</v>
      </c>
      <c r="B130" s="21">
        <v>3</v>
      </c>
      <c r="C130" s="25">
        <v>20.420000000000002</v>
      </c>
      <c r="D130" s="24" t="s">
        <v>776</v>
      </c>
      <c r="E130" s="24" t="s">
        <v>777</v>
      </c>
      <c r="F130" s="21">
        <v>3</v>
      </c>
      <c r="G130" s="24" t="s">
        <v>776</v>
      </c>
      <c r="H130" s="24" t="s">
        <v>777</v>
      </c>
      <c r="I130" s="26">
        <v>99.959843290891271</v>
      </c>
      <c r="J130" s="22">
        <v>-0.1336667260570088</v>
      </c>
    </row>
    <row r="131" spans="1:10" x14ac:dyDescent="0.35">
      <c r="A131" s="24" t="s">
        <v>526</v>
      </c>
      <c r="B131" s="21">
        <v>4</v>
      </c>
      <c r="C131" s="25">
        <v>10.87</v>
      </c>
      <c r="D131" s="24" t="s">
        <v>776</v>
      </c>
      <c r="E131" s="24" t="s">
        <v>777</v>
      </c>
      <c r="F131" s="21">
        <v>3</v>
      </c>
      <c r="G131" s="24" t="s">
        <v>776</v>
      </c>
      <c r="H131" s="24" t="s">
        <v>777</v>
      </c>
      <c r="I131" s="26">
        <v>126.3403863845446</v>
      </c>
      <c r="J131" s="22">
        <v>0.16187391837692641</v>
      </c>
    </row>
    <row r="132" spans="1:10" x14ac:dyDescent="0.35">
      <c r="A132" s="24" t="s">
        <v>278</v>
      </c>
      <c r="B132" s="21">
        <v>6</v>
      </c>
      <c r="C132" s="25">
        <v>8.48</v>
      </c>
      <c r="D132" s="24" t="s">
        <v>776</v>
      </c>
      <c r="E132" s="24" t="s">
        <v>777</v>
      </c>
      <c r="F132" s="21">
        <v>3</v>
      </c>
      <c r="G132" s="24" t="s">
        <v>776</v>
      </c>
      <c r="H132" s="24" t="s">
        <v>777</v>
      </c>
      <c r="I132" s="26">
        <v>138.7582547169811</v>
      </c>
      <c r="J132" s="22">
        <v>5.7347119614584267E-2</v>
      </c>
    </row>
    <row r="133" spans="1:10" x14ac:dyDescent="0.35">
      <c r="A133" s="24" t="s">
        <v>279</v>
      </c>
      <c r="B133" s="21">
        <v>1</v>
      </c>
      <c r="C133" s="25">
        <v>3.98</v>
      </c>
      <c r="D133" s="24" t="s">
        <v>776</v>
      </c>
      <c r="E133" s="24" t="s">
        <v>778</v>
      </c>
      <c r="F133" s="21">
        <v>1</v>
      </c>
      <c r="G133" s="24" t="s">
        <v>776</v>
      </c>
      <c r="H133" s="24" t="s">
        <v>778</v>
      </c>
      <c r="I133" s="26">
        <v>135.8492462311558</v>
      </c>
      <c r="J133" s="22">
        <v>0.13073573080301329</v>
      </c>
    </row>
    <row r="134" spans="1:10" x14ac:dyDescent="0.35">
      <c r="A134" s="24" t="s">
        <v>281</v>
      </c>
      <c r="B134" s="21">
        <v>7</v>
      </c>
      <c r="C134" s="25">
        <v>5.34</v>
      </c>
      <c r="D134" s="24" t="s">
        <v>776</v>
      </c>
      <c r="E134" s="24" t="s">
        <v>778</v>
      </c>
      <c r="F134" s="21">
        <v>1</v>
      </c>
      <c r="G134" s="24" t="s">
        <v>776</v>
      </c>
      <c r="H134" s="24" t="s">
        <v>778</v>
      </c>
      <c r="I134" s="26">
        <v>120.88764044943819</v>
      </c>
      <c r="J134" s="22">
        <v>2.727249468840243E-2</v>
      </c>
    </row>
    <row r="135" spans="1:10" x14ac:dyDescent="0.35">
      <c r="A135" s="24" t="s">
        <v>282</v>
      </c>
      <c r="B135" s="21">
        <v>8</v>
      </c>
      <c r="C135" s="25">
        <v>9</v>
      </c>
      <c r="D135" s="24" t="s">
        <v>776</v>
      </c>
      <c r="E135" s="24" t="s">
        <v>777</v>
      </c>
      <c r="F135" s="21">
        <v>3</v>
      </c>
      <c r="G135" s="24" t="s">
        <v>776</v>
      </c>
      <c r="H135" s="24" t="s">
        <v>777</v>
      </c>
      <c r="I135" s="26">
        <v>96.49</v>
      </c>
      <c r="J135" s="22">
        <v>-0.12655453888138729</v>
      </c>
    </row>
    <row r="136" spans="1:10" x14ac:dyDescent="0.35">
      <c r="A136" s="24" t="s">
        <v>283</v>
      </c>
      <c r="B136" s="21">
        <v>5</v>
      </c>
      <c r="C136" s="25">
        <v>11.87</v>
      </c>
      <c r="D136" s="24" t="s">
        <v>776</v>
      </c>
      <c r="E136" s="24" t="s">
        <v>777</v>
      </c>
      <c r="F136" s="21">
        <v>3</v>
      </c>
      <c r="G136" s="24" t="s">
        <v>776</v>
      </c>
      <c r="H136" s="24" t="s">
        <v>777</v>
      </c>
      <c r="I136" s="26">
        <v>125.54675652906489</v>
      </c>
      <c r="J136" s="22">
        <v>0.13748758706574299</v>
      </c>
    </row>
    <row r="137" spans="1:10" x14ac:dyDescent="0.35">
      <c r="A137" s="24" t="s">
        <v>284</v>
      </c>
      <c r="B137" s="21">
        <v>5</v>
      </c>
      <c r="C137" s="25">
        <v>4.4400000000000004</v>
      </c>
      <c r="D137" s="24" t="s">
        <v>776</v>
      </c>
      <c r="E137" s="24" t="s">
        <v>777</v>
      </c>
      <c r="F137" s="21">
        <v>3</v>
      </c>
      <c r="G137" s="24" t="s">
        <v>776</v>
      </c>
      <c r="H137" s="24" t="s">
        <v>777</v>
      </c>
      <c r="I137" s="26">
        <v>119.0833333333333</v>
      </c>
      <c r="J137" s="22">
        <v>5.0694836037685757E-2</v>
      </c>
    </row>
    <row r="138" spans="1:10" x14ac:dyDescent="0.35">
      <c r="A138" s="24" t="s">
        <v>285</v>
      </c>
      <c r="B138" s="21">
        <v>6</v>
      </c>
      <c r="C138" s="25">
        <v>5.8</v>
      </c>
      <c r="D138" s="24" t="s">
        <v>776</v>
      </c>
      <c r="E138" s="24" t="s">
        <v>778</v>
      </c>
      <c r="F138" s="21">
        <v>1</v>
      </c>
      <c r="G138" s="24" t="s">
        <v>776</v>
      </c>
      <c r="H138" s="24" t="s">
        <v>777</v>
      </c>
      <c r="I138" s="26">
        <v>121.32241379310349</v>
      </c>
      <c r="J138" s="22">
        <v>-3.2258084459474419E-3</v>
      </c>
    </row>
    <row r="139" spans="1:10" x14ac:dyDescent="0.35">
      <c r="A139" s="24" t="s">
        <v>287</v>
      </c>
      <c r="B139" s="21">
        <v>7</v>
      </c>
      <c r="C139" s="25">
        <v>9.2200000000000006</v>
      </c>
      <c r="D139" s="24" t="s">
        <v>776</v>
      </c>
      <c r="E139" s="24" t="s">
        <v>778</v>
      </c>
      <c r="F139" s="21">
        <v>1</v>
      </c>
      <c r="G139" s="24" t="s">
        <v>776</v>
      </c>
      <c r="H139" s="24" t="s">
        <v>778</v>
      </c>
      <c r="I139" s="26">
        <v>96.718004338394792</v>
      </c>
      <c r="J139" s="22">
        <v>-0.23440420606552889</v>
      </c>
    </row>
    <row r="140" spans="1:10" x14ac:dyDescent="0.35">
      <c r="A140" s="24" t="s">
        <v>288</v>
      </c>
      <c r="B140" s="21">
        <v>7</v>
      </c>
      <c r="C140" s="25">
        <v>2.89</v>
      </c>
      <c r="D140" s="24" t="s">
        <v>776</v>
      </c>
      <c r="E140" s="24" t="s">
        <v>777</v>
      </c>
      <c r="F140" s="21">
        <v>3</v>
      </c>
      <c r="G140" s="24" t="s">
        <v>776</v>
      </c>
      <c r="H140" s="24" t="s">
        <v>777</v>
      </c>
      <c r="I140" s="26">
        <v>117.4463667820069</v>
      </c>
      <c r="J140" s="22">
        <v>-3.8435065209132979E-2</v>
      </c>
    </row>
    <row r="141" spans="1:10" x14ac:dyDescent="0.35">
      <c r="A141" s="24" t="s">
        <v>290</v>
      </c>
      <c r="B141" s="21">
        <v>6</v>
      </c>
      <c r="C141" s="25">
        <v>5.56</v>
      </c>
      <c r="D141" s="24" t="s">
        <v>776</v>
      </c>
      <c r="E141" s="24" t="s">
        <v>778</v>
      </c>
      <c r="F141" s="21">
        <v>1</v>
      </c>
      <c r="G141" s="24" t="s">
        <v>776</v>
      </c>
      <c r="H141" s="24" t="s">
        <v>777</v>
      </c>
      <c r="I141" s="26">
        <v>108.8291366906475</v>
      </c>
      <c r="J141" s="22">
        <v>-0.11360843432206311</v>
      </c>
    </row>
    <row r="142" spans="1:10" x14ac:dyDescent="0.35">
      <c r="A142" s="24" t="s">
        <v>426</v>
      </c>
      <c r="B142" s="21">
        <v>6</v>
      </c>
      <c r="C142" s="25">
        <v>5.33</v>
      </c>
      <c r="D142" s="24" t="s">
        <v>776</v>
      </c>
      <c r="E142" s="24" t="s">
        <v>778</v>
      </c>
      <c r="F142" s="21">
        <v>1</v>
      </c>
      <c r="G142" s="24" t="s">
        <v>776</v>
      </c>
      <c r="H142" s="24" t="s">
        <v>777</v>
      </c>
      <c r="I142" s="26">
        <v>119.14071294559101</v>
      </c>
      <c r="J142" s="22">
        <v>-0.13925170761862329</v>
      </c>
    </row>
    <row r="143" spans="1:10" x14ac:dyDescent="0.35">
      <c r="A143" s="24" t="s">
        <v>293</v>
      </c>
      <c r="B143" s="21">
        <v>6</v>
      </c>
      <c r="C143" s="25">
        <v>3.17</v>
      </c>
      <c r="D143" s="24" t="s">
        <v>776</v>
      </c>
      <c r="E143" s="24" t="s">
        <v>778</v>
      </c>
      <c r="F143" s="21">
        <v>1</v>
      </c>
      <c r="G143" s="24" t="s">
        <v>776</v>
      </c>
      <c r="H143" s="24" t="s">
        <v>777</v>
      </c>
      <c r="I143" s="26">
        <v>91.419558359621462</v>
      </c>
      <c r="J143" s="22">
        <v>-0.36085916204201651</v>
      </c>
    </row>
    <row r="144" spans="1:10" x14ac:dyDescent="0.35">
      <c r="A144" s="24" t="s">
        <v>294</v>
      </c>
      <c r="B144" s="21">
        <v>5</v>
      </c>
      <c r="C144" s="25">
        <v>4.46</v>
      </c>
      <c r="D144" s="24" t="s">
        <v>776</v>
      </c>
      <c r="E144" s="24" t="s">
        <v>777</v>
      </c>
      <c r="F144" s="21">
        <v>3</v>
      </c>
      <c r="G144" s="24" t="s">
        <v>776</v>
      </c>
      <c r="H144" s="24" t="s">
        <v>778</v>
      </c>
      <c r="I144" s="26">
        <v>105.5762331838565</v>
      </c>
      <c r="J144" s="22">
        <v>-0.31195111293272337</v>
      </c>
    </row>
    <row r="145" spans="1:10" x14ac:dyDescent="0.35">
      <c r="A145" s="24" t="s">
        <v>295</v>
      </c>
      <c r="B145" s="21">
        <v>6</v>
      </c>
      <c r="C145" s="25">
        <v>3.66</v>
      </c>
      <c r="D145" s="24" t="s">
        <v>776</v>
      </c>
      <c r="E145" s="24" t="s">
        <v>778</v>
      </c>
      <c r="F145" s="21">
        <v>1</v>
      </c>
      <c r="G145" s="24" t="s">
        <v>776</v>
      </c>
      <c r="H145" s="24" t="s">
        <v>777</v>
      </c>
      <c r="I145" s="26">
        <v>148.75956284153011</v>
      </c>
      <c r="J145" s="22">
        <v>0.36750912307373862</v>
      </c>
    </row>
    <row r="146" spans="1:10" x14ac:dyDescent="0.35">
      <c r="A146" s="24" t="s">
        <v>296</v>
      </c>
      <c r="B146" s="21">
        <v>6</v>
      </c>
      <c r="C146" s="25">
        <v>2.14</v>
      </c>
      <c r="D146" s="24" t="s">
        <v>776</v>
      </c>
      <c r="E146" s="24" t="s">
        <v>777</v>
      </c>
      <c r="F146" s="21">
        <v>3</v>
      </c>
      <c r="G146" s="24" t="s">
        <v>776</v>
      </c>
      <c r="H146" s="24" t="s">
        <v>777</v>
      </c>
      <c r="I146" s="26">
        <v>123.2429906542056</v>
      </c>
      <c r="J146" s="22">
        <v>3.0375415879220439E-2</v>
      </c>
    </row>
    <row r="147" spans="1:10" x14ac:dyDescent="0.35">
      <c r="A147" s="24" t="s">
        <v>297</v>
      </c>
      <c r="B147" s="21">
        <v>6</v>
      </c>
      <c r="C147" s="25">
        <v>1.55</v>
      </c>
      <c r="D147" s="24" t="s">
        <v>776</v>
      </c>
      <c r="E147" s="24" t="s">
        <v>778</v>
      </c>
      <c r="F147" s="21">
        <v>1</v>
      </c>
      <c r="G147" s="24" t="s">
        <v>776</v>
      </c>
      <c r="H147" s="24" t="s">
        <v>777</v>
      </c>
      <c r="I147" s="26">
        <v>143</v>
      </c>
      <c r="J147" s="22">
        <v>4.9308364236208213E-2</v>
      </c>
    </row>
    <row r="148" spans="1:10" x14ac:dyDescent="0.35">
      <c r="A148" s="24" t="s">
        <v>299</v>
      </c>
      <c r="B148" s="21">
        <v>3</v>
      </c>
      <c r="C148" s="25">
        <v>6.12</v>
      </c>
      <c r="D148" s="24" t="s">
        <v>776</v>
      </c>
      <c r="E148" s="24" t="s">
        <v>777</v>
      </c>
      <c r="F148" s="21">
        <v>3</v>
      </c>
      <c r="G148" s="24" t="s">
        <v>776</v>
      </c>
      <c r="H148" s="24" t="s">
        <v>777</v>
      </c>
      <c r="I148" s="26">
        <v>104.92156862745099</v>
      </c>
      <c r="J148" s="22">
        <v>3.0140639743422071E-2</v>
      </c>
    </row>
    <row r="149" spans="1:10" x14ac:dyDescent="0.35">
      <c r="A149" s="24" t="s">
        <v>300</v>
      </c>
      <c r="B149" s="21">
        <v>3</v>
      </c>
      <c r="C149" s="25">
        <v>0.23</v>
      </c>
      <c r="D149" s="24" t="s">
        <v>776</v>
      </c>
      <c r="E149" s="24" t="s">
        <v>777</v>
      </c>
      <c r="F149" s="21">
        <v>3</v>
      </c>
      <c r="G149" s="24" t="s">
        <v>776</v>
      </c>
      <c r="H149" s="24" t="s">
        <v>778</v>
      </c>
      <c r="I149" s="26">
        <v>144.78260869565219</v>
      </c>
      <c r="J149" s="22">
        <v>0.42445813636399432</v>
      </c>
    </row>
    <row r="150" spans="1:10" x14ac:dyDescent="0.35">
      <c r="A150" s="24" t="s">
        <v>302</v>
      </c>
      <c r="B150" s="21">
        <v>6</v>
      </c>
      <c r="C150" s="25">
        <v>4.0199999999999996</v>
      </c>
      <c r="D150" s="24" t="s">
        <v>776</v>
      </c>
      <c r="E150" s="24" t="s">
        <v>777</v>
      </c>
      <c r="F150" s="21">
        <v>3</v>
      </c>
      <c r="G150" s="24" t="s">
        <v>776</v>
      </c>
      <c r="H150" s="24" t="s">
        <v>777</v>
      </c>
      <c r="I150" s="26">
        <v>116.4253731343284</v>
      </c>
      <c r="J150" s="22">
        <v>7.8270088080846012E-2</v>
      </c>
    </row>
    <row r="151" spans="1:10" x14ac:dyDescent="0.35">
      <c r="A151" s="24" t="s">
        <v>303</v>
      </c>
      <c r="B151" s="21">
        <v>3</v>
      </c>
      <c r="C151" s="25">
        <v>8.85</v>
      </c>
      <c r="D151" s="24" t="s">
        <v>776</v>
      </c>
      <c r="E151" s="24" t="s">
        <v>777</v>
      </c>
      <c r="F151" s="21">
        <v>3</v>
      </c>
      <c r="G151" s="24" t="s">
        <v>776</v>
      </c>
      <c r="H151" s="24" t="s">
        <v>777</v>
      </c>
      <c r="I151" s="26">
        <v>110.7728813559322</v>
      </c>
      <c r="J151" s="22">
        <v>-0.14322190018142231</v>
      </c>
    </row>
    <row r="152" spans="1:10" x14ac:dyDescent="0.35">
      <c r="A152" s="24" t="s">
        <v>428</v>
      </c>
      <c r="B152" s="21">
        <v>8</v>
      </c>
      <c r="C152" s="25">
        <v>1.32</v>
      </c>
      <c r="D152" s="24" t="s">
        <v>776</v>
      </c>
      <c r="E152" s="24" t="s">
        <v>778</v>
      </c>
      <c r="F152" s="21">
        <v>1</v>
      </c>
      <c r="G152" s="24" t="s">
        <v>776</v>
      </c>
      <c r="H152" s="24" t="s">
        <v>777</v>
      </c>
      <c r="I152" s="26">
        <v>144.3787878787879</v>
      </c>
      <c r="J152" s="22">
        <v>8.6142557483314119E-2</v>
      </c>
    </row>
    <row r="153" spans="1:10" x14ac:dyDescent="0.35">
      <c r="A153" s="24" t="s">
        <v>429</v>
      </c>
      <c r="B153" s="21">
        <v>8</v>
      </c>
      <c r="C153" s="25">
        <v>1.19</v>
      </c>
      <c r="D153" s="24" t="s">
        <v>776</v>
      </c>
      <c r="E153" s="24" t="s">
        <v>778</v>
      </c>
      <c r="F153" s="21">
        <v>1</v>
      </c>
      <c r="G153" s="24" t="s">
        <v>776</v>
      </c>
      <c r="H153" s="24" t="s">
        <v>777</v>
      </c>
      <c r="I153" s="26">
        <v>85.361344537815128</v>
      </c>
      <c r="J153" s="22">
        <v>-0.18538083003731909</v>
      </c>
    </row>
    <row r="154" spans="1:10" x14ac:dyDescent="0.35">
      <c r="A154" s="24" t="s">
        <v>304</v>
      </c>
      <c r="B154" s="21">
        <v>6</v>
      </c>
      <c r="C154" s="25">
        <v>8.9600000000000009</v>
      </c>
      <c r="D154" s="24" t="s">
        <v>776</v>
      </c>
      <c r="E154" s="24" t="s">
        <v>778</v>
      </c>
      <c r="F154" s="21">
        <v>1</v>
      </c>
      <c r="G154" s="24" t="s">
        <v>776</v>
      </c>
      <c r="H154" s="24" t="s">
        <v>777</v>
      </c>
      <c r="I154" s="26">
        <v>119.0859375</v>
      </c>
      <c r="J154" s="22">
        <v>-1.3962247135284041E-3</v>
      </c>
    </row>
    <row r="155" spans="1:10" x14ac:dyDescent="0.35">
      <c r="A155" s="24" t="s">
        <v>305</v>
      </c>
      <c r="B155" s="21">
        <v>6</v>
      </c>
      <c r="C155" s="25">
        <v>5.93</v>
      </c>
      <c r="D155" s="24" t="s">
        <v>776</v>
      </c>
      <c r="E155" s="24" t="s">
        <v>777</v>
      </c>
      <c r="F155" s="21">
        <v>3</v>
      </c>
      <c r="G155" s="24" t="s">
        <v>776</v>
      </c>
      <c r="H155" s="24" t="s">
        <v>777</v>
      </c>
      <c r="I155" s="26">
        <v>132.60370994940979</v>
      </c>
      <c r="J155" s="22">
        <v>8.3423114211056415E-4</v>
      </c>
    </row>
    <row r="156" spans="1:10" x14ac:dyDescent="0.35">
      <c r="A156" s="24" t="s">
        <v>309</v>
      </c>
      <c r="B156" s="21">
        <v>7</v>
      </c>
      <c r="C156" s="25">
        <v>4.59</v>
      </c>
      <c r="D156" s="24" t="s">
        <v>776</v>
      </c>
      <c r="E156" s="24" t="s">
        <v>778</v>
      </c>
      <c r="F156" s="21">
        <v>1</v>
      </c>
      <c r="G156" s="24" t="s">
        <v>776</v>
      </c>
      <c r="H156" s="24" t="s">
        <v>778</v>
      </c>
      <c r="I156" s="26">
        <v>109.77559912854031</v>
      </c>
      <c r="J156" s="22">
        <v>-3.4803495812724017E-2</v>
      </c>
    </row>
    <row r="157" spans="1:10" x14ac:dyDescent="0.35">
      <c r="A157" s="24" t="s">
        <v>310</v>
      </c>
      <c r="B157" s="21">
        <v>5</v>
      </c>
      <c r="C157" s="25">
        <v>8.81</v>
      </c>
      <c r="D157" s="24" t="s">
        <v>776</v>
      </c>
      <c r="E157" s="24" t="s">
        <v>778</v>
      </c>
      <c r="F157" s="21">
        <v>1</v>
      </c>
      <c r="G157" s="24" t="s">
        <v>776</v>
      </c>
      <c r="H157" s="24" t="s">
        <v>778</v>
      </c>
      <c r="I157" s="26">
        <v>84.362088535754822</v>
      </c>
      <c r="J157" s="22">
        <v>-6.8398850444011172E-2</v>
      </c>
    </row>
    <row r="158" spans="1:10" x14ac:dyDescent="0.35">
      <c r="A158" s="24" t="s">
        <v>311</v>
      </c>
      <c r="B158" s="21">
        <v>5</v>
      </c>
      <c r="C158" s="25">
        <v>11.25</v>
      </c>
      <c r="D158" s="24" t="s">
        <v>776</v>
      </c>
      <c r="E158" s="24" t="s">
        <v>778</v>
      </c>
      <c r="F158" s="21">
        <v>1</v>
      </c>
      <c r="G158" s="24" t="s">
        <v>776</v>
      </c>
      <c r="H158" s="24" t="s">
        <v>778</v>
      </c>
      <c r="I158" s="26">
        <v>97.227555555555554</v>
      </c>
      <c r="J158" s="22">
        <v>8.5932972082854775E-2</v>
      </c>
    </row>
    <row r="159" spans="1:10" x14ac:dyDescent="0.35">
      <c r="A159" s="24" t="s">
        <v>430</v>
      </c>
      <c r="B159" s="21">
        <v>6</v>
      </c>
      <c r="C159" s="25">
        <v>15.59</v>
      </c>
      <c r="D159" s="24" t="s">
        <v>776</v>
      </c>
      <c r="E159" s="24" t="s">
        <v>778</v>
      </c>
      <c r="F159" s="21">
        <v>1</v>
      </c>
      <c r="G159" s="24" t="s">
        <v>776</v>
      </c>
      <c r="H159" s="24" t="s">
        <v>778</v>
      </c>
      <c r="I159" s="26">
        <v>114.3014753046825</v>
      </c>
      <c r="J159" s="22">
        <v>-5.425463356269733E-2</v>
      </c>
    </row>
    <row r="160" spans="1:10" x14ac:dyDescent="0.35">
      <c r="A160" s="24" t="s">
        <v>312</v>
      </c>
      <c r="B160" s="21">
        <v>7</v>
      </c>
      <c r="C160" s="25">
        <v>11.96</v>
      </c>
      <c r="D160" s="24" t="s">
        <v>776</v>
      </c>
      <c r="E160" s="24" t="s">
        <v>778</v>
      </c>
      <c r="F160" s="21">
        <v>1</v>
      </c>
      <c r="G160" s="24" t="s">
        <v>776</v>
      </c>
      <c r="H160" s="24" t="s">
        <v>778</v>
      </c>
      <c r="I160" s="26">
        <v>153.88712374581939</v>
      </c>
      <c r="J160" s="22">
        <v>0.34952905849614518</v>
      </c>
    </row>
    <row r="161" spans="1:10" x14ac:dyDescent="0.35">
      <c r="A161" s="24" t="s">
        <v>431</v>
      </c>
      <c r="B161" s="21">
        <v>6</v>
      </c>
      <c r="C161" s="25">
        <v>6.03</v>
      </c>
      <c r="D161" s="24" t="s">
        <v>776</v>
      </c>
      <c r="E161" s="24" t="s">
        <v>778</v>
      </c>
      <c r="F161" s="21">
        <v>1</v>
      </c>
      <c r="G161" s="24" t="s">
        <v>776</v>
      </c>
      <c r="H161" s="24" t="s">
        <v>778</v>
      </c>
      <c r="I161" s="26">
        <v>113.5157545605307</v>
      </c>
      <c r="J161" s="22">
        <v>-4.5960954670597909E-2</v>
      </c>
    </row>
    <row r="162" spans="1:10" x14ac:dyDescent="0.35">
      <c r="A162" s="24" t="s">
        <v>535</v>
      </c>
      <c r="B162" s="21">
        <v>4</v>
      </c>
      <c r="C162" s="25">
        <v>5.01</v>
      </c>
      <c r="D162" s="24" t="s">
        <v>776</v>
      </c>
      <c r="E162" s="24" t="s">
        <v>777</v>
      </c>
      <c r="F162" s="21">
        <v>3</v>
      </c>
      <c r="G162" s="24" t="s">
        <v>776</v>
      </c>
      <c r="H162" s="24" t="s">
        <v>778</v>
      </c>
      <c r="I162" s="26">
        <v>145.88622754491021</v>
      </c>
      <c r="J162" s="22">
        <v>0.76193944287533544</v>
      </c>
    </row>
    <row r="163" spans="1:10" x14ac:dyDescent="0.35">
      <c r="A163" s="24" t="s">
        <v>578</v>
      </c>
      <c r="B163" s="21">
        <v>8</v>
      </c>
      <c r="C163" s="25">
        <v>5.75</v>
      </c>
      <c r="D163" s="24" t="s">
        <v>776</v>
      </c>
      <c r="E163" s="24" t="s">
        <v>778</v>
      </c>
      <c r="F163" s="21">
        <v>1</v>
      </c>
      <c r="G163" s="24" t="s">
        <v>776</v>
      </c>
      <c r="H163" s="24" t="s">
        <v>778</v>
      </c>
      <c r="I163" s="26">
        <v>130.84869565217389</v>
      </c>
      <c r="J163" s="22">
        <v>0.51253535831026364</v>
      </c>
    </row>
    <row r="164" spans="1:10" x14ac:dyDescent="0.35">
      <c r="A164" s="24" t="s">
        <v>316</v>
      </c>
      <c r="B164" s="21">
        <v>7</v>
      </c>
      <c r="C164" s="25">
        <v>9.89</v>
      </c>
      <c r="D164" s="24" t="s">
        <v>776</v>
      </c>
      <c r="E164" s="24" t="s">
        <v>778</v>
      </c>
      <c r="F164" s="21">
        <v>1</v>
      </c>
      <c r="G164" s="24" t="s">
        <v>776</v>
      </c>
      <c r="H164" s="24" t="s">
        <v>778</v>
      </c>
      <c r="I164" s="26">
        <v>108.6137512639029</v>
      </c>
      <c r="J164" s="22">
        <v>2.6056287546859961E-2</v>
      </c>
    </row>
    <row r="165" spans="1:10" x14ac:dyDescent="0.35">
      <c r="A165" s="24" t="s">
        <v>601</v>
      </c>
      <c r="B165" s="21">
        <v>7</v>
      </c>
      <c r="C165" s="25">
        <v>5.9</v>
      </c>
      <c r="D165" s="24" t="s">
        <v>776</v>
      </c>
      <c r="E165" s="24" t="s">
        <v>777</v>
      </c>
      <c r="F165" s="21">
        <v>3</v>
      </c>
      <c r="G165" s="24" t="s">
        <v>776</v>
      </c>
      <c r="H165" s="24" t="s">
        <v>778</v>
      </c>
      <c r="I165" s="26">
        <v>131.62203389830509</v>
      </c>
      <c r="J165" s="22">
        <v>0.1591774486001567</v>
      </c>
    </row>
    <row r="166" spans="1:10" x14ac:dyDescent="0.35">
      <c r="A166" s="24" t="s">
        <v>317</v>
      </c>
      <c r="B166" s="21">
        <v>7</v>
      </c>
      <c r="C166" s="25">
        <v>5.84</v>
      </c>
      <c r="D166" s="24" t="s">
        <v>776</v>
      </c>
      <c r="E166" s="24" t="s">
        <v>778</v>
      </c>
      <c r="F166" s="21">
        <v>1</v>
      </c>
      <c r="G166" s="24" t="s">
        <v>776</v>
      </c>
      <c r="H166" s="24" t="s">
        <v>778</v>
      </c>
      <c r="I166" s="26">
        <v>112.74486301369861</v>
      </c>
      <c r="J166" s="22">
        <v>0.1127310725383632</v>
      </c>
    </row>
    <row r="167" spans="1:10" x14ac:dyDescent="0.35">
      <c r="A167" s="24" t="s">
        <v>318</v>
      </c>
      <c r="B167" s="21">
        <v>7</v>
      </c>
      <c r="C167" s="25">
        <v>12.19</v>
      </c>
      <c r="D167" s="24" t="s">
        <v>776</v>
      </c>
      <c r="E167" s="24" t="s">
        <v>777</v>
      </c>
      <c r="F167" s="21">
        <v>3</v>
      </c>
      <c r="G167" s="24" t="s">
        <v>776</v>
      </c>
      <c r="H167" s="24" t="s">
        <v>777</v>
      </c>
      <c r="I167" s="26">
        <v>108.9926168990976</v>
      </c>
      <c r="J167" s="22">
        <v>0.15412258771761089</v>
      </c>
    </row>
    <row r="168" spans="1:10" x14ac:dyDescent="0.35">
      <c r="A168" s="24" t="s">
        <v>319</v>
      </c>
      <c r="B168" s="21">
        <v>7</v>
      </c>
      <c r="C168" s="25">
        <v>3.71</v>
      </c>
      <c r="D168" s="24" t="s">
        <v>776</v>
      </c>
      <c r="E168" s="24" t="s">
        <v>778</v>
      </c>
      <c r="F168" s="21">
        <v>1</v>
      </c>
      <c r="G168" s="24" t="s">
        <v>776</v>
      </c>
      <c r="H168" s="24" t="s">
        <v>778</v>
      </c>
      <c r="I168" s="26">
        <v>126.8140161725067</v>
      </c>
      <c r="J168" s="22">
        <v>0.19156142280324051</v>
      </c>
    </row>
    <row r="169" spans="1:10" x14ac:dyDescent="0.35">
      <c r="A169" s="24" t="s">
        <v>320</v>
      </c>
      <c r="B169" s="21">
        <v>8</v>
      </c>
      <c r="C169" s="25">
        <v>3.98</v>
      </c>
      <c r="D169" s="24" t="s">
        <v>776</v>
      </c>
      <c r="E169" s="24" t="s">
        <v>777</v>
      </c>
      <c r="F169" s="21">
        <v>3</v>
      </c>
      <c r="G169" s="24" t="s">
        <v>776</v>
      </c>
      <c r="H169" s="24" t="s">
        <v>777</v>
      </c>
      <c r="I169" s="26">
        <v>87.288944723618101</v>
      </c>
      <c r="J169" s="22">
        <v>-0.1849600010355851</v>
      </c>
    </row>
    <row r="170" spans="1:10" x14ac:dyDescent="0.35">
      <c r="A170" s="24" t="s">
        <v>321</v>
      </c>
      <c r="B170" s="21">
        <v>7</v>
      </c>
      <c r="C170" s="25">
        <v>2.35</v>
      </c>
      <c r="D170" s="24" t="s">
        <v>776</v>
      </c>
      <c r="E170" s="24" t="s">
        <v>778</v>
      </c>
      <c r="F170" s="21">
        <v>1</v>
      </c>
      <c r="G170" s="24" t="s">
        <v>776</v>
      </c>
      <c r="H170" s="24" t="s">
        <v>778</v>
      </c>
      <c r="I170" s="26">
        <v>100.1276595744681</v>
      </c>
      <c r="J170" s="22">
        <v>-0.39057239057239052</v>
      </c>
    </row>
    <row r="171" spans="1:10" x14ac:dyDescent="0.35">
      <c r="A171" s="24" t="s">
        <v>322</v>
      </c>
      <c r="B171" s="21">
        <v>8</v>
      </c>
      <c r="C171" s="25">
        <v>2.68</v>
      </c>
      <c r="D171" s="24" t="s">
        <v>776</v>
      </c>
      <c r="E171" s="24" t="s">
        <v>777</v>
      </c>
      <c r="F171" s="21">
        <v>3</v>
      </c>
      <c r="G171" s="24" t="s">
        <v>776</v>
      </c>
      <c r="H171" s="24" t="s">
        <v>777</v>
      </c>
      <c r="I171" s="26">
        <v>78.242537313432834</v>
      </c>
      <c r="J171" s="22">
        <v>-0.1741506530578362</v>
      </c>
    </row>
    <row r="172" spans="1:10" x14ac:dyDescent="0.35">
      <c r="A172" s="24" t="s">
        <v>323</v>
      </c>
      <c r="B172" s="21">
        <v>8</v>
      </c>
      <c r="C172" s="25">
        <v>13.47</v>
      </c>
      <c r="D172" s="24" t="s">
        <v>776</v>
      </c>
      <c r="E172" s="24" t="s">
        <v>778</v>
      </c>
      <c r="F172" s="21">
        <v>1</v>
      </c>
      <c r="G172" s="24" t="s">
        <v>776</v>
      </c>
      <c r="H172" s="24" t="s">
        <v>777</v>
      </c>
      <c r="I172" s="26">
        <v>124.2576095025984</v>
      </c>
      <c r="J172" s="22">
        <v>-8.6852484467661362E-2</v>
      </c>
    </row>
    <row r="173" spans="1:10" x14ac:dyDescent="0.35">
      <c r="A173" s="24" t="s">
        <v>324</v>
      </c>
      <c r="B173" s="21">
        <v>7</v>
      </c>
      <c r="C173" s="25">
        <v>29.4</v>
      </c>
      <c r="D173" s="24" t="s">
        <v>776</v>
      </c>
      <c r="E173" s="24" t="s">
        <v>778</v>
      </c>
      <c r="F173" s="21">
        <v>1</v>
      </c>
      <c r="G173" s="24" t="s">
        <v>776</v>
      </c>
      <c r="H173" s="24" t="s">
        <v>778</v>
      </c>
      <c r="I173" s="26">
        <v>117.35748299319729</v>
      </c>
      <c r="J173" s="22">
        <v>-0.1195657864606223</v>
      </c>
    </row>
    <row r="174" spans="1:10" x14ac:dyDescent="0.35">
      <c r="A174" s="24" t="s">
        <v>325</v>
      </c>
      <c r="B174" s="21">
        <v>8</v>
      </c>
      <c r="C174" s="25">
        <v>15.65</v>
      </c>
      <c r="D174" s="24" t="s">
        <v>776</v>
      </c>
      <c r="E174" s="24" t="s">
        <v>777</v>
      </c>
      <c r="F174" s="21">
        <v>3</v>
      </c>
      <c r="G174" s="24" t="s">
        <v>776</v>
      </c>
      <c r="H174" s="24" t="s">
        <v>778</v>
      </c>
      <c r="I174" s="26">
        <v>125.5424920127795</v>
      </c>
      <c r="J174" s="22">
        <v>1.253571816723942E-2</v>
      </c>
    </row>
    <row r="175" spans="1:10" x14ac:dyDescent="0.35">
      <c r="A175" s="24" t="s">
        <v>325</v>
      </c>
      <c r="B175" s="21">
        <v>8</v>
      </c>
      <c r="C175" s="25">
        <v>15.65</v>
      </c>
      <c r="D175" s="24" t="s">
        <v>776</v>
      </c>
      <c r="E175" s="24" t="s">
        <v>777</v>
      </c>
      <c r="F175" s="21">
        <v>3</v>
      </c>
      <c r="G175" s="24" t="s">
        <v>776</v>
      </c>
      <c r="H175" s="24" t="s">
        <v>777</v>
      </c>
      <c r="I175" s="26">
        <v>125.5424920127795</v>
      </c>
      <c r="J175" s="22">
        <v>1.253571816723942E-2</v>
      </c>
    </row>
    <row r="176" spans="1:10" x14ac:dyDescent="0.35">
      <c r="A176" s="24" t="s">
        <v>326</v>
      </c>
      <c r="B176" s="21">
        <v>8</v>
      </c>
      <c r="C176" s="25">
        <v>15.12</v>
      </c>
      <c r="D176" s="24" t="s">
        <v>776</v>
      </c>
      <c r="E176" s="24" t="s">
        <v>778</v>
      </c>
      <c r="F176" s="21">
        <v>1</v>
      </c>
      <c r="G176" s="24" t="s">
        <v>776</v>
      </c>
      <c r="H176" s="24" t="s">
        <v>778</v>
      </c>
      <c r="I176" s="26">
        <v>127.3214285714286</v>
      </c>
      <c r="J176" s="22">
        <v>-0.17232237151333199</v>
      </c>
    </row>
    <row r="177" spans="1:10" x14ac:dyDescent="0.35">
      <c r="A177" s="24" t="s">
        <v>327</v>
      </c>
      <c r="B177" s="21">
        <v>8</v>
      </c>
      <c r="C177" s="25">
        <v>15.99</v>
      </c>
      <c r="D177" s="24" t="s">
        <v>776</v>
      </c>
      <c r="E177" s="24" t="s">
        <v>778</v>
      </c>
      <c r="F177" s="21">
        <v>1</v>
      </c>
      <c r="G177" s="24" t="s">
        <v>776</v>
      </c>
      <c r="H177" s="24" t="s">
        <v>778</v>
      </c>
      <c r="I177" s="26">
        <v>123.9962476547842</v>
      </c>
      <c r="J177" s="22">
        <v>-0.125042859342676</v>
      </c>
    </row>
    <row r="178" spans="1:10" x14ac:dyDescent="0.35">
      <c r="A178" s="24" t="s">
        <v>328</v>
      </c>
      <c r="B178" s="21">
        <v>5</v>
      </c>
      <c r="C178" s="25">
        <v>19.38</v>
      </c>
      <c r="D178" s="24" t="s">
        <v>776</v>
      </c>
      <c r="E178" s="24" t="s">
        <v>777</v>
      </c>
      <c r="F178" s="21">
        <v>3</v>
      </c>
      <c r="G178" s="24" t="s">
        <v>776</v>
      </c>
      <c r="H178" s="24" t="s">
        <v>777</v>
      </c>
      <c r="I178" s="26">
        <v>122.015479876161</v>
      </c>
      <c r="J178" s="22">
        <v>-6.1028897708703678E-2</v>
      </c>
    </row>
    <row r="179" spans="1:10" x14ac:dyDescent="0.35">
      <c r="A179" s="24" t="s">
        <v>432</v>
      </c>
      <c r="B179" s="21">
        <v>2</v>
      </c>
      <c r="C179" s="25">
        <v>1.62</v>
      </c>
      <c r="D179" s="24" t="s">
        <v>776</v>
      </c>
      <c r="E179" s="24" t="s">
        <v>778</v>
      </c>
      <c r="F179" s="21">
        <v>1</v>
      </c>
      <c r="G179" s="24" t="s">
        <v>776</v>
      </c>
      <c r="H179" s="24" t="s">
        <v>778</v>
      </c>
      <c r="I179" s="26">
        <v>110.0864197530864</v>
      </c>
      <c r="J179" s="22">
        <v>2.1563344533924719E-2</v>
      </c>
    </row>
    <row r="180" spans="1:10" x14ac:dyDescent="0.35">
      <c r="A180" s="24" t="s">
        <v>433</v>
      </c>
      <c r="B180" s="21">
        <v>3</v>
      </c>
      <c r="C180" s="25">
        <v>5.07</v>
      </c>
      <c r="D180" s="24" t="s">
        <v>776</v>
      </c>
      <c r="E180" s="24" t="s">
        <v>777</v>
      </c>
      <c r="F180" s="21">
        <v>3</v>
      </c>
      <c r="G180" s="24" t="s">
        <v>776</v>
      </c>
      <c r="H180" s="24" t="s">
        <v>777</v>
      </c>
      <c r="I180" s="26">
        <v>103.72189349112421</v>
      </c>
      <c r="J180" s="22">
        <v>4.0851280027593972E-3</v>
      </c>
    </row>
    <row r="181" spans="1:10" x14ac:dyDescent="0.35">
      <c r="A181" s="24" t="s">
        <v>330</v>
      </c>
      <c r="B181" s="21">
        <v>7</v>
      </c>
      <c r="C181" s="25">
        <v>8.4499999999999993</v>
      </c>
      <c r="D181" s="24" t="s">
        <v>776</v>
      </c>
      <c r="E181" s="24" t="s">
        <v>778</v>
      </c>
      <c r="F181" s="21">
        <v>1</v>
      </c>
      <c r="G181" s="24" t="s">
        <v>776</v>
      </c>
      <c r="H181" s="24" t="s">
        <v>778</v>
      </c>
      <c r="I181" s="26">
        <v>89.04378698224852</v>
      </c>
      <c r="J181" s="22">
        <v>-0.22125933805888201</v>
      </c>
    </row>
    <row r="182" spans="1:10" x14ac:dyDescent="0.35">
      <c r="A182" s="24" t="s">
        <v>436</v>
      </c>
      <c r="B182" s="21">
        <v>6</v>
      </c>
      <c r="C182" s="25">
        <v>2.46</v>
      </c>
      <c r="D182" s="24" t="s">
        <v>776</v>
      </c>
      <c r="E182" s="24" t="s">
        <v>778</v>
      </c>
      <c r="F182" s="21">
        <v>1</v>
      </c>
      <c r="G182" s="24" t="s">
        <v>776</v>
      </c>
      <c r="H182" s="24" t="s">
        <v>778</v>
      </c>
      <c r="I182" s="26">
        <v>107.1422764227642</v>
      </c>
      <c r="J182" s="22">
        <v>0.1247341235605479</v>
      </c>
    </row>
    <row r="183" spans="1:10" x14ac:dyDescent="0.35">
      <c r="A183" s="24" t="s">
        <v>331</v>
      </c>
      <c r="B183" s="21">
        <v>4</v>
      </c>
      <c r="C183" s="25">
        <v>5.59</v>
      </c>
      <c r="D183" s="24" t="s">
        <v>776</v>
      </c>
      <c r="E183" s="24" t="s">
        <v>778</v>
      </c>
      <c r="F183" s="21">
        <v>1</v>
      </c>
      <c r="G183" s="24" t="s">
        <v>776</v>
      </c>
      <c r="H183" s="24" t="s">
        <v>777</v>
      </c>
      <c r="I183" s="26">
        <v>110.9874776386404</v>
      </c>
      <c r="J183" s="22">
        <v>-9.8080471279533343E-2</v>
      </c>
    </row>
    <row r="184" spans="1:10" x14ac:dyDescent="0.35">
      <c r="A184" s="24" t="s">
        <v>332</v>
      </c>
      <c r="B184" s="21">
        <v>6</v>
      </c>
      <c r="C184" s="25">
        <v>3.74</v>
      </c>
      <c r="D184" s="24" t="s">
        <v>776</v>
      </c>
      <c r="E184" s="24" t="s">
        <v>778</v>
      </c>
      <c r="F184" s="21">
        <v>1</v>
      </c>
      <c r="G184" s="24" t="s">
        <v>776</v>
      </c>
      <c r="H184" s="24" t="s">
        <v>777</v>
      </c>
      <c r="I184" s="26">
        <v>113.8155080213904</v>
      </c>
      <c r="J184" s="22">
        <v>-0.15896417423044429</v>
      </c>
    </row>
    <row r="185" spans="1:10" x14ac:dyDescent="0.35">
      <c r="A185" s="24" t="s">
        <v>105</v>
      </c>
      <c r="B185" s="21">
        <v>7</v>
      </c>
      <c r="C185" s="25">
        <v>13.15</v>
      </c>
      <c r="D185" s="24" t="s">
        <v>776</v>
      </c>
      <c r="E185" s="24" t="s">
        <v>778</v>
      </c>
      <c r="F185" s="21">
        <v>1</v>
      </c>
      <c r="G185" s="24" t="s">
        <v>776</v>
      </c>
      <c r="H185" s="24" t="s">
        <v>778</v>
      </c>
      <c r="I185" s="26">
        <v>80.054752851711029</v>
      </c>
      <c r="J185" s="22">
        <v>-0.34346843399123889</v>
      </c>
    </row>
    <row r="186" spans="1:10" x14ac:dyDescent="0.35">
      <c r="A186" s="24" t="s">
        <v>437</v>
      </c>
      <c r="B186" s="21">
        <v>7</v>
      </c>
      <c r="C186" s="25">
        <v>8.6300000000000008</v>
      </c>
      <c r="D186" s="24" t="s">
        <v>776</v>
      </c>
      <c r="E186" s="24" t="s">
        <v>778</v>
      </c>
      <c r="F186" s="21">
        <v>1</v>
      </c>
      <c r="G186" s="24" t="s">
        <v>776</v>
      </c>
      <c r="H186" s="24" t="s">
        <v>778</v>
      </c>
      <c r="I186" s="26">
        <v>91.414831981460011</v>
      </c>
      <c r="J186" s="22">
        <v>-0.22918275150333769</v>
      </c>
    </row>
    <row r="187" spans="1:10" x14ac:dyDescent="0.35">
      <c r="A187" s="24" t="s">
        <v>333</v>
      </c>
      <c r="B187" s="21">
        <v>7</v>
      </c>
      <c r="C187" s="25">
        <v>5.6</v>
      </c>
      <c r="D187" s="24" t="s">
        <v>776</v>
      </c>
      <c r="E187" s="24" t="s">
        <v>778</v>
      </c>
      <c r="F187" s="21">
        <v>1</v>
      </c>
      <c r="G187" s="24" t="s">
        <v>776</v>
      </c>
      <c r="H187" s="24" t="s">
        <v>778</v>
      </c>
      <c r="I187" s="26">
        <v>124.5446428571429</v>
      </c>
      <c r="J187" s="22">
        <v>0.1027719364963313</v>
      </c>
    </row>
    <row r="188" spans="1:10" x14ac:dyDescent="0.35">
      <c r="A188" s="24" t="s">
        <v>438</v>
      </c>
      <c r="B188" s="21">
        <v>6</v>
      </c>
      <c r="C188" s="25">
        <v>8.4</v>
      </c>
      <c r="D188" s="24" t="s">
        <v>776</v>
      </c>
      <c r="E188" s="24" t="s">
        <v>777</v>
      </c>
      <c r="F188" s="21">
        <v>3</v>
      </c>
      <c r="G188" s="24" t="s">
        <v>776</v>
      </c>
      <c r="H188" s="24" t="s">
        <v>778</v>
      </c>
      <c r="I188" s="26">
        <v>98.108333333333334</v>
      </c>
      <c r="J188" s="22">
        <v>-0.19671124454148459</v>
      </c>
    </row>
    <row r="189" spans="1:10" x14ac:dyDescent="0.35">
      <c r="A189" s="24" t="s">
        <v>335</v>
      </c>
      <c r="B189" s="21">
        <v>8</v>
      </c>
      <c r="C189" s="25">
        <v>6.25</v>
      </c>
      <c r="D189" s="24" t="s">
        <v>776</v>
      </c>
      <c r="E189" s="24" t="s">
        <v>777</v>
      </c>
      <c r="F189" s="21">
        <v>3</v>
      </c>
      <c r="G189" s="24" t="s">
        <v>776</v>
      </c>
      <c r="H189" s="24" t="s">
        <v>778</v>
      </c>
      <c r="I189" s="26">
        <v>104.1024</v>
      </c>
      <c r="J189" s="22">
        <v>-0.1260155389308644</v>
      </c>
    </row>
    <row r="190" spans="1:10" x14ac:dyDescent="0.35">
      <c r="A190" s="24" t="s">
        <v>337</v>
      </c>
      <c r="B190" s="21">
        <v>3</v>
      </c>
      <c r="C190" s="25">
        <v>5.48</v>
      </c>
      <c r="D190" s="24" t="s">
        <v>776</v>
      </c>
      <c r="E190" s="24" t="s">
        <v>778</v>
      </c>
      <c r="F190" s="21">
        <v>1</v>
      </c>
      <c r="G190" s="24" t="s">
        <v>776</v>
      </c>
      <c r="H190" s="24" t="s">
        <v>778</v>
      </c>
      <c r="I190" s="26">
        <v>96.59306569343066</v>
      </c>
      <c r="J190" s="22">
        <v>-0.11944026904541639</v>
      </c>
    </row>
    <row r="191" spans="1:10" x14ac:dyDescent="0.35">
      <c r="A191" s="24" t="s">
        <v>107</v>
      </c>
      <c r="B191" s="21">
        <v>8</v>
      </c>
      <c r="C191" s="25">
        <v>1.3</v>
      </c>
      <c r="D191" s="24" t="s">
        <v>776</v>
      </c>
      <c r="E191" s="24" t="s">
        <v>777</v>
      </c>
      <c r="F191" s="21">
        <v>3</v>
      </c>
      <c r="G191" s="24" t="s">
        <v>776</v>
      </c>
      <c r="H191" s="24" t="s">
        <v>777</v>
      </c>
      <c r="I191" s="26">
        <v>118.5615384615384</v>
      </c>
      <c r="J191" s="22">
        <v>0.22910075366288951</v>
      </c>
    </row>
    <row r="192" spans="1:10" x14ac:dyDescent="0.35">
      <c r="A192" s="24" t="s">
        <v>339</v>
      </c>
      <c r="B192" s="21">
        <v>8</v>
      </c>
      <c r="C192" s="25">
        <v>2.27</v>
      </c>
      <c r="D192" s="24" t="s">
        <v>776</v>
      </c>
      <c r="E192" s="24" t="s">
        <v>777</v>
      </c>
      <c r="F192" s="21">
        <v>3</v>
      </c>
      <c r="G192" s="24" t="s">
        <v>776</v>
      </c>
      <c r="H192" s="24" t="s">
        <v>778</v>
      </c>
      <c r="I192" s="26">
        <v>104.5638766519824</v>
      </c>
      <c r="J192" s="22">
        <v>-0.24537537370226009</v>
      </c>
    </row>
    <row r="193" spans="1:10" x14ac:dyDescent="0.35">
      <c r="A193" s="24" t="s">
        <v>340</v>
      </c>
      <c r="B193" s="21">
        <v>8</v>
      </c>
      <c r="C193" s="25">
        <v>2.79</v>
      </c>
      <c r="D193" s="24" t="s">
        <v>776</v>
      </c>
      <c r="E193" s="24" t="s">
        <v>777</v>
      </c>
      <c r="F193" s="21">
        <v>3</v>
      </c>
      <c r="G193" s="24" t="s">
        <v>776</v>
      </c>
      <c r="H193" s="24" t="s">
        <v>778</v>
      </c>
      <c r="I193" s="26">
        <v>101.2114695340502</v>
      </c>
      <c r="J193" s="22">
        <v>-0.15326511057652689</v>
      </c>
    </row>
    <row r="194" spans="1:10" x14ac:dyDescent="0.35">
      <c r="A194" s="24" t="s">
        <v>441</v>
      </c>
      <c r="B194" s="21">
        <v>6</v>
      </c>
      <c r="C194" s="25">
        <v>14.07</v>
      </c>
      <c r="D194" s="24" t="s">
        <v>776</v>
      </c>
      <c r="E194" s="24" t="s">
        <v>778</v>
      </c>
      <c r="F194" s="21">
        <v>1</v>
      </c>
      <c r="G194" s="24" t="s">
        <v>776</v>
      </c>
      <c r="H194" s="24" t="s">
        <v>778</v>
      </c>
      <c r="I194" s="26">
        <v>126.7761194029851</v>
      </c>
      <c r="J194" s="22">
        <v>9.8026757476596726E-2</v>
      </c>
    </row>
    <row r="195" spans="1:10" x14ac:dyDescent="0.35">
      <c r="A195" s="24" t="s">
        <v>342</v>
      </c>
      <c r="B195" s="21">
        <v>3</v>
      </c>
      <c r="C195" s="25">
        <v>10.52</v>
      </c>
      <c r="D195" s="24" t="s">
        <v>776</v>
      </c>
      <c r="E195" s="24" t="s">
        <v>777</v>
      </c>
      <c r="F195" s="21">
        <v>3</v>
      </c>
      <c r="G195" s="24" t="s">
        <v>776</v>
      </c>
      <c r="H195" s="24" t="s">
        <v>777</v>
      </c>
      <c r="I195" s="26">
        <v>116.1739543726236</v>
      </c>
      <c r="J195" s="22">
        <v>-5.7302294707249679E-2</v>
      </c>
    </row>
    <row r="196" spans="1:10" x14ac:dyDescent="0.35">
      <c r="A196" s="24" t="s">
        <v>444</v>
      </c>
      <c r="B196" s="21">
        <v>6</v>
      </c>
      <c r="C196" s="25">
        <v>7.45</v>
      </c>
      <c r="D196" s="24" t="s">
        <v>776</v>
      </c>
      <c r="E196" s="24" t="s">
        <v>778</v>
      </c>
      <c r="F196" s="21">
        <v>1</v>
      </c>
      <c r="G196" s="24" t="s">
        <v>776</v>
      </c>
      <c r="H196" s="24" t="s">
        <v>778</v>
      </c>
      <c r="I196" s="26">
        <v>132.57046979865771</v>
      </c>
      <c r="J196" s="22">
        <v>-0.13490168910327929</v>
      </c>
    </row>
    <row r="197" spans="1:10" x14ac:dyDescent="0.35">
      <c r="A197" s="24" t="s">
        <v>343</v>
      </c>
      <c r="B197" s="21">
        <v>3</v>
      </c>
      <c r="C197" s="25">
        <v>8.1</v>
      </c>
      <c r="D197" s="24" t="s">
        <v>776</v>
      </c>
      <c r="E197" s="24" t="s">
        <v>777</v>
      </c>
      <c r="F197" s="21">
        <v>3</v>
      </c>
      <c r="G197" s="24" t="s">
        <v>776</v>
      </c>
      <c r="H197" s="24" t="s">
        <v>777</v>
      </c>
      <c r="I197" s="26">
        <v>113.89012345679011</v>
      </c>
      <c r="J197" s="22">
        <v>-3.0884220810686199E-2</v>
      </c>
    </row>
    <row r="198" spans="1:10" x14ac:dyDescent="0.35">
      <c r="A198" s="24" t="s">
        <v>344</v>
      </c>
      <c r="B198" s="21">
        <v>3</v>
      </c>
      <c r="C198" s="25">
        <v>8.84</v>
      </c>
      <c r="D198" s="24" t="s">
        <v>776</v>
      </c>
      <c r="E198" s="24" t="s">
        <v>777</v>
      </c>
      <c r="F198" s="21">
        <v>3</v>
      </c>
      <c r="G198" s="24" t="s">
        <v>776</v>
      </c>
      <c r="H198" s="24" t="s">
        <v>777</v>
      </c>
      <c r="I198" s="26">
        <v>157.2907239819005</v>
      </c>
      <c r="J198" s="22">
        <v>0.23626282769247431</v>
      </c>
    </row>
    <row r="199" spans="1:10" x14ac:dyDescent="0.35">
      <c r="A199" s="24" t="s">
        <v>346</v>
      </c>
      <c r="B199" s="21">
        <v>6</v>
      </c>
      <c r="C199" s="25">
        <v>5.43</v>
      </c>
      <c r="D199" s="24" t="s">
        <v>776</v>
      </c>
      <c r="E199" s="24" t="s">
        <v>778</v>
      </c>
      <c r="F199" s="21">
        <v>1</v>
      </c>
      <c r="G199" s="24" t="s">
        <v>776</v>
      </c>
      <c r="H199" s="24" t="s">
        <v>777</v>
      </c>
      <c r="I199" s="26">
        <v>105.27992633517491</v>
      </c>
      <c r="J199" s="22">
        <v>-9.6814573879760557E-2</v>
      </c>
    </row>
    <row r="200" spans="1:10" x14ac:dyDescent="0.35">
      <c r="A200" s="24" t="s">
        <v>347</v>
      </c>
      <c r="B200" s="21">
        <v>3</v>
      </c>
      <c r="C200" s="25">
        <v>7.26</v>
      </c>
      <c r="D200" s="24" t="s">
        <v>776</v>
      </c>
      <c r="E200" s="24" t="s">
        <v>777</v>
      </c>
      <c r="F200" s="21">
        <v>3</v>
      </c>
      <c r="G200" s="24" t="s">
        <v>776</v>
      </c>
      <c r="H200" s="24" t="s">
        <v>777</v>
      </c>
      <c r="I200" s="26">
        <v>100.1694214876033</v>
      </c>
      <c r="J200" s="22">
        <v>-3.9573250495437577E-2</v>
      </c>
    </row>
    <row r="201" spans="1:10" x14ac:dyDescent="0.35">
      <c r="A201" s="24" t="s">
        <v>348</v>
      </c>
      <c r="B201" s="21">
        <v>3</v>
      </c>
      <c r="C201" s="25">
        <v>19.28</v>
      </c>
      <c r="D201" s="24" t="s">
        <v>776</v>
      </c>
      <c r="E201" s="24" t="s">
        <v>777</v>
      </c>
      <c r="F201" s="21">
        <v>3</v>
      </c>
      <c r="G201" s="24" t="s">
        <v>776</v>
      </c>
      <c r="H201" s="24" t="s">
        <v>778</v>
      </c>
      <c r="I201" s="26">
        <v>115.0046680497925</v>
      </c>
      <c r="J201" s="22">
        <v>9.2722489764329508E-2</v>
      </c>
    </row>
    <row r="202" spans="1:10" x14ac:dyDescent="0.35">
      <c r="A202" s="24" t="s">
        <v>350</v>
      </c>
      <c r="B202" s="21">
        <v>8</v>
      </c>
      <c r="C202" s="25">
        <v>6.16</v>
      </c>
      <c r="D202" s="24" t="s">
        <v>776</v>
      </c>
      <c r="E202" s="24" t="s">
        <v>777</v>
      </c>
      <c r="F202" s="21">
        <v>3</v>
      </c>
      <c r="G202" s="24" t="s">
        <v>776</v>
      </c>
      <c r="H202" s="24" t="s">
        <v>777</v>
      </c>
      <c r="I202" s="26">
        <v>127.7337662337662</v>
      </c>
      <c r="J202" s="22">
        <v>2.255692825018496E-2</v>
      </c>
    </row>
    <row r="203" spans="1:10" x14ac:dyDescent="0.35">
      <c r="A203" s="24" t="s">
        <v>351</v>
      </c>
      <c r="B203" s="21">
        <v>8</v>
      </c>
      <c r="C203" s="25">
        <v>4.3600000000000003</v>
      </c>
      <c r="D203" s="24" t="s">
        <v>776</v>
      </c>
      <c r="E203" s="24" t="s">
        <v>777</v>
      </c>
      <c r="F203" s="21">
        <v>3</v>
      </c>
      <c r="G203" s="24" t="s">
        <v>776</v>
      </c>
      <c r="H203" s="24" t="s">
        <v>777</v>
      </c>
      <c r="I203" s="26">
        <v>113.43119266055049</v>
      </c>
      <c r="J203" s="22">
        <v>-6.8463544152119526E-2</v>
      </c>
    </row>
    <row r="204" spans="1:10" x14ac:dyDescent="0.35">
      <c r="A204" s="24" t="s">
        <v>352</v>
      </c>
      <c r="B204" s="21">
        <v>3</v>
      </c>
      <c r="C204" s="25">
        <v>13.07</v>
      </c>
      <c r="D204" s="24" t="s">
        <v>776</v>
      </c>
      <c r="E204" s="24" t="s">
        <v>777</v>
      </c>
      <c r="F204" s="21">
        <v>3</v>
      </c>
      <c r="G204" s="24" t="s">
        <v>776</v>
      </c>
      <c r="H204" s="24" t="s">
        <v>777</v>
      </c>
      <c r="I204" s="26">
        <v>89.661820964039791</v>
      </c>
      <c r="J204" s="22">
        <v>-0.28228441224274742</v>
      </c>
    </row>
    <row r="205" spans="1:10" x14ac:dyDescent="0.35">
      <c r="A205" s="24" t="s">
        <v>353</v>
      </c>
      <c r="B205" s="21">
        <v>7</v>
      </c>
      <c r="C205" s="25">
        <v>11.05</v>
      </c>
      <c r="D205" s="24" t="s">
        <v>776</v>
      </c>
      <c r="E205" s="24" t="s">
        <v>778</v>
      </c>
      <c r="F205" s="21">
        <v>1</v>
      </c>
      <c r="G205" s="24" t="s">
        <v>776</v>
      </c>
      <c r="H205" s="24" t="s">
        <v>778</v>
      </c>
      <c r="I205" s="26">
        <v>100.8796380090498</v>
      </c>
      <c r="J205" s="22">
        <v>-0.1663512788466773</v>
      </c>
    </row>
    <row r="206" spans="1:10" x14ac:dyDescent="0.35">
      <c r="A206" s="24" t="s">
        <v>446</v>
      </c>
      <c r="B206" s="21">
        <v>3</v>
      </c>
      <c r="C206" s="25">
        <v>13.53</v>
      </c>
      <c r="D206" s="24" t="s">
        <v>776</v>
      </c>
      <c r="E206" s="24" t="s">
        <v>778</v>
      </c>
      <c r="F206" s="21">
        <v>1</v>
      </c>
      <c r="G206" s="24" t="s">
        <v>776</v>
      </c>
      <c r="H206" s="24" t="s">
        <v>777</v>
      </c>
      <c r="I206" s="26">
        <v>73.442719881744267</v>
      </c>
      <c r="J206" s="22">
        <v>-0.2208304170016703</v>
      </c>
    </row>
    <row r="207" spans="1:10" x14ac:dyDescent="0.35">
      <c r="A207" s="24" t="s">
        <v>447</v>
      </c>
      <c r="B207" s="21">
        <v>6</v>
      </c>
      <c r="C207" s="25">
        <v>10.61</v>
      </c>
      <c r="D207" s="24" t="s">
        <v>776</v>
      </c>
      <c r="E207" s="24" t="s">
        <v>778</v>
      </c>
      <c r="F207" s="21">
        <v>1</v>
      </c>
      <c r="G207" s="24" t="s">
        <v>776</v>
      </c>
      <c r="H207" s="24" t="s">
        <v>778</v>
      </c>
      <c r="I207" s="26">
        <v>86.979264844486337</v>
      </c>
      <c r="J207" s="22">
        <v>-0.32895040722758168</v>
      </c>
    </row>
    <row r="208" spans="1:10" x14ac:dyDescent="0.35">
      <c r="A208" s="24" t="s">
        <v>472</v>
      </c>
      <c r="B208" s="21">
        <v>6</v>
      </c>
      <c r="C208" s="25">
        <v>5.49</v>
      </c>
      <c r="D208" s="24" t="s">
        <v>776</v>
      </c>
      <c r="E208" s="24" t="s">
        <v>778</v>
      </c>
      <c r="F208" s="21">
        <v>1</v>
      </c>
      <c r="G208" s="24" t="s">
        <v>456</v>
      </c>
      <c r="H208" s="24" t="s">
        <v>778</v>
      </c>
      <c r="I208" s="26">
        <v>101.528233151184</v>
      </c>
      <c r="J208" s="22">
        <v>-0.1558846590950734</v>
      </c>
    </row>
    <row r="209" spans="1:10" x14ac:dyDescent="0.35">
      <c r="A209" s="24" t="s">
        <v>357</v>
      </c>
      <c r="B209" s="21">
        <v>3</v>
      </c>
      <c r="C209" s="25">
        <v>8.44</v>
      </c>
      <c r="D209" s="24" t="s">
        <v>776</v>
      </c>
      <c r="E209" s="24" t="s">
        <v>777</v>
      </c>
      <c r="F209" s="21">
        <v>3</v>
      </c>
      <c r="G209" s="24" t="s">
        <v>776</v>
      </c>
      <c r="H209" s="24" t="s">
        <v>777</v>
      </c>
      <c r="I209" s="26">
        <v>88.735781990521332</v>
      </c>
      <c r="J209" s="22">
        <v>-0.16454616991729309</v>
      </c>
    </row>
    <row r="210" spans="1:10" x14ac:dyDescent="0.35">
      <c r="A210" s="24" t="s">
        <v>358</v>
      </c>
      <c r="B210" s="21">
        <v>7</v>
      </c>
      <c r="C210" s="25">
        <v>8.06</v>
      </c>
      <c r="D210" s="24" t="s">
        <v>776</v>
      </c>
      <c r="E210" s="24" t="s">
        <v>777</v>
      </c>
      <c r="F210" s="21">
        <v>3</v>
      </c>
      <c r="G210" s="24" t="s">
        <v>776</v>
      </c>
      <c r="H210" s="24" t="s">
        <v>778</v>
      </c>
      <c r="I210" s="26">
        <v>103.5198511166253</v>
      </c>
      <c r="J210" s="22">
        <v>-4.8789262549645329E-2</v>
      </c>
    </row>
    <row r="211" spans="1:10" x14ac:dyDescent="0.35">
      <c r="A211" s="24" t="s">
        <v>359</v>
      </c>
      <c r="B211" s="21">
        <v>7</v>
      </c>
      <c r="C211" s="25">
        <v>22.23</v>
      </c>
      <c r="D211" s="24" t="s">
        <v>776</v>
      </c>
      <c r="E211" s="24" t="s">
        <v>777</v>
      </c>
      <c r="F211" s="21">
        <v>3</v>
      </c>
      <c r="G211" s="24" t="s">
        <v>776</v>
      </c>
      <c r="H211" s="24" t="s">
        <v>778</v>
      </c>
      <c r="I211" s="26">
        <v>102.4907782276203</v>
      </c>
      <c r="J211" s="22">
        <v>-3.031770866325267E-2</v>
      </c>
    </row>
    <row r="212" spans="1:10" x14ac:dyDescent="0.35">
      <c r="A212" s="24" t="s">
        <v>361</v>
      </c>
      <c r="B212" s="21">
        <v>3</v>
      </c>
      <c r="C212" s="25">
        <v>11.37</v>
      </c>
      <c r="D212" s="24" t="s">
        <v>776</v>
      </c>
      <c r="E212" s="24" t="s">
        <v>778</v>
      </c>
      <c r="F212" s="21">
        <v>1</v>
      </c>
      <c r="G212" s="24" t="s">
        <v>776</v>
      </c>
      <c r="H212" s="24" t="s">
        <v>777</v>
      </c>
      <c r="I212" s="26">
        <v>97.293755496921733</v>
      </c>
      <c r="J212" s="22">
        <v>-0.10687921331815289</v>
      </c>
    </row>
    <row r="213" spans="1:10" x14ac:dyDescent="0.35">
      <c r="A213" s="24" t="s">
        <v>362</v>
      </c>
      <c r="B213" s="21">
        <v>3</v>
      </c>
      <c r="C213" s="25">
        <v>16.34</v>
      </c>
      <c r="D213" s="24" t="s">
        <v>776</v>
      </c>
      <c r="E213" s="24" t="s">
        <v>777</v>
      </c>
      <c r="F213" s="21">
        <v>3</v>
      </c>
      <c r="G213" s="24" t="s">
        <v>776</v>
      </c>
      <c r="H213" s="24" t="s">
        <v>777</v>
      </c>
      <c r="I213" s="26">
        <v>97.43880048959609</v>
      </c>
      <c r="J213" s="22">
        <v>-8.4698918576419202E-2</v>
      </c>
    </row>
    <row r="214" spans="1:10" x14ac:dyDescent="0.35">
      <c r="A214" s="24" t="s">
        <v>449</v>
      </c>
      <c r="B214" s="21">
        <v>6</v>
      </c>
      <c r="C214" s="25">
        <v>9.4700000000000006</v>
      </c>
      <c r="D214" s="24" t="s">
        <v>776</v>
      </c>
      <c r="E214" s="24" t="s">
        <v>778</v>
      </c>
      <c r="F214" s="21">
        <v>1</v>
      </c>
      <c r="G214" s="24" t="s">
        <v>776</v>
      </c>
      <c r="H214" s="24" t="s">
        <v>778</v>
      </c>
      <c r="I214" s="26">
        <v>112.31678986272441</v>
      </c>
      <c r="J214" s="22">
        <v>-0.123251075807034</v>
      </c>
    </row>
    <row r="215" spans="1:10" x14ac:dyDescent="0.35">
      <c r="A215" s="24" t="s">
        <v>450</v>
      </c>
      <c r="B215" s="21">
        <v>6</v>
      </c>
      <c r="C215" s="25">
        <v>4.6100000000000003</v>
      </c>
      <c r="D215" s="24" t="s">
        <v>776</v>
      </c>
      <c r="E215" s="24" t="s">
        <v>777</v>
      </c>
      <c r="F215" s="21">
        <v>3</v>
      </c>
      <c r="G215" s="24" t="s">
        <v>776</v>
      </c>
      <c r="H215" s="24" t="s">
        <v>778</v>
      </c>
      <c r="I215" s="26">
        <v>103.68546637744031</v>
      </c>
      <c r="J215" s="22">
        <v>-0.20032968101945359</v>
      </c>
    </row>
    <row r="216" spans="1:10" x14ac:dyDescent="0.35">
      <c r="A216" s="24" t="s">
        <v>363</v>
      </c>
      <c r="B216" s="21">
        <v>3</v>
      </c>
      <c r="C216" s="25">
        <v>8.06</v>
      </c>
      <c r="D216" s="24" t="s">
        <v>776</v>
      </c>
      <c r="E216" s="24" t="s">
        <v>777</v>
      </c>
      <c r="F216" s="21">
        <v>3</v>
      </c>
      <c r="G216" s="24" t="s">
        <v>776</v>
      </c>
      <c r="H216" s="24" t="s">
        <v>777</v>
      </c>
      <c r="I216" s="26">
        <v>114.2828784119107</v>
      </c>
      <c r="J216" s="22">
        <v>-7.477509735771215E-3</v>
      </c>
    </row>
    <row r="217" spans="1:10" x14ac:dyDescent="0.35">
      <c r="A217" s="24" t="s">
        <v>364</v>
      </c>
      <c r="B217" s="21">
        <v>4</v>
      </c>
      <c r="C217" s="25">
        <v>9.77</v>
      </c>
      <c r="D217" s="24" t="s">
        <v>776</v>
      </c>
      <c r="E217" s="24" t="s">
        <v>778</v>
      </c>
      <c r="F217" s="21">
        <v>1</v>
      </c>
      <c r="G217" s="24" t="s">
        <v>776</v>
      </c>
      <c r="H217" s="24" t="s">
        <v>777</v>
      </c>
      <c r="I217" s="26">
        <v>100.2773797338792</v>
      </c>
      <c r="J217" s="22">
        <v>-0.14256502476446911</v>
      </c>
    </row>
    <row r="218" spans="1:10" x14ac:dyDescent="0.35">
      <c r="A218" s="24" t="s">
        <v>365</v>
      </c>
      <c r="B218" s="21">
        <v>7</v>
      </c>
      <c r="C218" s="25">
        <v>7.4</v>
      </c>
      <c r="D218" s="24" t="s">
        <v>776</v>
      </c>
      <c r="E218" s="24" t="s">
        <v>778</v>
      </c>
      <c r="F218" s="21">
        <v>1</v>
      </c>
      <c r="G218" s="24" t="s">
        <v>776</v>
      </c>
      <c r="H218" s="24" t="s">
        <v>778</v>
      </c>
      <c r="I218" s="26">
        <v>117.70810810810811</v>
      </c>
      <c r="J218" s="22">
        <v>-0.1238960464994729</v>
      </c>
    </row>
    <row r="219" spans="1:10" x14ac:dyDescent="0.35">
      <c r="A219" s="24" t="s">
        <v>366</v>
      </c>
      <c r="B219" s="21">
        <v>2</v>
      </c>
      <c r="C219" s="25">
        <v>12.74</v>
      </c>
      <c r="D219" s="24" t="s">
        <v>776</v>
      </c>
      <c r="E219" s="24" t="s">
        <v>777</v>
      </c>
      <c r="F219" s="21">
        <v>3</v>
      </c>
      <c r="G219" s="24" t="s">
        <v>776</v>
      </c>
      <c r="H219" s="24" t="s">
        <v>777</v>
      </c>
      <c r="I219" s="26">
        <v>144.33987441130299</v>
      </c>
      <c r="J219" s="22">
        <v>0.45558407663467548</v>
      </c>
    </row>
    <row r="220" spans="1:10" x14ac:dyDescent="0.35">
      <c r="A220" s="24" t="s">
        <v>367</v>
      </c>
      <c r="B220" s="21">
        <v>2</v>
      </c>
      <c r="C220" s="25">
        <v>7.94</v>
      </c>
      <c r="D220" s="24" t="s">
        <v>776</v>
      </c>
      <c r="E220" s="24" t="s">
        <v>778</v>
      </c>
      <c r="F220" s="21">
        <v>1</v>
      </c>
      <c r="G220" s="24" t="s">
        <v>776</v>
      </c>
      <c r="H220" s="24" t="s">
        <v>778</v>
      </c>
      <c r="I220" s="26">
        <v>134.78211586901759</v>
      </c>
      <c r="J220" s="22">
        <v>0.18678648259523831</v>
      </c>
    </row>
    <row r="221" spans="1:10" x14ac:dyDescent="0.35">
      <c r="A221" s="24" t="s">
        <v>368</v>
      </c>
      <c r="B221" s="21">
        <v>7</v>
      </c>
      <c r="C221" s="25">
        <v>7.99</v>
      </c>
      <c r="D221" s="24" t="s">
        <v>776</v>
      </c>
      <c r="E221" s="24" t="s">
        <v>778</v>
      </c>
      <c r="F221" s="21">
        <v>1</v>
      </c>
      <c r="G221" s="24" t="s">
        <v>776</v>
      </c>
      <c r="H221" s="24" t="s">
        <v>778</v>
      </c>
      <c r="I221" s="26">
        <v>96.732165206508128</v>
      </c>
      <c r="J221" s="22">
        <v>-0.26383443145823099</v>
      </c>
    </row>
    <row r="222" spans="1:10" x14ac:dyDescent="0.35">
      <c r="A222" s="24" t="s">
        <v>369</v>
      </c>
      <c r="B222" s="21">
        <v>7</v>
      </c>
      <c r="C222" s="25">
        <v>7.73</v>
      </c>
      <c r="D222" s="24" t="s">
        <v>776</v>
      </c>
      <c r="E222" s="24" t="s">
        <v>778</v>
      </c>
      <c r="F222" s="21">
        <v>1</v>
      </c>
      <c r="G222" s="24" t="s">
        <v>776</v>
      </c>
      <c r="H222" s="24" t="s">
        <v>778</v>
      </c>
      <c r="I222" s="26">
        <v>87.531694695989643</v>
      </c>
      <c r="J222" s="22">
        <v>-0.30941921333345018</v>
      </c>
    </row>
    <row r="223" spans="1:10" x14ac:dyDescent="0.35">
      <c r="A223" s="24" t="s">
        <v>370</v>
      </c>
      <c r="B223" s="21">
        <v>7</v>
      </c>
      <c r="C223" s="25">
        <v>8.59</v>
      </c>
      <c r="D223" s="24" t="s">
        <v>776</v>
      </c>
      <c r="E223" s="24" t="s">
        <v>778</v>
      </c>
      <c r="F223" s="21">
        <v>1</v>
      </c>
      <c r="G223" s="24" t="s">
        <v>776</v>
      </c>
      <c r="H223" s="24" t="s">
        <v>778</v>
      </c>
      <c r="I223" s="26">
        <v>85.71944121071013</v>
      </c>
      <c r="J223" s="22">
        <v>-0.35085713860107748</v>
      </c>
    </row>
    <row r="224" spans="1:10" x14ac:dyDescent="0.35">
      <c r="A224" s="24" t="s">
        <v>371</v>
      </c>
      <c r="B224" s="21">
        <v>7</v>
      </c>
      <c r="C224" s="25">
        <v>7.76</v>
      </c>
      <c r="D224" s="24" t="s">
        <v>776</v>
      </c>
      <c r="E224" s="24" t="s">
        <v>778</v>
      </c>
      <c r="F224" s="21">
        <v>1</v>
      </c>
      <c r="G224" s="24" t="s">
        <v>776</v>
      </c>
      <c r="H224" s="24" t="s">
        <v>778</v>
      </c>
      <c r="I224" s="26">
        <v>98.412371134020617</v>
      </c>
      <c r="J224" s="22">
        <v>-0.20625367041330769</v>
      </c>
    </row>
    <row r="225" spans="1:10" x14ac:dyDescent="0.35">
      <c r="A225" s="24" t="s">
        <v>475</v>
      </c>
      <c r="B225" s="21">
        <v>6</v>
      </c>
      <c r="C225" s="25">
        <v>7.55</v>
      </c>
      <c r="D225" s="24" t="s">
        <v>776</v>
      </c>
      <c r="E225" s="24" t="s">
        <v>778</v>
      </c>
      <c r="F225" s="21">
        <v>1</v>
      </c>
      <c r="G225" s="24" t="s">
        <v>456</v>
      </c>
      <c r="H225" s="24" t="s">
        <v>778</v>
      </c>
      <c r="I225" s="26">
        <v>105.2503311258278</v>
      </c>
      <c r="J225" s="22">
        <v>-0.25608931555054387</v>
      </c>
    </row>
    <row r="226" spans="1:10" x14ac:dyDescent="0.35">
      <c r="A226" s="24" t="s">
        <v>373</v>
      </c>
      <c r="B226" s="21">
        <v>7</v>
      </c>
      <c r="C226" s="25">
        <v>6.29</v>
      </c>
      <c r="D226" s="24" t="s">
        <v>776</v>
      </c>
      <c r="E226" s="24" t="s">
        <v>777</v>
      </c>
      <c r="F226" s="21">
        <v>3</v>
      </c>
      <c r="G226" s="24" t="s">
        <v>776</v>
      </c>
      <c r="H226" s="24" t="s">
        <v>778</v>
      </c>
      <c r="I226" s="26">
        <v>103.45310015898249</v>
      </c>
      <c r="J226" s="22">
        <v>-0.21708094008462839</v>
      </c>
    </row>
    <row r="227" spans="1:10" x14ac:dyDescent="0.35">
      <c r="A227" s="24" t="s">
        <v>374</v>
      </c>
      <c r="B227" s="21">
        <v>3</v>
      </c>
      <c r="C227" s="25">
        <v>7.3</v>
      </c>
      <c r="D227" s="24" t="s">
        <v>776</v>
      </c>
      <c r="E227" s="24" t="s">
        <v>777</v>
      </c>
      <c r="F227" s="21">
        <v>3</v>
      </c>
      <c r="G227" s="24" t="s">
        <v>776</v>
      </c>
      <c r="H227" s="24" t="s">
        <v>777</v>
      </c>
      <c r="I227" s="26">
        <v>110.5986301369863</v>
      </c>
      <c r="J227" s="22">
        <v>-0.1630954273176142</v>
      </c>
    </row>
    <row r="228" spans="1:10" x14ac:dyDescent="0.35">
      <c r="A228" s="24" t="s">
        <v>375</v>
      </c>
      <c r="B228" s="21">
        <v>3</v>
      </c>
      <c r="C228" s="25">
        <v>5.32</v>
      </c>
      <c r="D228" s="24" t="s">
        <v>776</v>
      </c>
      <c r="E228" s="24" t="s">
        <v>777</v>
      </c>
      <c r="F228" s="21">
        <v>3</v>
      </c>
      <c r="G228" s="24" t="s">
        <v>776</v>
      </c>
      <c r="H228" s="24" t="s">
        <v>777</v>
      </c>
      <c r="I228" s="26">
        <v>120.6578947368421</v>
      </c>
      <c r="J228" s="22">
        <v>-9.5685017274042772E-2</v>
      </c>
    </row>
    <row r="229" spans="1:10" x14ac:dyDescent="0.35">
      <c r="A229" s="24" t="s">
        <v>376</v>
      </c>
      <c r="B229" s="21">
        <v>4</v>
      </c>
      <c r="C229" s="25">
        <v>15.99</v>
      </c>
      <c r="D229" s="24" t="s">
        <v>776</v>
      </c>
      <c r="E229" s="24" t="s">
        <v>777</v>
      </c>
      <c r="F229" s="21">
        <v>3</v>
      </c>
      <c r="G229" s="24" t="s">
        <v>776</v>
      </c>
      <c r="H229" s="24" t="s">
        <v>777</v>
      </c>
      <c r="I229" s="26">
        <v>109.95747342088799</v>
      </c>
      <c r="J229" s="22">
        <v>-0.13932929314781631</v>
      </c>
    </row>
    <row r="230" spans="1:10" x14ac:dyDescent="0.35">
      <c r="A230" s="24" t="s">
        <v>377</v>
      </c>
      <c r="B230" s="21">
        <v>4</v>
      </c>
      <c r="C230" s="25">
        <v>16.45</v>
      </c>
      <c r="D230" s="24" t="s">
        <v>776</v>
      </c>
      <c r="E230" s="24" t="s">
        <v>777</v>
      </c>
      <c r="F230" s="21">
        <v>3</v>
      </c>
      <c r="G230" s="24" t="s">
        <v>776</v>
      </c>
      <c r="H230" s="24" t="s">
        <v>777</v>
      </c>
      <c r="I230" s="26">
        <v>135.38723404255319</v>
      </c>
      <c r="J230" s="22">
        <v>-4.2148371850914126E-3</v>
      </c>
    </row>
    <row r="231" spans="1:10" x14ac:dyDescent="0.35">
      <c r="A231" s="24" t="s">
        <v>378</v>
      </c>
      <c r="B231" s="21">
        <v>6</v>
      </c>
      <c r="C231" s="25">
        <v>5.03</v>
      </c>
      <c r="D231" s="24" t="s">
        <v>776</v>
      </c>
      <c r="E231" s="24" t="s">
        <v>777</v>
      </c>
      <c r="F231" s="21">
        <v>3</v>
      </c>
      <c r="G231" s="24" t="s">
        <v>776</v>
      </c>
      <c r="H231" s="24" t="s">
        <v>777</v>
      </c>
      <c r="I231" s="26">
        <v>90.834990059642138</v>
      </c>
      <c r="J231" s="22">
        <v>-0.25042290317596061</v>
      </c>
    </row>
    <row r="232" spans="1:10" x14ac:dyDescent="0.35">
      <c r="A232" s="8" t="s">
        <v>779</v>
      </c>
      <c r="B232" s="9"/>
      <c r="C232" s="10">
        <f>SUMIFS(C5:C231,D5:D231,"TARDIO")</f>
        <v>22.79</v>
      </c>
    </row>
    <row r="234" spans="1:10" x14ac:dyDescent="0.35">
      <c r="A234" s="2" t="s">
        <v>780</v>
      </c>
    </row>
    <row r="235" spans="1:10" x14ac:dyDescent="0.35">
      <c r="A235" s="4" t="s">
        <v>781</v>
      </c>
      <c r="C235" s="7">
        <v>440.51999999999992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2"/>
  <sheetViews>
    <sheetView showGridLines="0" workbookViewId="0"/>
  </sheetViews>
  <sheetFormatPr baseColWidth="10" defaultColWidth="8.7265625" defaultRowHeight="14.5" x14ac:dyDescent="0.35"/>
  <cols>
    <col min="1" max="1" width="130" customWidth="1"/>
  </cols>
  <sheetData>
    <row r="1" spans="1:1" x14ac:dyDescent="0.35">
      <c r="A1" s="36" t="s">
        <v>782</v>
      </c>
    </row>
    <row r="2" spans="1:1" ht="25" x14ac:dyDescent="0.35">
      <c r="A2" s="37" t="s">
        <v>783</v>
      </c>
    </row>
    <row r="3" spans="1:1" x14ac:dyDescent="0.35">
      <c r="A3" s="37" t="s">
        <v>784</v>
      </c>
    </row>
    <row r="4" spans="1:1" ht="25" x14ac:dyDescent="0.35">
      <c r="A4" s="37" t="s">
        <v>785</v>
      </c>
    </row>
    <row r="5" spans="1:1" ht="37.5" x14ac:dyDescent="0.35">
      <c r="A5" s="37" t="s">
        <v>786</v>
      </c>
    </row>
    <row r="6" spans="1:1" ht="25" x14ac:dyDescent="0.35">
      <c r="A6" s="37" t="s">
        <v>787</v>
      </c>
    </row>
    <row r="7" spans="1:1" x14ac:dyDescent="0.35">
      <c r="A7" s="37" t="s">
        <v>788</v>
      </c>
    </row>
    <row r="8" spans="1:1" x14ac:dyDescent="0.35">
      <c r="A8" s="37"/>
    </row>
    <row r="9" spans="1:1" x14ac:dyDescent="0.35">
      <c r="A9" s="36" t="s">
        <v>789</v>
      </c>
    </row>
    <row r="10" spans="1:1" ht="25" x14ac:dyDescent="0.35">
      <c r="A10" s="37" t="s">
        <v>790</v>
      </c>
    </row>
    <row r="11" spans="1:1" ht="25" x14ac:dyDescent="0.35">
      <c r="A11" s="37" t="s">
        <v>791</v>
      </c>
    </row>
    <row r="12" spans="1:1" ht="25" x14ac:dyDescent="0.35">
      <c r="A12" s="37" t="s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Efectos y supuestos</vt:lpstr>
      <vt:lpstr>Renovación</vt:lpstr>
      <vt:lpstr>Roturación</vt:lpstr>
      <vt:lpstr>Malezas</vt:lpstr>
      <vt:lpstr>Riego y lluvia</vt:lpstr>
      <vt:lpstr>Lucro cesante</vt:lpstr>
      <vt:lpstr>Corte a siembra</vt:lpstr>
      <vt:lpstr>Fertilización</vt:lpstr>
      <vt:lpstr>Cómo se hizo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Riopaila</dc:creator>
  <dcterms:created xsi:type="dcterms:W3CDTF">2026-10-21T15:56:46Z</dcterms:created>
  <dcterms:modified xsi:type="dcterms:W3CDTF">2026-10-21T15:56:58Z</dcterms:modified>
</cp:coreProperties>
</file>